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s. Summary" sheetId="1" r:id="rId4"/>
    <sheet state="visible" name="400" sheetId="2" r:id="rId5"/>
    <sheet state="visible" name="100" sheetId="3" r:id="rId6"/>
    <sheet state="visible" name="101" sheetId="4" r:id="rId7"/>
    <sheet state="visible" name="2" sheetId="5" r:id="rId8"/>
    <sheet state="visible" name="7" sheetId="6" r:id="rId9"/>
    <sheet state="visible" name="8A" sheetId="7" r:id="rId10"/>
    <sheet state="visible" name="8B" sheetId="8" r:id="rId11"/>
    <sheet state="visible" name="10" sheetId="9" r:id="rId12"/>
    <sheet state="visible" name="11" sheetId="10" r:id="rId13"/>
    <sheet state="visible" name="12" sheetId="11" r:id="rId14"/>
    <sheet state="visible" name="ToD" sheetId="12" r:id="rId15"/>
    <sheet state="visible" name="ToD Budgeting" sheetId="13" r:id="rId16"/>
    <sheet state="visible" name="Schedule Update" sheetId="14" r:id="rId17"/>
    <sheet state="visible" name="Platforming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Leap year with 366 days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  <comment authorId="0" ref="I4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  <comment authorId="0" ref="I8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5">
      <text>
        <t xml:space="preserve">Justin Fan:
5:46 GO Train Dep</t>
      </text>
    </comment>
    <comment authorId="0" ref="T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 Connection
</t>
      </text>
    </comment>
    <comment authorId="0" ref="V6">
      <text>
        <t xml:space="preserve">Justin Fan:
6:16 GO Train Dep</t>
      </text>
    </comment>
    <comment authorId="0" ref="AE6">
      <text>
        <t xml:space="preserve">Justin Fan:
6:55 GO Train Dep
</t>
      </text>
    </comment>
    <comment authorId="0" ref="T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 Connection
</t>
      </text>
    </comment>
    <comment authorId="0" ref="Y7">
      <text>
        <t xml:space="preserve">Justin Fan:
12B Park Place before 06:43</t>
      </text>
    </comment>
    <comment authorId="0" ref="B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AM Peak</t>
      </text>
    </comment>
    <comment authorId="0" ref="C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time to match up with Justin's timepoints with the different timeband</t>
      </text>
    </comment>
    <comment authorId="0" ref="T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</t>
      </text>
    </comment>
    <comment authorId="0" ref="V8">
      <text>
        <t xml:space="preserve">Justin Fan:
7:01 GO Train Dep</t>
      </text>
    </comment>
    <comment authorId="0" ref="AF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to match time in justins schedule
</t>
      </text>
    </comment>
    <comment authorId="0" ref="AE9">
      <text>
        <t xml:space="preserve">Justin Fan:
8:11 GO Train Dep
</t>
      </text>
    </comment>
    <comment authorId="0" ref="AA10">
      <text>
        <t xml:space="preserve">Justin Fan
8:14 SB 400 Arr</t>
      </text>
    </comment>
    <comment authorId="0" ref="B1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morning</t>
      </text>
    </comment>
    <comment authorId="0" ref="H1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innisdale bell time</t>
      </text>
    </comment>
    <comment authorId="0" ref="I11">
      <text>
        <t xml:space="preserve">Justin Fan:
Innisdale SS AM Bell</t>
      </text>
    </comment>
    <comment authorId="0" ref="J11">
      <text>
        <t xml:space="preserve">Justin Fan:
8:02 GO Train Dep</t>
      </text>
    </comment>
    <comment authorId="0" ref="AA11">
      <text>
        <t xml:space="preserve">Justin Fan:
8:44 SB 400 Arr</t>
      </text>
    </comment>
    <comment authorId="0" ref="AA12">
      <text>
        <t xml:space="preserve">Justin Fan:
9:14 SB 400 Arr</t>
      </text>
    </comment>
    <comment authorId="0" ref="G13">
      <text>
        <t xml:space="preserve">Justin Fan:
8:50 NB 400 Dep</t>
      </text>
    </comment>
    <comment authorId="0" ref="J13">
      <text>
        <t xml:space="preserve">Justin Fan:
9:02 GO Train Dep</t>
      </text>
    </comment>
    <comment authorId="0" ref="AA13">
      <text>
        <t xml:space="preserve">Justin Fan:
9:44 SB 400 Arr</t>
      </text>
    </comment>
    <comment authorId="0" ref="G14">
      <text>
        <t xml:space="preserve">Justin Fan:
9:20 NB 400 Dep</t>
      </text>
    </comment>
    <comment authorId="0" ref="AA14">
      <text>
        <t xml:space="preserve">Justin Fan:
10:14 100 Arr</t>
      </text>
    </comment>
    <comment authorId="0" ref="G15">
      <text>
        <t xml:space="preserve">Justin Fan:
9:50 NB 400 Dep</t>
      </text>
    </comment>
    <comment authorId="0" ref="AA15">
      <text>
        <t xml:space="preserve">Justin Fan:
10:44 400 Arr</t>
      </text>
    </comment>
    <comment authorId="0" ref="AG15">
      <text>
        <t xml:space="preserve">Justin Fan:
11:27 GO Train Arr</t>
      </text>
    </comment>
    <comment authorId="0" ref="G16">
      <text>
        <t xml:space="preserve">Justin Fan:
10:20 NB 400 Dep
</t>
      </text>
    </comment>
    <comment authorId="0" ref="AA16">
      <text>
        <t xml:space="preserve">Justin Fan:
11:14 400 Arr</t>
      </text>
    </comment>
    <comment authorId="0" ref="L18">
      <text>
        <t xml:space="preserve">Justin Fan:
11:37 GO Train Arr</t>
      </text>
    </comment>
    <comment authorId="0" ref="T18">
      <text>
        <t xml:space="preserve">Justin Fan:
Adjusted for school connection</t>
      </text>
    </comment>
    <comment authorId="0" ref="Z18">
      <text>
        <t xml:space="preserve">Justin Fan:
Adjusted for school connection</t>
      </text>
    </comment>
    <comment authorId="0" ref="AE18">
      <text>
        <t xml:space="preserve">Justin Fan:
13:17 GO Train Dep</t>
      </text>
    </comment>
    <comment authorId="0" ref="AF1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Innisdale bell time
</t>
      </text>
    </comment>
    <comment authorId="0" ref="V19">
      <text>
        <t xml:space="preserve">Justin Fan:
13:08 GO Train Dep
</t>
      </text>
    </comment>
    <comment authorId="0" ref="B2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midday</t>
      </text>
    </comment>
    <comment authorId="0" ref="X22">
      <text>
        <t xml:space="preserve">Justin Fan:
Innisdale SS PM Bell</t>
      </text>
    </comment>
    <comment authorId="0" ref="AA22">
      <text>
        <t xml:space="preserve">Justin Fan:
14:44 400 Arr</t>
      </text>
    </comment>
    <comment authorId="0" ref="AF2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keep 30-35 min headway</t>
      </text>
    </comment>
    <comment authorId="0" ref="AA23">
      <text>
        <t xml:space="preserve">Justin Fan:
15:16 400 Arr</t>
      </text>
    </comment>
    <comment authorId="0" ref="AG26">
      <text>
        <t xml:space="preserve">Justin Fan:
17:31 GO Train Arr</t>
      </text>
    </comment>
    <comment authorId="0" ref="AG27">
      <text>
        <t xml:space="preserve">Justin Fan:
18:16 GO Train Arr</t>
      </text>
    </comment>
    <comment authorId="0" ref="AA28">
      <text>
        <t xml:space="preserve">Justin Fan:
18:16 400 Arr</t>
      </text>
    </comment>
    <comment authorId="0" ref="AG28">
      <text>
        <t xml:space="preserve">Justin Fan:
18:46 GO Train Arr</t>
      </text>
    </comment>
    <comment authorId="0" ref="L29">
      <text>
        <t xml:space="preserve">Justin Fan:
17:41 GO Train Arr</t>
      </text>
    </comment>
    <comment authorId="0" ref="AA29">
      <text>
        <t xml:space="preserve">Justin Fan:
18:46 400 Arr</t>
      </text>
    </comment>
    <comment authorId="0" ref="L31">
      <text>
        <t xml:space="preserve">Justin Fan:
18:56 GO Train Arr</t>
      </text>
    </comment>
    <comment authorId="0" ref="V33">
      <text>
        <t xml:space="preserve">Justin Fan:
21:10 GO Train Dep</t>
      </text>
    </comment>
    <comment authorId="0" ref="J35">
      <text>
        <t xml:space="preserve">Justin Fan:
21:10 GO Train Dep</t>
      </text>
    </comment>
    <comment authorId="0" ref="AG36">
      <text>
        <t xml:space="preserve">Justin Fan:
23:34 GO Train Arr</t>
      </text>
    </comment>
    <comment authorId="0" ref="AA4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400 to 12 residential</t>
      </text>
    </comment>
    <comment authorId="0" ref="AG5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10:35a train</t>
      </text>
    </comment>
    <comment authorId="0" ref="G5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12 residential to 400</t>
      </text>
    </comment>
    <comment authorId="0" ref="H5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OTP Recovery Padding</t>
      </text>
    </comment>
    <comment authorId="0" ref="AF5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time for DT connection at 15:45</t>
      </text>
    </comment>
    <comment authorId="0" ref="AF6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timed connection at 15:45 on 12A and B</t>
      </text>
    </comment>
    <comment authorId="0" ref="AE7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8:08p train</t>
      </text>
    </comment>
    <comment authorId="0" ref="AE8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11:14a GO</t>
      </text>
    </comment>
    <comment authorId="0" ref="AF8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Recovery Padding for OTP</t>
      </text>
    </comment>
    <comment authorId="0" ref="L8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10:35a GO</t>
      </text>
    </comment>
    <comment authorId="0" ref="J9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2:05p GO</t>
      </text>
    </comment>
    <comment authorId="0" ref="L9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1:37p GO</t>
      </text>
    </comment>
    <comment authorId="0" ref="X9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4:37p GO</t>
      </text>
    </comment>
    <comment authorId="0" ref="V9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8:08 PM GO</t>
      </text>
    </comment>
  </commentList>
</comments>
</file>

<file path=xl/sharedStrings.xml><?xml version="1.0" encoding="utf-8"?>
<sst xmlns="http://schemas.openxmlformats.org/spreadsheetml/2006/main" count="2462" uniqueCount="229">
  <si>
    <t>Service Hours - 2025</t>
  </si>
  <si>
    <t>BUSES PER ROUTE</t>
  </si>
  <si>
    <t>Total Annual Service Hours</t>
  </si>
  <si>
    <t>Weekday Service</t>
  </si>
  <si>
    <t>Total number of weekdays</t>
  </si>
  <si>
    <t>Holiday</t>
  </si>
  <si>
    <t>Hours</t>
  </si>
  <si>
    <t>Peak</t>
  </si>
  <si>
    <t>Off Peak</t>
  </si>
  <si>
    <t>New Years Day</t>
  </si>
  <si>
    <t>ROUTE</t>
  </si>
  <si>
    <t>Service Hours/Weekday</t>
  </si>
  <si>
    <t>Service Hours /Year</t>
  </si>
  <si>
    <t>Weekday Difference From Previous Master</t>
  </si>
  <si>
    <t>Buses</t>
  </si>
  <si>
    <t>Total number of Saturdays</t>
  </si>
  <si>
    <t>Family Day</t>
  </si>
  <si>
    <t>Easter Sunday</t>
  </si>
  <si>
    <t xml:space="preserve">Total number of Sundays </t>
  </si>
  <si>
    <t>Victoria Day</t>
  </si>
  <si>
    <t>Canada Day</t>
  </si>
  <si>
    <t>Total number of Serviced Holiday</t>
  </si>
  <si>
    <t>Civic Holiday</t>
  </si>
  <si>
    <t>Labour Day</t>
  </si>
  <si>
    <t>Total number of Un-serviced Holiday</t>
  </si>
  <si>
    <t>Thanksgiving</t>
  </si>
  <si>
    <t>8A</t>
  </si>
  <si>
    <t>Christmas Day</t>
  </si>
  <si>
    <t>8B</t>
  </si>
  <si>
    <t>Total Days</t>
  </si>
  <si>
    <t>Boxing Day</t>
  </si>
  <si>
    <t>10</t>
  </si>
  <si>
    <t>New Years Eve</t>
  </si>
  <si>
    <t>just routes</t>
  </si>
  <si>
    <t>Total</t>
  </si>
  <si>
    <t>TOD</t>
  </si>
  <si>
    <t>Total Trips</t>
  </si>
  <si>
    <t>TOTAL HOURS PER YEAR</t>
  </si>
  <si>
    <t>Total Hours per Day</t>
  </si>
  <si>
    <t>2025 Budgeting</t>
  </si>
  <si>
    <t>Previous Master (Annualized)</t>
  </si>
  <si>
    <t>Saturday Service</t>
  </si>
  <si>
    <t>Rate</t>
  </si>
  <si>
    <t>Cost</t>
  </si>
  <si>
    <t>Saturday Difference From Previous Master</t>
  </si>
  <si>
    <t>ToD Hours</t>
  </si>
  <si>
    <t>Fixed Hours</t>
  </si>
  <si>
    <t>Annual Operational Costs</t>
  </si>
  <si>
    <t>Current Master (Annualized)</t>
  </si>
  <si>
    <t>Net</t>
  </si>
  <si>
    <t xml:space="preserve">TOTAL HOURS PER YEAR = </t>
  </si>
  <si>
    <t>Sunday + Holiday Service</t>
  </si>
  <si>
    <t>Sunday Difference From Previous Master</t>
  </si>
  <si>
    <t>MVT Deliverable Schedule</t>
  </si>
  <si>
    <t>Send over May - June ToD Hours</t>
  </si>
  <si>
    <t>January 11th</t>
  </si>
  <si>
    <t>Send over draft Master</t>
  </si>
  <si>
    <t>January 19th</t>
  </si>
  <si>
    <t>Weekday</t>
  </si>
  <si>
    <t>400 North</t>
  </si>
  <si>
    <t>400 South</t>
  </si>
  <si>
    <t>Arrive</t>
  </si>
  <si>
    <t>DEPART</t>
  </si>
  <si>
    <t>Stop Name</t>
  </si>
  <si>
    <t>Park Place</t>
  </si>
  <si>
    <t>Veteran's at Essa</t>
  </si>
  <si>
    <t>Rose at Highway 400</t>
  </si>
  <si>
    <t>Georgian at Governors</t>
  </si>
  <si>
    <t>RVH</t>
  </si>
  <si>
    <t>R</t>
  </si>
  <si>
    <t>Georgian College</t>
  </si>
  <si>
    <t>Bayfield at Highway 400</t>
  </si>
  <si>
    <t>Stop ID</t>
  </si>
  <si>
    <t>Travel Time</t>
  </si>
  <si>
    <t>Cycle Time</t>
  </si>
  <si>
    <t>R Ratio</t>
  </si>
  <si>
    <t>Frequency</t>
  </si>
  <si>
    <t>Morning</t>
  </si>
  <si>
    <t>Midday</t>
  </si>
  <si>
    <t>Evening</t>
  </si>
  <si>
    <t>Block Ends</t>
  </si>
  <si>
    <t>Service Hours</t>
  </si>
  <si>
    <t>Saturday</t>
  </si>
  <si>
    <t>Route</t>
  </si>
  <si>
    <t>100 - Red</t>
  </si>
  <si>
    <t>ARRIVE</t>
  </si>
  <si>
    <t>Downtown</t>
  </si>
  <si>
    <t>Georgian Mall</t>
  </si>
  <si>
    <t>Johnson at Blake</t>
  </si>
  <si>
    <t>Early Morning</t>
  </si>
  <si>
    <t>Headway Management</t>
  </si>
  <si>
    <t>Dt Connection</t>
  </si>
  <si>
    <t>400 Connection</t>
  </si>
  <si>
    <t>GC Connection</t>
  </si>
  <si>
    <t>GO Train</t>
  </si>
  <si>
    <t>Bayfield Shift Times</t>
  </si>
  <si>
    <t>Ridership Med (Over 40)</t>
  </si>
  <si>
    <t>Ridership High (Over 50)</t>
  </si>
  <si>
    <t>Night</t>
  </si>
  <si>
    <t>Sunday</t>
  </si>
  <si>
    <t>101 - Blue</t>
  </si>
  <si>
    <t>Johnson at Napier</t>
  </si>
  <si>
    <t>2A</t>
  </si>
  <si>
    <t xml:space="preserve"> 2B</t>
  </si>
  <si>
    <t>Cuthbert Street</t>
  </si>
  <si>
    <t>Sproule at Kraus</t>
  </si>
  <si>
    <t>Dunlop at Ferndale</t>
  </si>
  <si>
    <t>Ferndale Drive</t>
  </si>
  <si>
    <t>Ferndale Woods Public School</t>
  </si>
  <si>
    <t xml:space="preserve">R Ratio </t>
  </si>
  <si>
    <t>DT Connection</t>
  </si>
  <si>
    <t>High School</t>
  </si>
  <si>
    <t>Route 2A</t>
  </si>
  <si>
    <t>Route 2B</t>
  </si>
  <si>
    <t>August 2025 Update Moved the timing point to Ferndale Woods Public School from Manhatten Homes</t>
  </si>
  <si>
    <t xml:space="preserve"> 7A</t>
  </si>
  <si>
    <t>7B</t>
  </si>
  <si>
    <t>Peggy Hill Community Centre</t>
  </si>
  <si>
    <t>Allandale GO Station</t>
  </si>
  <si>
    <t>Rose Street</t>
  </si>
  <si>
    <t>251</t>
  </si>
  <si>
    <t>R Ratio (15% Target)</t>
  </si>
  <si>
    <t>Route 7A</t>
  </si>
  <si>
    <t>Route 7B</t>
  </si>
  <si>
    <t>8A North</t>
  </si>
  <si>
    <t>8A South</t>
  </si>
  <si>
    <t>8A - Northbound</t>
  </si>
  <si>
    <t>Barrie South GO</t>
  </si>
  <si>
    <t>Essa at Mapleview</t>
  </si>
  <si>
    <t>Bear Creek Sp.</t>
  </si>
  <si>
    <t>Peggy Hill</t>
  </si>
  <si>
    <t>Essa at Veteran's</t>
  </si>
  <si>
    <t>Allandale GO</t>
  </si>
  <si>
    <t>Blake at Johnson</t>
  </si>
  <si>
    <t>Anne at Donald</t>
  </si>
  <si>
    <t>New</t>
  </si>
  <si>
    <t>Headway Cycle Time</t>
  </si>
  <si>
    <t>Recoveries</t>
  </si>
  <si>
    <t>Downtown Connection</t>
  </si>
  <si>
    <t>8B North</t>
  </si>
  <si>
    <t>Difference</t>
  </si>
  <si>
    <t>8B South</t>
  </si>
  <si>
    <t>Start</t>
  </si>
  <si>
    <t>Allandale 1</t>
  </si>
  <si>
    <t>Allandale 2</t>
  </si>
  <si>
    <t>End</t>
  </si>
  <si>
    <t>Anne at Wellington</t>
  </si>
  <si>
    <t>Blake and Johnson</t>
  </si>
  <si>
    <t>Essa at Veterans</t>
  </si>
  <si>
    <t>Peggy CC</t>
  </si>
  <si>
    <t>Bear Creek Sp</t>
  </si>
  <si>
    <t>Mapleview at Essa</t>
  </si>
  <si>
    <t>Ridership Med</t>
  </si>
  <si>
    <t>Ridership High'</t>
  </si>
  <si>
    <t>Interlined</t>
  </si>
  <si>
    <t>Route 10</t>
  </si>
  <si>
    <t>Leacock at Frost</t>
  </si>
  <si>
    <t>Route 11</t>
  </si>
  <si>
    <t>Lampman Plaza</t>
  </si>
  <si>
    <t>12A</t>
  </si>
  <si>
    <t>12B</t>
  </si>
  <si>
    <t>DEP</t>
  </si>
  <si>
    <t>ARR</t>
  </si>
  <si>
    <t>Big Bay Point at Dodson</t>
  </si>
  <si>
    <t>Ashford Drive</t>
  </si>
  <si>
    <t>Connection Priorities</t>
  </si>
  <si>
    <t>mins.</t>
  </si>
  <si>
    <t>R Ratio
(15% Target)</t>
  </si>
  <si>
    <t>Hdwy BSGO</t>
  </si>
  <si>
    <t>Hdwy GGML</t>
  </si>
  <si>
    <t>12B At Park Place for 6:43a</t>
  </si>
  <si>
    <t>BEGIN 1</t>
  </si>
  <si>
    <t>Innisdale Bell Time</t>
  </si>
  <si>
    <t>BEGIN 2</t>
  </si>
  <si>
    <t>Downtown Pulse</t>
  </si>
  <si>
    <t>BEGIN 3</t>
  </si>
  <si>
    <t>Route 400</t>
  </si>
  <si>
    <t>AM Peak</t>
  </si>
  <si>
    <t>GO Trains</t>
  </si>
  <si>
    <t>Note existing start and end times to be maintained</t>
  </si>
  <si>
    <t>PM Peak</t>
  </si>
  <si>
    <t>END 4</t>
  </si>
  <si>
    <t>END 2</t>
  </si>
  <si>
    <t>END 3</t>
  </si>
  <si>
    <t>END 1</t>
  </si>
  <si>
    <t>Trips:</t>
  </si>
  <si>
    <t>Running Total</t>
  </si>
  <si>
    <t>Block End</t>
  </si>
  <si>
    <t>Extra Time from June 2 Schedule</t>
  </si>
  <si>
    <t>Master Hours</t>
  </si>
  <si>
    <t>To help you out, the weekday area is</t>
  </si>
  <si>
    <t>Time</t>
  </si>
  <si>
    <t>TOD Public Service Hours</t>
  </si>
  <si>
    <t>Bus Blocks</t>
  </si>
  <si>
    <t>Starting Point</t>
  </si>
  <si>
    <t>City Area</t>
  </si>
  <si>
    <t>Block End Time</t>
  </si>
  <si>
    <t>Floater</t>
  </si>
  <si>
    <t>5:30a-12:00a</t>
  </si>
  <si>
    <t>Edgehill/Jagges</t>
  </si>
  <si>
    <t xml:space="preserve">North </t>
  </si>
  <si>
    <t>South</t>
  </si>
  <si>
    <t>BSGO</t>
  </si>
  <si>
    <t>Dunn St</t>
  </si>
  <si>
    <t xml:space="preserve">Total In Service Buses On Road </t>
  </si>
  <si>
    <t xml:space="preserve">Saturday </t>
  </si>
  <si>
    <t>6:30a-12:00a</t>
  </si>
  <si>
    <t>8:30a-10:00p</t>
  </si>
  <si>
    <t>TOD Hours</t>
  </si>
  <si>
    <t>2025 Hours</t>
  </si>
  <si>
    <t>Sat</t>
  </si>
  <si>
    <t>Sun</t>
  </si>
  <si>
    <t>ToD Intake Budget for 2025</t>
  </si>
  <si>
    <t>Per Day</t>
  </si>
  <si>
    <t>TOD Cost Per Hour</t>
  </si>
  <si>
    <t>Per Week</t>
  </si>
  <si>
    <t>Annual</t>
  </si>
  <si>
    <t>June Start Adjustment</t>
  </si>
  <si>
    <t>Remaining Hours in Budget</t>
  </si>
  <si>
    <t>Last Updated</t>
  </si>
  <si>
    <t>Notes</t>
  </si>
  <si>
    <t>Next Schedule Implementation</t>
  </si>
  <si>
    <t>Update needed at 2 year mark</t>
  </si>
  <si>
    <t>10/11</t>
  </si>
  <si>
    <t>Update needed, new route</t>
  </si>
  <si>
    <t>Route change in Spring 2025</t>
  </si>
  <si>
    <t>Interline planned. Review travel times.</t>
  </si>
  <si>
    <t>100/101</t>
  </si>
  <si>
    <t>If extra bus is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</si>
</sst>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_-* #,##0_-;\-* #,##0_-;_-* &quot;-&quot;??_-;_-@"/>
    <numFmt numFmtId="166" formatCode="0.0"/>
    <numFmt numFmtId="167" formatCode="_-* #,##0.00_-;\-* #,##0.00_-;_-* &quot;-&quot;??_-;_-@"/>
    <numFmt numFmtId="168" formatCode="[$-409]h:mm\ AM/PM"/>
    <numFmt numFmtId="169" formatCode="_(* #,##0.00_);_(* \(#,##0.00\);_(* &quot;-&quot;??_);_(@_)"/>
  </numFmts>
  <fonts count="53">
    <font>
      <sz val="11.0"/>
      <color theme="1"/>
      <name val="Aptos Narrow"/>
      <scheme val="minor"/>
    </font>
    <font>
      <sz val="16.0"/>
      <color theme="0"/>
      <name val="Aptos Narrow"/>
    </font>
    <font/>
    <font>
      <b/>
      <sz val="20.0"/>
      <color theme="1"/>
      <name val="Aptos Narrow"/>
    </font>
    <font>
      <sz val="26.0"/>
      <color theme="0"/>
      <name val="Aptos Narrow"/>
    </font>
    <font>
      <sz val="11.0"/>
      <color theme="1"/>
      <name val="Aptos Narrow"/>
    </font>
    <font>
      <b/>
      <sz val="14.0"/>
      <color theme="0"/>
      <name val="Aptos Narrow"/>
    </font>
    <font>
      <b/>
      <sz val="14.0"/>
      <color theme="1"/>
      <name val="Aptos Narrow"/>
    </font>
    <font>
      <b/>
      <sz val="11.0"/>
      <color theme="1"/>
      <name val="Aptos Narrow"/>
    </font>
    <font>
      <b/>
      <sz val="11.0"/>
      <color theme="0"/>
      <name val="Aptos Narrow"/>
    </font>
    <font>
      <sz val="11.0"/>
      <color theme="0"/>
      <name val="Aptos Narrow"/>
    </font>
    <font>
      <b/>
      <i/>
      <sz val="11.0"/>
      <color theme="1"/>
      <name val="Aptos Narrow"/>
    </font>
    <font>
      <color theme="1"/>
      <name val="Aptos Narrow"/>
      <scheme val="minor"/>
    </font>
    <font>
      <sz val="14.0"/>
      <color theme="0"/>
      <name val="Aptos Narrow"/>
    </font>
    <font>
      <b/>
      <sz val="28.0"/>
      <color theme="0"/>
      <name val="Aptos Narrow"/>
    </font>
    <font>
      <i/>
      <sz val="14.0"/>
      <color theme="0"/>
      <name val="Aptos Narrow"/>
    </font>
    <font>
      <b/>
      <i/>
      <sz val="15.0"/>
      <color theme="0"/>
      <name val="Aptos Narrow"/>
    </font>
    <font>
      <b/>
      <sz val="22.0"/>
      <color theme="1"/>
      <name val="Aptos Narrow"/>
    </font>
    <font>
      <b/>
      <sz val="48.0"/>
      <color theme="1"/>
      <name val="Aptos Narrow"/>
    </font>
    <font>
      <b/>
      <sz val="12.0"/>
      <color theme="1"/>
      <name val="Aptos Narrow"/>
    </font>
    <font>
      <b/>
      <sz val="20.0"/>
      <color theme="0"/>
      <name val="Aptos Narrow"/>
    </font>
    <font>
      <b/>
      <sz val="9.0"/>
      <color theme="1"/>
      <name val="Aptos Narrow"/>
    </font>
    <font>
      <sz val="12.0"/>
      <color theme="1"/>
      <name val="Aptos Narrow"/>
    </font>
    <font>
      <sz val="12.0"/>
      <color rgb="FFF2F2F2"/>
      <name val="Aptos Narrow"/>
    </font>
    <font>
      <b/>
      <sz val="18.0"/>
      <color theme="0"/>
      <name val="Aptos Narrow"/>
    </font>
    <font>
      <b/>
      <i/>
      <sz val="11.0"/>
      <color rgb="FFF2F2F2"/>
      <name val="Aptos Narrow"/>
    </font>
    <font>
      <sz val="11.0"/>
      <color rgb="FFC00000"/>
      <name val="Aptos Narrow"/>
    </font>
    <font>
      <b/>
      <sz val="11.0"/>
      <color rgb="FFC00000"/>
      <name val="Aptos Narrow"/>
    </font>
    <font>
      <sz val="12.0"/>
      <color rgb="FFFF0000"/>
      <name val="Aptos Narrow"/>
    </font>
    <font>
      <b/>
      <sz val="12.0"/>
      <color rgb="FFFF0000"/>
      <name val="Aptos Narrow"/>
    </font>
    <font>
      <b/>
      <sz val="16.0"/>
      <color theme="0"/>
      <name val="Aptos Narrow"/>
    </font>
    <font>
      <sz val="12.0"/>
      <color rgb="FFDBE9F7"/>
      <name val="Aptos Narrow"/>
    </font>
    <font>
      <b/>
      <sz val="18.0"/>
      <color rgb="FFFFFFFF"/>
      <name val="Arial"/>
    </font>
    <font>
      <b/>
      <sz val="16.0"/>
      <color theme="1"/>
      <name val="Aptos Narrow"/>
    </font>
    <font>
      <b/>
      <sz val="24.0"/>
      <color theme="0"/>
      <name val="Aptos Narrow"/>
    </font>
    <font>
      <b/>
      <sz val="14.0"/>
      <color rgb="FFF2F2F2"/>
      <name val="Aptos Narrow"/>
    </font>
    <font>
      <sz val="10.0"/>
      <color theme="1"/>
      <name val="Arial"/>
    </font>
    <font>
      <b/>
      <sz val="8.0"/>
      <color theme="1"/>
      <name val="Aptos Narrow"/>
    </font>
    <font>
      <i/>
      <sz val="11.0"/>
      <color theme="1"/>
      <name val="Aptos Narrow"/>
    </font>
    <font>
      <b/>
      <sz val="16.0"/>
      <color rgb="FFF2F2F2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b/>
      <sz val="14.0"/>
      <color rgb="FFFFFFFF"/>
      <name val="Arial"/>
    </font>
    <font>
      <sz val="12.0"/>
      <color rgb="FF000000"/>
      <name val="Calibri"/>
    </font>
    <font>
      <b/>
      <sz val="14.0"/>
      <color theme="1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sz val="12.0"/>
      <color rgb="FFA5A5A5"/>
      <name val="Aptos Narrow"/>
    </font>
    <font>
      <sz val="12.0"/>
      <color theme="0"/>
      <name val="Aptos Narrow"/>
    </font>
    <font>
      <sz val="11.0"/>
      <color theme="1"/>
      <name val="Calibri"/>
    </font>
    <font>
      <b/>
      <sz val="22.0"/>
      <color rgb="FFF2F2F2"/>
      <name val="Calibri"/>
    </font>
    <font>
      <b/>
      <sz val="11.0"/>
      <color theme="0"/>
      <name val="Calibri"/>
    </font>
    <font>
      <b/>
      <sz val="11.0"/>
      <color theme="1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83CAEB"/>
        <bgColor rgb="FF83CAEB"/>
      </patternFill>
    </fill>
    <fill>
      <patternFill patternType="solid">
        <fgColor rgb="FFFAE2D5"/>
        <bgColor rgb="FFFAE2D5"/>
      </patternFill>
    </fill>
    <fill>
      <patternFill patternType="solid">
        <fgColor rgb="FFC00000"/>
        <bgColor rgb="FFC00000"/>
      </patternFill>
    </fill>
    <fill>
      <patternFill patternType="solid">
        <fgColor rgb="FFCAEDFB"/>
        <bgColor rgb="FFCAEDFB"/>
      </patternFill>
    </fill>
    <fill>
      <patternFill patternType="solid">
        <fgColor rgb="FFD76DCC"/>
        <bgColor rgb="FFD76DCC"/>
      </patternFill>
    </fill>
    <fill>
      <patternFill patternType="solid">
        <fgColor rgb="FFD0D0D0"/>
        <bgColor rgb="FFD0D0D0"/>
      </patternFill>
    </fill>
    <fill>
      <patternFill patternType="solid">
        <fgColor rgb="FF0B769F"/>
        <bgColor rgb="FF0B769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7F7F7F"/>
        <bgColor rgb="FF7F7F7F"/>
      </patternFill>
    </fill>
    <fill>
      <patternFill patternType="solid">
        <fgColor rgb="FF4EA72E"/>
        <bgColor rgb="FF4EA72E"/>
      </patternFill>
    </fill>
    <fill>
      <patternFill patternType="solid">
        <fgColor rgb="FFA2A2A2"/>
        <bgColor rgb="FFA2A2A2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E8E8E8"/>
        <bgColor rgb="FFE8E8E8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9A1253"/>
        <bgColor rgb="FF9A1253"/>
      </patternFill>
    </fill>
    <fill>
      <patternFill patternType="solid">
        <fgColor rgb="FFFF99FF"/>
        <bgColor rgb="FFFF99FF"/>
      </patternFill>
    </fill>
    <fill>
      <patternFill patternType="solid">
        <fgColor rgb="FFF6C6AC"/>
        <bgColor rgb="FFF6C6AC"/>
      </patternFill>
    </fill>
    <fill>
      <patternFill patternType="solid">
        <fgColor rgb="FF3A7D22"/>
        <bgColor rgb="FF3A7D22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66FFFF"/>
        <bgColor rgb="FF66FFFF"/>
      </patternFill>
    </fill>
    <fill>
      <patternFill patternType="solid">
        <fgColor rgb="FF00FF00"/>
        <bgColor rgb="FF00FF00"/>
      </patternFill>
    </fill>
    <fill>
      <patternFill patternType="solid">
        <fgColor rgb="FF004E80"/>
        <bgColor rgb="FF004E80"/>
      </patternFill>
    </fill>
  </fills>
  <borders count="8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E2841"/>
      </left>
      <top style="thin">
        <color rgb="FF0E2841"/>
      </top>
      <bottom style="thin">
        <color rgb="FF0E2841"/>
      </bottom>
    </border>
    <border>
      <top style="thin">
        <color rgb="FF0E2841"/>
      </top>
      <bottom style="thin">
        <color rgb="FF0E2841"/>
      </bottom>
    </border>
    <border>
      <right style="dotted">
        <color rgb="FF000000"/>
      </right>
      <top style="thin">
        <color rgb="FF0E2841"/>
      </top>
      <bottom style="thin">
        <color rgb="FF0E2841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  <bottom style="thin">
        <color rgb="FF0E2841"/>
      </bottom>
    </border>
    <border>
      <left style="thin">
        <color rgb="FF0E2841"/>
      </left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rgb="FF0E2841"/>
      </left>
      <right style="thin">
        <color rgb="FF0E2841"/>
      </right>
    </border>
    <border>
      <left/>
      <right style="thin">
        <color rgb="FF0E2841"/>
      </right>
      <top style="thin">
        <color rgb="FF0E2841"/>
      </top>
    </border>
    <border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rgb="FF0E2841"/>
      </left>
    </border>
    <border>
      <left style="thin">
        <color rgb="FF0E2841"/>
      </left>
      <right style="thin">
        <color rgb="FF0E2841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E2841"/>
      </right>
      <bottom/>
    </border>
    <border>
      <right style="thin">
        <color rgb="FF000000"/>
      </right>
    </border>
    <border>
      <right style="thin">
        <color rgb="FF0E2841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left/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top/>
      <bottom/>
    </border>
    <border>
      <right style="thin">
        <color rgb="FFFFFFFF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 style="thin">
        <color theme="0"/>
      </right>
      <bottom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FFFF00"/>
      </left>
      <right style="thin">
        <color rgb="FF000000"/>
      </right>
      <top style="medium">
        <color rgb="FFFFFF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FF00"/>
      </top>
      <bottom style="thin">
        <color rgb="FF000000"/>
      </bottom>
    </border>
    <border>
      <top style="medium">
        <color rgb="FFFFFF00"/>
      </top>
    </border>
    <border>
      <left style="thin">
        <color rgb="FF000000"/>
      </left>
      <right style="medium">
        <color rgb="FFFFFF00"/>
      </right>
      <top style="medium">
        <color rgb="FFFFFF00"/>
      </top>
      <bottom style="thin">
        <color rgb="FF000000"/>
      </bottom>
    </border>
    <border>
      <left style="medium">
        <color rgb="FFFFFF00"/>
      </left>
      <right style="thin">
        <color rgb="FF000000"/>
      </right>
      <top style="thin">
        <color rgb="FF000000"/>
      </top>
      <bottom style="medium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00"/>
      </bottom>
    </border>
    <border>
      <bottom style="medium">
        <color rgb="FFFFFF00"/>
      </bottom>
    </border>
    <border>
      <left style="thin">
        <color rgb="FF000000"/>
      </left>
      <right style="medium">
        <color rgb="FFFFFF00"/>
      </right>
      <top style="thin">
        <color rgb="FF000000"/>
      </top>
      <bottom style="medium">
        <color rgb="FFFFFF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4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7" numFmtId="3" xfId="0" applyAlignment="1" applyBorder="1" applyFill="1" applyFont="1" applyNumberFormat="1">
      <alignment horizontal="center" vertical="center"/>
    </xf>
    <xf borderId="16" fillId="4" fontId="5" numFmtId="0" xfId="0" applyAlignment="1" applyBorder="1" applyFill="1" applyFont="1">
      <alignment horizontal="center"/>
    </xf>
    <xf borderId="17" fillId="5" fontId="8" numFmtId="0" xfId="0" applyAlignment="1" applyBorder="1" applyFill="1" applyFont="1">
      <alignment horizontal="center" vertical="center"/>
    </xf>
    <xf borderId="18" fillId="5" fontId="8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center" wrapText="1"/>
    </xf>
    <xf borderId="16" fillId="6" fontId="5" numFmtId="0" xfId="0" applyAlignment="1" applyBorder="1" applyFill="1" applyFont="1">
      <alignment horizontal="center"/>
    </xf>
    <xf borderId="17" fillId="5" fontId="5" numFmtId="0" xfId="0" applyAlignment="1" applyBorder="1" applyFont="1">
      <alignment horizontal="center" vertical="center"/>
    </xf>
    <xf borderId="18" fillId="6" fontId="5" numFmtId="1" xfId="0" applyAlignment="1" applyBorder="1" applyFont="1" applyNumberFormat="1">
      <alignment horizontal="center" vertical="center"/>
    </xf>
    <xf borderId="20" fillId="2" fontId="10" numFmtId="0" xfId="0" applyAlignment="1" applyBorder="1" applyFont="1">
      <alignment horizontal="center"/>
    </xf>
    <xf borderId="20" fillId="2" fontId="10" numFmtId="0" xfId="0" applyAlignment="1" applyBorder="1" applyFont="1">
      <alignment horizontal="center" vertical="center"/>
    </xf>
    <xf borderId="20" fillId="2" fontId="10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/>
    </xf>
    <xf borderId="1" fillId="2" fontId="9" numFmtId="0" xfId="0" applyAlignment="1" applyBorder="1" applyFont="1">
      <alignment horizontal="center" vertical="center"/>
    </xf>
    <xf borderId="21" fillId="0" fontId="2" numFmtId="0" xfId="0" applyBorder="1" applyFont="1"/>
    <xf borderId="22" fillId="6" fontId="8" numFmtId="0" xfId="0" applyAlignment="1" applyBorder="1" applyFont="1">
      <alignment horizontal="center"/>
    </xf>
    <xf borderId="22" fillId="6" fontId="8" numFmtId="2" xfId="0" applyAlignment="1" applyBorder="1" applyFont="1" applyNumberFormat="1">
      <alignment horizontal="center"/>
    </xf>
    <xf borderId="22" fillId="6" fontId="8" numFmtId="1" xfId="0" applyAlignment="1" applyBorder="1" applyFont="1" applyNumberFormat="1">
      <alignment horizontal="center"/>
    </xf>
    <xf borderId="23" fillId="0" fontId="8" numFmtId="0" xfId="0" applyAlignment="1" applyBorder="1" applyFont="1">
      <alignment horizontal="center" vertical="center"/>
    </xf>
    <xf borderId="17" fillId="5" fontId="5" numFmtId="0" xfId="0" applyAlignment="1" applyBorder="1" applyFont="1">
      <alignment horizontal="center"/>
    </xf>
    <xf quotePrefix="1" borderId="22" fillId="6" fontId="8" numFmtId="16" xfId="0" applyAlignment="1" applyBorder="1" applyFont="1" applyNumberFormat="1">
      <alignment horizontal="center"/>
    </xf>
    <xf borderId="17" fillId="6" fontId="11" numFmtId="0" xfId="0" applyAlignment="1" applyBorder="1" applyFont="1">
      <alignment horizontal="center"/>
    </xf>
    <xf borderId="0" fillId="0" fontId="12" numFmtId="0" xfId="0" applyFont="1"/>
    <xf borderId="17" fillId="0" fontId="8" numFmtId="0" xfId="0" applyAlignment="1" applyBorder="1" applyFont="1">
      <alignment horizontal="center" vertical="center"/>
    </xf>
    <xf borderId="18" fillId="0" fontId="8" numFmtId="1" xfId="0" applyAlignment="1" applyBorder="1" applyFont="1" applyNumberFormat="1">
      <alignment horizontal="center" vertical="center"/>
    </xf>
    <xf borderId="19" fillId="2" fontId="9" numFmtId="2" xfId="0" applyBorder="1" applyFont="1" applyNumberFormat="1"/>
    <xf borderId="0" fillId="0" fontId="8" numFmtId="0" xfId="0" applyAlignment="1" applyFont="1">
      <alignment horizontal="center" vertical="center"/>
    </xf>
    <xf borderId="11" fillId="0" fontId="8" numFmtId="1" xfId="0" applyAlignment="1" applyBorder="1" applyFont="1" applyNumberFormat="1">
      <alignment horizontal="center" vertical="center"/>
    </xf>
    <xf borderId="24" fillId="4" fontId="5" numFmtId="2" xfId="0" applyAlignment="1" applyBorder="1" applyFont="1" applyNumberFormat="1">
      <alignment horizontal="center" shrinkToFit="0" vertical="center" wrapText="1"/>
    </xf>
    <xf borderId="12" fillId="2" fontId="13" numFmtId="0" xfId="0" applyAlignment="1" applyBorder="1" applyFont="1">
      <alignment horizontal="right" vertical="center"/>
    </xf>
    <xf borderId="25" fillId="0" fontId="2" numFmtId="0" xfId="0" applyBorder="1" applyFont="1"/>
    <xf borderId="22" fillId="2" fontId="14" numFmtId="3" xfId="0" applyAlignment="1" applyBorder="1" applyFont="1" applyNumberFormat="1">
      <alignment horizontal="center"/>
    </xf>
    <xf borderId="26" fillId="0" fontId="5" numFmtId="0" xfId="0" applyBorder="1" applyFont="1"/>
    <xf borderId="27" fillId="2" fontId="9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2" numFmtId="0" xfId="0" applyBorder="1" applyFont="1"/>
    <xf borderId="12" fillId="2" fontId="15" numFmtId="0" xfId="0" applyAlignment="1" applyBorder="1" applyFont="1">
      <alignment horizontal="right" vertical="center"/>
    </xf>
    <xf borderId="22" fillId="2" fontId="16" numFmtId="4" xfId="0" applyAlignment="1" applyBorder="1" applyFont="1" applyNumberFormat="1">
      <alignment horizontal="center"/>
    </xf>
    <xf borderId="32" fillId="0" fontId="5" numFmtId="0" xfId="0" applyBorder="1" applyFont="1"/>
    <xf borderId="33" fillId="0" fontId="5" numFmtId="0" xfId="0" applyBorder="1" applyFont="1"/>
    <xf borderId="19" fillId="7" fontId="17" numFmtId="0" xfId="0" applyAlignment="1" applyBorder="1" applyFill="1" applyFont="1">
      <alignment horizontal="center" shrinkToFit="0" vertical="center" wrapText="1"/>
    </xf>
    <xf borderId="19" fillId="7" fontId="5" numFmtId="0" xfId="0" applyBorder="1" applyFont="1"/>
    <xf borderId="19" fillId="7" fontId="18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26" fillId="0" fontId="5" numFmtId="0" xfId="0" applyAlignment="1" applyBorder="1" applyFont="1">
      <alignment horizontal="center"/>
    </xf>
    <xf borderId="4" fillId="5" fontId="8" numFmtId="0" xfId="0" applyAlignment="1" applyBorder="1" applyFont="1">
      <alignment horizontal="center" vertical="center"/>
    </xf>
    <xf borderId="34" fillId="0" fontId="5" numFmtId="0" xfId="0" applyBorder="1" applyFont="1"/>
    <xf borderId="17" fillId="5" fontId="8" numFmtId="0" xfId="0" applyAlignment="1" applyBorder="1" applyFont="1">
      <alignment horizontal="center"/>
    </xf>
    <xf borderId="17" fillId="0" fontId="5" numFmtId="164" xfId="0" applyAlignment="1" applyBorder="1" applyFont="1" applyNumberFormat="1">
      <alignment horizontal="center" vertical="center"/>
    </xf>
    <xf borderId="17" fillId="0" fontId="5" numFmtId="1" xfId="0" applyAlignment="1" applyBorder="1" applyFont="1" applyNumberFormat="1">
      <alignment horizontal="center" vertical="center"/>
    </xf>
    <xf borderId="35" fillId="0" fontId="5" numFmtId="164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/>
    </xf>
    <xf borderId="36" fillId="0" fontId="2" numFmtId="0" xfId="0" applyBorder="1" applyFont="1"/>
    <xf borderId="37" fillId="3" fontId="19" numFmtId="164" xfId="0" applyAlignment="1" applyBorder="1" applyFont="1" applyNumberFormat="1">
      <alignment vertical="center"/>
    </xf>
    <xf borderId="0" fillId="0" fontId="5" numFmtId="0" xfId="0" applyFont="1"/>
    <xf borderId="19" fillId="5" fontId="8" numFmtId="0" xfId="0" applyBorder="1" applyFont="1"/>
    <xf borderId="19" fillId="5" fontId="8" numFmtId="164" xfId="0" applyBorder="1" applyFont="1" applyNumberFormat="1"/>
    <xf borderId="23" fillId="0" fontId="5" numFmtId="0" xfId="0" applyBorder="1" applyFont="1"/>
    <xf borderId="0" fillId="0" fontId="17" numFmtId="0" xfId="0" applyAlignment="1" applyFont="1">
      <alignment horizontal="center" shrinkToFit="0" vertical="center" wrapText="1"/>
    </xf>
    <xf borderId="0" fillId="0" fontId="18" numFmtId="3" xfId="0" applyAlignment="1" applyFont="1" applyNumberFormat="1">
      <alignment horizontal="center" vertical="center"/>
    </xf>
    <xf borderId="38" fillId="6" fontId="8" numFmtId="2" xfId="0" applyAlignment="1" applyBorder="1" applyFont="1" applyNumberFormat="1">
      <alignment horizontal="center"/>
    </xf>
    <xf borderId="0" fillId="0" fontId="5" numFmtId="9" xfId="0" applyFont="1" applyNumberFormat="1"/>
    <xf borderId="0" fillId="0" fontId="5" numFmtId="0" xfId="0" applyAlignment="1" applyFont="1">
      <alignment shrinkToFit="0" vertical="top" wrapText="1"/>
    </xf>
    <xf borderId="0" fillId="0" fontId="5" numFmtId="2" xfId="0" applyFont="1" applyNumberFormat="1"/>
    <xf borderId="0" fillId="0" fontId="8" numFmtId="0" xfId="0" applyAlignment="1" applyFont="1">
      <alignment shrinkToFit="0" vertical="top" wrapText="1"/>
    </xf>
    <xf borderId="39" fillId="8" fontId="20" numFmtId="0" xfId="0" applyAlignment="1" applyBorder="1" applyFill="1" applyFont="1">
      <alignment horizontal="center" textRotation="255" vertical="center"/>
    </xf>
    <xf borderId="0" fillId="0" fontId="5" numFmtId="0" xfId="0" applyAlignment="1" applyFont="1">
      <alignment horizontal="center" vertical="center"/>
    </xf>
    <xf borderId="4" fillId="9" fontId="3" numFmtId="0" xfId="0" applyAlignment="1" applyBorder="1" applyFill="1" applyFont="1">
      <alignment horizontal="center"/>
    </xf>
    <xf borderId="0" fillId="0" fontId="5" numFmtId="0" xfId="0" applyAlignment="1" applyFont="1">
      <alignment vertical="center"/>
    </xf>
    <xf borderId="40" fillId="0" fontId="2" numFmtId="0" xfId="0" applyBorder="1" applyFont="1"/>
    <xf borderId="17" fillId="5" fontId="11" numFmtId="0" xfId="0" applyAlignment="1" applyBorder="1" applyFont="1">
      <alignment horizontal="center"/>
    </xf>
    <xf borderId="17" fillId="5" fontId="21" numFmtId="0" xfId="0" applyAlignment="1" applyBorder="1" applyFont="1">
      <alignment horizontal="center" shrinkToFit="0" wrapText="1"/>
    </xf>
    <xf borderId="41" fillId="6" fontId="21" numFmtId="0" xfId="0" applyAlignment="1" applyBorder="1" applyFont="1">
      <alignment horizontal="center" shrinkToFit="0" vertical="center" wrapText="1"/>
    </xf>
    <xf borderId="41" fillId="5" fontId="21" numFmtId="0" xfId="0" applyAlignment="1" applyBorder="1" applyFont="1">
      <alignment horizontal="center" shrinkToFit="0" vertical="center" wrapText="1"/>
    </xf>
    <xf borderId="42" fillId="5" fontId="11" numFmtId="0" xfId="0" applyAlignment="1" applyBorder="1" applyFont="1">
      <alignment horizontal="center"/>
    </xf>
    <xf borderId="43" fillId="0" fontId="2" numFmtId="0" xfId="0" applyBorder="1" applyFont="1"/>
    <xf borderId="17" fillId="4" fontId="8" numFmtId="0" xfId="0" applyAlignment="1" applyBorder="1" applyFont="1">
      <alignment horizontal="center" vertical="center"/>
    </xf>
    <xf borderId="17" fillId="4" fontId="8" numFmtId="0" xfId="0" applyAlignment="1" applyBorder="1" applyFont="1">
      <alignment horizontal="center" shrinkToFit="0" vertical="center" wrapText="1"/>
    </xf>
    <xf borderId="44" fillId="10" fontId="5" numFmtId="0" xfId="0" applyAlignment="1" applyBorder="1" applyFill="1" applyFont="1">
      <alignment horizontal="center" vertical="center"/>
    </xf>
    <xf borderId="19" fillId="5" fontId="5" numFmtId="0" xfId="0" applyBorder="1" applyFont="1"/>
    <xf borderId="19" fillId="6" fontId="22" numFmtId="1" xfId="0" applyAlignment="1" applyBorder="1" applyFont="1" applyNumberFormat="1">
      <alignment horizontal="center" vertical="center"/>
    </xf>
    <xf borderId="17" fillId="5" fontId="22" numFmtId="18" xfId="0" applyAlignment="1" applyBorder="1" applyFont="1" applyNumberFormat="1">
      <alignment horizontal="center" vertical="center"/>
    </xf>
    <xf borderId="19" fillId="5" fontId="22" numFmtId="18" xfId="0" applyAlignment="1" applyBorder="1" applyFont="1" applyNumberFormat="1">
      <alignment horizontal="center" vertical="center"/>
    </xf>
    <xf borderId="19" fillId="4" fontId="22" numFmtId="18" xfId="0" applyAlignment="1" applyBorder="1" applyFont="1" applyNumberFormat="1">
      <alignment horizontal="center" vertical="center"/>
    </xf>
    <xf borderId="19" fillId="4" fontId="22" numFmtId="1" xfId="0" applyAlignment="1" applyBorder="1" applyFont="1" applyNumberFormat="1">
      <alignment horizontal="center" vertical="center"/>
    </xf>
    <xf borderId="19" fillId="4" fontId="22" numFmtId="9" xfId="0" applyAlignment="1" applyBorder="1" applyFont="1" applyNumberFormat="1">
      <alignment horizontal="center" vertical="center"/>
    </xf>
    <xf borderId="19" fillId="4" fontId="22" numFmtId="165" xfId="0" applyAlignment="1" applyBorder="1" applyFont="1" applyNumberFormat="1">
      <alignment vertical="center"/>
    </xf>
    <xf borderId="19" fillId="10" fontId="5" numFmtId="0" xfId="0" applyAlignment="1" applyBorder="1" applyFont="1">
      <alignment horizontal="center" vertical="center"/>
    </xf>
    <xf borderId="19" fillId="8" fontId="23" numFmtId="18" xfId="0" applyAlignment="1" applyBorder="1" applyFont="1" applyNumberFormat="1">
      <alignment horizontal="center"/>
    </xf>
    <xf borderId="45" fillId="0" fontId="2" numFmtId="0" xfId="0" applyBorder="1" applyFont="1"/>
    <xf borderId="0" fillId="0" fontId="5" numFmtId="1" xfId="0" applyFont="1" applyNumberFormat="1"/>
    <xf borderId="0" fillId="0" fontId="8" numFmtId="0" xfId="0" applyAlignment="1" applyFont="1">
      <alignment horizontal="right"/>
    </xf>
    <xf borderId="0" fillId="0" fontId="10" numFmtId="1" xfId="0" applyAlignment="1" applyFont="1" applyNumberFormat="1">
      <alignment vertical="center"/>
    </xf>
    <xf borderId="0" fillId="0" fontId="8" numFmtId="166" xfId="0" applyAlignment="1" applyFont="1" applyNumberFormat="1">
      <alignment horizontal="center" vertical="center"/>
    </xf>
    <xf borderId="0" fillId="0" fontId="22" numFmtId="9" xfId="0" applyAlignment="1" applyFont="1" applyNumberFormat="1">
      <alignment vertical="center"/>
    </xf>
    <xf borderId="46" fillId="8" fontId="20" numFmtId="0" xfId="0" applyAlignment="1" applyBorder="1" applyFont="1">
      <alignment textRotation="255" vertical="center"/>
    </xf>
    <xf borderId="19" fillId="8" fontId="5" numFmtId="0" xfId="0" applyAlignment="1" applyBorder="1" applyFont="1">
      <alignment horizontal="center" vertical="center"/>
    </xf>
    <xf borderId="20" fillId="8" fontId="5" numFmtId="0" xfId="0" applyBorder="1" applyFont="1"/>
    <xf borderId="20" fillId="8" fontId="5" numFmtId="0" xfId="0" applyAlignment="1" applyBorder="1" applyFont="1">
      <alignment horizontal="center"/>
    </xf>
    <xf borderId="19" fillId="8" fontId="5" numFmtId="0" xfId="0" applyBorder="1" applyFont="1"/>
    <xf borderId="19" fillId="8" fontId="5" numFmtId="0" xfId="0" applyAlignment="1" applyBorder="1" applyFont="1">
      <alignment vertical="center"/>
    </xf>
    <xf borderId="19" fillId="8" fontId="22" numFmtId="165" xfId="0" applyAlignment="1" applyBorder="1" applyFont="1" applyNumberFormat="1">
      <alignment vertical="center"/>
    </xf>
    <xf borderId="47" fillId="5" fontId="8" numFmtId="0" xfId="0" applyAlignment="1" applyBorder="1" applyFont="1">
      <alignment horizontal="center"/>
    </xf>
    <xf borderId="19" fillId="4" fontId="22" numFmtId="0" xfId="0" applyAlignment="1" applyBorder="1" applyFont="1">
      <alignment horizontal="center" vertical="center"/>
    </xf>
    <xf borderId="20" fillId="8" fontId="24" numFmtId="0" xfId="0" applyAlignment="1" applyBorder="1" applyFont="1">
      <alignment horizontal="center" textRotation="255" vertical="center"/>
    </xf>
    <xf borderId="17" fillId="8" fontId="25" numFmtId="0" xfId="0" applyBorder="1" applyFont="1"/>
    <xf borderId="48" fillId="11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49" fillId="0" fontId="2" numFmtId="0" xfId="0" applyBorder="1" applyFont="1"/>
    <xf borderId="17" fillId="5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7" fillId="5" fontId="11" numFmtId="0" xfId="0" applyAlignment="1" applyBorder="1" applyFont="1">
      <alignment horizontal="center" shrinkToFit="0" vertical="center" wrapText="1"/>
    </xf>
    <xf borderId="50" fillId="5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1" fillId="5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2" fillId="5" fontId="11" numFmtId="0" xfId="0" applyAlignment="1" applyBorder="1" applyFont="1">
      <alignment horizontal="center" shrinkToFit="0" vertical="center" wrapText="1"/>
    </xf>
    <xf borderId="52" fillId="6" fontId="11" numFmtId="0" xfId="0" applyAlignment="1" applyBorder="1" applyFont="1">
      <alignment horizontal="center" vertical="center"/>
    </xf>
    <xf borderId="17" fillId="6" fontId="11" numFmtId="0" xfId="0" applyAlignment="1" applyBorder="1" applyFont="1">
      <alignment horizontal="center" vertical="center"/>
    </xf>
    <xf borderId="52" fillId="5" fontId="11" numFmtId="0" xfId="0" applyAlignment="1" applyBorder="1" applyFont="1">
      <alignment horizontal="center" vertical="center"/>
    </xf>
    <xf borderId="19" fillId="4" fontId="5" numFmtId="0" xfId="0" applyAlignment="1" applyBorder="1" applyFont="1">
      <alignment horizontal="center"/>
    </xf>
    <xf borderId="19" fillId="4" fontId="8" numFmtId="0" xfId="0" applyAlignment="1" applyBorder="1" applyFont="1">
      <alignment horizontal="center" shrinkToFit="0" vertical="center" wrapText="1"/>
    </xf>
    <xf borderId="19" fillId="10" fontId="5" numFmtId="0" xfId="0" applyAlignment="1" applyBorder="1" applyFont="1">
      <alignment vertical="center"/>
    </xf>
    <xf borderId="19" fillId="4" fontId="22" numFmtId="165" xfId="0" applyAlignment="1" applyBorder="1" applyFont="1" applyNumberFormat="1">
      <alignment horizontal="center" vertical="center"/>
    </xf>
    <xf borderId="19" fillId="12" fontId="5" numFmtId="0" xfId="0" applyBorder="1" applyFill="1" applyFont="1"/>
    <xf borderId="19" fillId="13" fontId="22" numFmtId="18" xfId="0" applyAlignment="1" applyBorder="1" applyFill="1" applyFont="1" applyNumberFormat="1">
      <alignment horizontal="center" vertical="center"/>
    </xf>
    <xf borderId="19" fillId="13" fontId="22" numFmtId="1" xfId="0" applyAlignment="1" applyBorder="1" applyFont="1" applyNumberFormat="1">
      <alignment horizontal="center" vertical="center"/>
    </xf>
    <xf borderId="19" fillId="14" fontId="5" numFmtId="0" xfId="0" applyBorder="1" applyFill="1" applyFont="1"/>
    <xf borderId="19" fillId="15" fontId="5" numFmtId="0" xfId="0" applyBorder="1" applyFill="1" applyFont="1"/>
    <xf borderId="19" fillId="13" fontId="5" numFmtId="0" xfId="0" applyBorder="1" applyFont="1"/>
    <xf borderId="19" fillId="16" fontId="5" numFmtId="0" xfId="0" applyBorder="1" applyFill="1" applyFont="1"/>
    <xf borderId="19" fillId="3" fontId="5" numFmtId="0" xfId="0" applyBorder="1" applyFont="1"/>
    <xf borderId="0" fillId="0" fontId="26" numFmtId="0" xfId="0" applyFont="1"/>
    <xf borderId="0" fillId="0" fontId="27" numFmtId="0" xfId="0" applyFont="1"/>
    <xf borderId="19" fillId="12" fontId="22" numFmtId="1" xfId="0" applyAlignment="1" applyBorder="1" applyFont="1" applyNumberFormat="1">
      <alignment horizontal="center" vertical="center"/>
    </xf>
    <xf borderId="19" fillId="5" fontId="19" numFmtId="18" xfId="0" applyAlignment="1" applyBorder="1" applyFont="1" applyNumberFormat="1">
      <alignment horizontal="center" vertical="center"/>
    </xf>
    <xf borderId="19" fillId="8" fontId="22" numFmtId="18" xfId="0" applyAlignment="1" applyBorder="1" applyFont="1" applyNumberFormat="1">
      <alignment horizontal="center" vertical="center"/>
    </xf>
    <xf borderId="44" fillId="0" fontId="2" numFmtId="0" xfId="0" applyBorder="1" applyFont="1"/>
    <xf borderId="0" fillId="0" fontId="9" numFmtId="1" xfId="0" applyFont="1" applyNumberFormat="1"/>
    <xf borderId="0" fillId="0" fontId="8" numFmtId="2" xfId="0" applyAlignment="1" applyFont="1" applyNumberFormat="1">
      <alignment horizontal="center" vertical="center"/>
    </xf>
    <xf borderId="0" fillId="0" fontId="10" numFmtId="1" xfId="0" applyFont="1" applyNumberFormat="1"/>
    <xf borderId="19" fillId="8" fontId="5" numFmtId="0" xfId="0" applyAlignment="1" applyBorder="1" applyFont="1">
      <alignment horizontal="center"/>
    </xf>
    <xf borderId="19" fillId="5" fontId="28" numFmtId="18" xfId="0" applyAlignment="1" applyBorder="1" applyFont="1" applyNumberFormat="1">
      <alignment horizontal="center" vertical="center"/>
    </xf>
    <xf borderId="48" fillId="2" fontId="6" numFmtId="0" xfId="0" applyAlignment="1" applyBorder="1" applyFont="1">
      <alignment horizontal="center"/>
    </xf>
    <xf borderId="19" fillId="5" fontId="29" numFmtId="18" xfId="0" applyAlignment="1" applyBorder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53" fillId="11" fontId="30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56" fillId="0" fontId="30" numFmtId="0" xfId="0" applyAlignment="1" applyBorder="1" applyFont="1">
      <alignment vertical="center"/>
    </xf>
    <xf borderId="57" fillId="5" fontId="11" numFmtId="0" xfId="0" applyAlignment="1" applyBorder="1" applyFont="1">
      <alignment horizontal="center"/>
    </xf>
    <xf borderId="17" fillId="17" fontId="11" numFmtId="0" xfId="0" applyAlignment="1" applyBorder="1" applyFill="1" applyFont="1">
      <alignment horizontal="center"/>
    </xf>
    <xf borderId="35" fillId="17" fontId="5" numFmtId="0" xfId="0" applyAlignment="1" applyBorder="1" applyFont="1">
      <alignment horizontal="center"/>
    </xf>
    <xf borderId="19" fillId="17" fontId="5" numFmtId="0" xfId="0" applyBorder="1" applyFont="1"/>
    <xf borderId="0" fillId="0" fontId="25" numFmtId="0" xfId="0" applyFont="1"/>
    <xf borderId="17" fillId="17" fontId="11" numFmtId="0" xfId="0" applyAlignment="1" applyBorder="1" applyFont="1">
      <alignment horizontal="center" shrinkToFit="0" vertical="center" wrapText="1"/>
    </xf>
    <xf borderId="47" fillId="0" fontId="2" numFmtId="0" xfId="0" applyBorder="1" applyFont="1"/>
    <xf borderId="19" fillId="17" fontId="5" numFmtId="0" xfId="0" applyAlignment="1" applyBorder="1" applyFont="1">
      <alignment horizontal="center"/>
    </xf>
    <xf borderId="58" fillId="5" fontId="11" numFmtId="0" xfId="0" applyAlignment="1" applyBorder="1" applyFont="1">
      <alignment horizontal="center"/>
    </xf>
    <xf borderId="17" fillId="17" fontId="11" numFmtId="0" xfId="0" applyAlignment="1" applyBorder="1" applyFont="1">
      <alignment horizontal="center" vertical="center"/>
    </xf>
    <xf borderId="42" fillId="5" fontId="11" numFmtId="0" xfId="0" applyAlignment="1" applyBorder="1" applyFont="1">
      <alignment horizontal="center" vertical="center"/>
    </xf>
    <xf borderId="17" fillId="18" fontId="11" numFmtId="0" xfId="0" applyAlignment="1" applyBorder="1" applyFill="1" applyFont="1">
      <alignment horizontal="center" vertical="center"/>
    </xf>
    <xf borderId="17" fillId="18" fontId="11" numFmtId="0" xfId="0" applyAlignment="1" applyBorder="1" applyFont="1">
      <alignment horizontal="center"/>
    </xf>
    <xf borderId="19" fillId="5" fontId="22" numFmtId="18" xfId="0" applyAlignment="1" applyBorder="1" applyFont="1" applyNumberFormat="1">
      <alignment horizontal="center"/>
    </xf>
    <xf borderId="19" fillId="18" fontId="22" numFmtId="0" xfId="0" applyAlignment="1" applyBorder="1" applyFont="1">
      <alignment horizontal="center"/>
    </xf>
    <xf borderId="17" fillId="5" fontId="22" numFmtId="18" xfId="0" applyAlignment="1" applyBorder="1" applyFont="1" applyNumberFormat="1">
      <alignment horizontal="center"/>
    </xf>
    <xf borderId="19" fillId="18" fontId="22" numFmtId="1" xfId="0" applyAlignment="1" applyBorder="1" applyFont="1" applyNumberFormat="1">
      <alignment horizontal="center" vertical="center"/>
    </xf>
    <xf borderId="19" fillId="19" fontId="5" numFmtId="0" xfId="0" applyBorder="1" applyFill="1" applyFont="1"/>
    <xf borderId="19" fillId="5" fontId="23" numFmtId="18" xfId="0" applyAlignment="1" applyBorder="1" applyFont="1" applyNumberFormat="1">
      <alignment horizontal="center"/>
    </xf>
    <xf borderId="19" fillId="18" fontId="31" numFmtId="1" xfId="0" applyAlignment="1" applyBorder="1" applyFont="1" applyNumberFormat="1">
      <alignment horizontal="center"/>
    </xf>
    <xf borderId="19" fillId="8" fontId="24" numFmtId="0" xfId="0" applyAlignment="1" applyBorder="1" applyFont="1">
      <alignment horizontal="center" textRotation="255" vertical="center"/>
    </xf>
    <xf borderId="1" fillId="8" fontId="8" numFmtId="0" xfId="0" applyAlignment="1" applyBorder="1" applyFont="1">
      <alignment horizontal="right"/>
    </xf>
    <xf borderId="19" fillId="8" fontId="10" numFmtId="1" xfId="0" applyBorder="1" applyFont="1" applyNumberFormat="1"/>
    <xf borderId="19" fillId="8" fontId="8" numFmtId="166" xfId="0" applyAlignment="1" applyBorder="1" applyFont="1" applyNumberFormat="1">
      <alignment horizontal="center" vertical="center"/>
    </xf>
    <xf borderId="19" fillId="8" fontId="22" numFmtId="9" xfId="0" applyAlignment="1" applyBorder="1" applyFont="1" applyNumberFormat="1">
      <alignment horizontal="center" vertical="center"/>
    </xf>
    <xf borderId="53" fillId="11" fontId="30" numFmtId="0" xfId="0" applyAlignment="1" applyBorder="1" applyFont="1">
      <alignment vertical="center"/>
    </xf>
    <xf borderId="20" fillId="8" fontId="32" numFmtId="0" xfId="0" applyAlignment="1" applyBorder="1" applyFont="1">
      <alignment horizontal="center" readingOrder="0" textRotation="255" vertical="center"/>
    </xf>
    <xf borderId="53" fillId="3" fontId="33" numFmtId="0" xfId="0" applyAlignment="1" applyBorder="1" applyFont="1">
      <alignment horizontal="center" vertical="center"/>
    </xf>
    <xf borderId="56" fillId="0" fontId="33" numFmtId="0" xfId="0" applyAlignment="1" applyBorder="1" applyFont="1">
      <alignment vertical="center"/>
    </xf>
    <xf borderId="35" fillId="6" fontId="11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/>
    </xf>
    <xf borderId="59" fillId="0" fontId="2" numFmtId="0" xfId="0" applyBorder="1" applyFont="1"/>
    <xf borderId="19" fillId="4" fontId="5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horizontal="center" shrinkToFit="0" vertical="center" wrapText="1"/>
    </xf>
    <xf borderId="0" fillId="0" fontId="5" numFmtId="167" xfId="0" applyFont="1" applyNumberFormat="1"/>
    <xf borderId="19" fillId="20" fontId="22" numFmtId="1" xfId="0" applyAlignment="1" applyBorder="1" applyFill="1" applyFont="1" applyNumberFormat="1">
      <alignment horizontal="center" vertical="center"/>
    </xf>
    <xf borderId="19" fillId="20" fontId="22" numFmtId="18" xfId="0" applyAlignment="1" applyBorder="1" applyFont="1" applyNumberFormat="1">
      <alignment horizontal="center" vertical="center"/>
    </xf>
    <xf borderId="19" fillId="21" fontId="22" numFmtId="18" xfId="0" applyAlignment="1" applyBorder="1" applyFill="1" applyFont="1" applyNumberFormat="1">
      <alignment horizontal="center" vertical="center"/>
    </xf>
    <xf borderId="19" fillId="22" fontId="22" numFmtId="1" xfId="0" applyAlignment="1" applyBorder="1" applyFill="1" applyFont="1" applyNumberFormat="1">
      <alignment horizontal="center" vertical="center"/>
    </xf>
    <xf borderId="19" fillId="22" fontId="22" numFmtId="18" xfId="0" applyAlignment="1" applyBorder="1" applyFont="1" applyNumberFormat="1">
      <alignment horizontal="center" vertical="center"/>
    </xf>
    <xf borderId="20" fillId="8" fontId="34" numFmtId="0" xfId="0" applyAlignment="1" applyBorder="1" applyFont="1">
      <alignment horizontal="center" textRotation="255" vertical="center"/>
    </xf>
    <xf borderId="1" fillId="23" fontId="35" numFmtId="0" xfId="0" applyAlignment="1" applyBorder="1" applyFill="1" applyFont="1">
      <alignment horizontal="center" vertical="center"/>
    </xf>
    <xf borderId="60" fillId="0" fontId="2" numFmtId="0" xfId="0" applyBorder="1" applyFont="1"/>
    <xf borderId="61" fillId="8" fontId="6" numFmtId="0" xfId="0" applyAlignment="1" applyBorder="1" applyFont="1">
      <alignment horizontal="center"/>
    </xf>
    <xf borderId="19" fillId="23" fontId="6" numFmtId="0" xfId="0" applyBorder="1" applyFont="1"/>
    <xf borderId="41" fillId="6" fontId="8" numFmtId="0" xfId="0" applyAlignment="1" applyBorder="1" applyFont="1">
      <alignment horizontal="center" vertical="center"/>
    </xf>
    <xf borderId="58" fillId="5" fontId="8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0" fillId="0" fontId="8" numFmtId="0" xfId="0" applyAlignment="1" applyFont="1">
      <alignment horizontal="center"/>
    </xf>
    <xf borderId="50" fillId="5" fontId="8" numFmtId="0" xfId="0" applyAlignment="1" applyBorder="1" applyFont="1">
      <alignment horizontal="center"/>
    </xf>
    <xf borderId="17" fillId="0" fontId="8" numFmtId="0" xfId="0" applyAlignment="1" applyBorder="1" applyFont="1">
      <alignment horizontal="center"/>
    </xf>
    <xf borderId="4" fillId="6" fontId="8" numFmtId="0" xfId="0" applyAlignment="1" applyBorder="1" applyFont="1">
      <alignment horizontal="center" vertical="center"/>
    </xf>
    <xf borderId="62" fillId="0" fontId="8" numFmtId="0" xfId="0" applyBorder="1" applyFont="1"/>
    <xf borderId="63" fillId="0" fontId="5" numFmtId="0" xfId="0" applyBorder="1" applyFont="1"/>
    <xf borderId="19" fillId="5" fontId="5" numFmtId="18" xfId="0" applyAlignment="1" applyBorder="1" applyFont="1" applyNumberFormat="1">
      <alignment horizontal="center" vertical="center"/>
    </xf>
    <xf borderId="19" fillId="6" fontId="8" numFmtId="0" xfId="0" applyAlignment="1" applyBorder="1" applyFont="1">
      <alignment horizontal="center" vertical="center"/>
    </xf>
    <xf borderId="17" fillId="5" fontId="5" numFmtId="18" xfId="0" applyAlignment="1" applyBorder="1" applyFont="1" applyNumberFormat="1">
      <alignment horizontal="center" vertical="center"/>
    </xf>
    <xf borderId="19" fillId="24" fontId="5" numFmtId="18" xfId="0" applyAlignment="1" applyBorder="1" applyFill="1" applyFont="1" applyNumberFormat="1">
      <alignment horizontal="center" vertical="center"/>
    </xf>
    <xf borderId="17" fillId="14" fontId="37" numFmtId="0" xfId="0" applyAlignment="1" applyBorder="1" applyFont="1">
      <alignment horizontal="center"/>
    </xf>
    <xf borderId="0" fillId="0" fontId="5" numFmtId="18" xfId="0" applyFont="1" applyNumberFormat="1"/>
    <xf borderId="19" fillId="24" fontId="5" numFmtId="0" xfId="0" applyBorder="1" applyFont="1"/>
    <xf borderId="19" fillId="16" fontId="5" numFmtId="18" xfId="0" applyAlignment="1" applyBorder="1" applyFont="1" applyNumberFormat="1">
      <alignment horizontal="center" vertical="center"/>
    </xf>
    <xf borderId="19" fillId="25" fontId="5" numFmtId="18" xfId="0" applyAlignment="1" applyBorder="1" applyFill="1" applyFont="1" applyNumberFormat="1">
      <alignment horizontal="center" vertical="center"/>
    </xf>
    <xf borderId="17" fillId="5" fontId="38" numFmtId="18" xfId="0" applyAlignment="1" applyBorder="1" applyFont="1" applyNumberFormat="1">
      <alignment horizontal="center" vertical="center"/>
    </xf>
    <xf borderId="19" fillId="5" fontId="38" numFmtId="18" xfId="0" applyAlignment="1" applyBorder="1" applyFont="1" applyNumberFormat="1">
      <alignment horizontal="center" vertical="center"/>
    </xf>
    <xf borderId="17" fillId="24" fontId="38" numFmtId="18" xfId="0" applyAlignment="1" applyBorder="1" applyFont="1" applyNumberFormat="1">
      <alignment horizontal="center" vertical="center"/>
    </xf>
    <xf borderId="19" fillId="26" fontId="5" numFmtId="18" xfId="0" applyAlignment="1" applyBorder="1" applyFill="1" applyFont="1" applyNumberFormat="1">
      <alignment horizontal="center" vertical="center"/>
    </xf>
    <xf borderId="19" fillId="27" fontId="5" numFmtId="0" xfId="0" applyBorder="1" applyFill="1" applyFont="1"/>
    <xf borderId="19" fillId="5" fontId="8" numFmtId="0" xfId="0" applyAlignment="1" applyBorder="1" applyFont="1">
      <alignment horizontal="center"/>
    </xf>
    <xf borderId="19" fillId="5" fontId="8" numFmtId="0" xfId="0" applyAlignment="1" applyBorder="1" applyFont="1">
      <alignment horizontal="center" vertical="center"/>
    </xf>
    <xf borderId="17" fillId="5" fontId="8" numFmtId="18" xfId="0" applyAlignment="1" applyBorder="1" applyFont="1" applyNumberFormat="1">
      <alignment horizontal="center"/>
    </xf>
    <xf borderId="17" fillId="5" fontId="8" numFmtId="18" xfId="0" applyAlignment="1" applyBorder="1" applyFont="1" applyNumberFormat="1">
      <alignment horizontal="center" vertical="center"/>
    </xf>
    <xf borderId="17" fillId="28" fontId="8" numFmtId="18" xfId="0" applyAlignment="1" applyBorder="1" applyFill="1" applyFont="1" applyNumberFormat="1">
      <alignment horizontal="center" vertical="center"/>
    </xf>
    <xf borderId="19" fillId="23" fontId="5" numFmtId="18" xfId="0" applyAlignment="1" applyBorder="1" applyFont="1" applyNumberFormat="1">
      <alignment horizontal="center" vertical="center"/>
    </xf>
    <xf borderId="64" fillId="27" fontId="39" numFmtId="0" xfId="0" applyAlignment="1" applyBorder="1" applyFont="1">
      <alignment horizontal="center" vertical="center"/>
    </xf>
    <xf borderId="65" fillId="0" fontId="2" numFmtId="0" xfId="0" applyBorder="1" applyFont="1"/>
    <xf borderId="64" fillId="29" fontId="40" numFmtId="0" xfId="0" applyAlignment="1" applyBorder="1" applyFill="1" applyFont="1">
      <alignment horizontal="center"/>
    </xf>
    <xf borderId="19" fillId="27" fontId="40" numFmtId="0" xfId="0" applyAlignment="1" applyBorder="1" applyFont="1">
      <alignment horizontal="center"/>
    </xf>
    <xf borderId="50" fillId="5" fontId="41" numFmtId="0" xfId="0" applyAlignment="1" applyBorder="1" applyFont="1">
      <alignment horizontal="center"/>
    </xf>
    <xf borderId="41" fillId="6" fontId="41" numFmtId="0" xfId="0" applyAlignment="1" applyBorder="1" applyFont="1">
      <alignment horizontal="center" vertical="center"/>
    </xf>
    <xf borderId="66" fillId="5" fontId="41" numFmtId="0" xfId="0" applyAlignment="1" applyBorder="1" applyFont="1">
      <alignment horizontal="center"/>
    </xf>
    <xf borderId="50" fillId="30" fontId="41" numFmtId="0" xfId="0" applyAlignment="1" applyBorder="1" applyFill="1" applyFont="1">
      <alignment horizontal="center"/>
    </xf>
    <xf borderId="51" fillId="5" fontId="41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19" fillId="5" fontId="41" numFmtId="0" xfId="0" applyAlignment="1" applyBorder="1" applyFont="1">
      <alignment horizontal="center"/>
    </xf>
    <xf borderId="19" fillId="30" fontId="36" numFmtId="0" xfId="0" applyBorder="1" applyFont="1"/>
    <xf borderId="57" fillId="5" fontId="41" numFmtId="0" xfId="0" applyAlignment="1" applyBorder="1" applyFont="1">
      <alignment horizontal="center"/>
    </xf>
    <xf borderId="42" fillId="5" fontId="41" numFmtId="0" xfId="0" applyAlignment="1" applyBorder="1" applyFont="1">
      <alignment horizontal="center" shrinkToFit="0" wrapText="1"/>
    </xf>
    <xf borderId="42" fillId="5" fontId="41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shrinkToFit="0" wrapText="1"/>
    </xf>
    <xf borderId="57" fillId="5" fontId="41" numFmtId="0" xfId="0" applyAlignment="1" applyBorder="1" applyFont="1">
      <alignment horizontal="center" shrinkToFit="0" wrapText="1"/>
    </xf>
    <xf borderId="67" fillId="5" fontId="41" numFmtId="0" xfId="0" applyAlignment="1" applyBorder="1" applyFont="1">
      <alignment horizontal="center" shrinkToFit="0" wrapText="1"/>
    </xf>
    <xf borderId="34" fillId="0" fontId="36" numFmtId="0" xfId="0" applyAlignment="1" applyBorder="1" applyFont="1">
      <alignment horizontal="center" shrinkToFit="0" wrapText="1"/>
    </xf>
    <xf borderId="50" fillId="5" fontId="41" numFmtId="0" xfId="0" applyAlignment="1" applyBorder="1" applyFont="1">
      <alignment horizontal="center" shrinkToFit="0" wrapText="1"/>
    </xf>
    <xf borderId="68" fillId="5" fontId="41" numFmtId="0" xfId="0" applyAlignment="1" applyBorder="1" applyFont="1">
      <alignment horizontal="center" shrinkToFit="0" wrapText="1"/>
    </xf>
    <xf borderId="69" fillId="5" fontId="41" numFmtId="0" xfId="0" applyAlignment="1" applyBorder="1" applyFont="1">
      <alignment horizontal="center" shrinkToFit="0" wrapText="1"/>
    </xf>
    <xf borderId="19" fillId="5" fontId="41" numFmtId="0" xfId="0" applyAlignment="1" applyBorder="1" applyFont="1">
      <alignment horizontal="center" shrinkToFit="0" wrapText="1"/>
    </xf>
    <xf borderId="17" fillId="5" fontId="41" numFmtId="0" xfId="0" applyAlignment="1" applyBorder="1" applyFont="1">
      <alignment horizontal="center" shrinkToFit="0" wrapText="1"/>
    </xf>
    <xf borderId="17" fillId="5" fontId="41" numFmtId="0" xfId="0" applyAlignment="1" applyBorder="1" applyFont="1">
      <alignment horizontal="center"/>
    </xf>
    <xf borderId="17" fillId="5" fontId="41" numFmtId="0" xfId="0" applyAlignment="1" applyBorder="1" applyFont="1">
      <alignment horizontal="center" vertical="center"/>
    </xf>
    <xf borderId="17" fillId="6" fontId="41" numFmtId="0" xfId="0" applyAlignment="1" applyBorder="1" applyFont="1">
      <alignment horizontal="center" vertical="center"/>
    </xf>
    <xf borderId="52" fillId="5" fontId="41" numFmtId="0" xfId="0" applyAlignment="1" applyBorder="1" applyFont="1">
      <alignment horizontal="center"/>
    </xf>
    <xf borderId="19" fillId="6" fontId="5" numFmtId="0" xfId="0" applyAlignment="1" applyBorder="1" applyFont="1">
      <alignment horizontal="center" vertical="center"/>
    </xf>
    <xf borderId="17" fillId="25" fontId="38" numFmtId="18" xfId="0" applyAlignment="1" applyBorder="1" applyFont="1" applyNumberFormat="1">
      <alignment horizontal="center" vertical="center"/>
    </xf>
    <xf borderId="17" fillId="0" fontId="5" numFmtId="0" xfId="0" applyBorder="1" applyFont="1"/>
    <xf borderId="19" fillId="6" fontId="41" numFmtId="0" xfId="0" applyAlignment="1" applyBorder="1" applyFont="1">
      <alignment horizontal="center" vertical="center"/>
    </xf>
    <xf borderId="19" fillId="5" fontId="41" numFmtId="0" xfId="0" applyAlignment="1" applyBorder="1" applyFont="1">
      <alignment horizontal="center" vertical="center"/>
    </xf>
    <xf borderId="17" fillId="5" fontId="41" numFmtId="18" xfId="0" applyAlignment="1" applyBorder="1" applyFont="1" applyNumberFormat="1">
      <alignment horizontal="center"/>
    </xf>
    <xf borderId="17" fillId="23" fontId="5" numFmtId="18" xfId="0" applyAlignment="1" applyBorder="1" applyFont="1" applyNumberFormat="1">
      <alignment horizontal="center" vertical="center"/>
    </xf>
    <xf borderId="70" fillId="8" fontId="24" numFmtId="0" xfId="0" applyAlignment="1" applyBorder="1" applyFont="1">
      <alignment horizontal="center" textRotation="255" vertical="center"/>
    </xf>
    <xf borderId="1" fillId="31" fontId="42" numFmtId="0" xfId="0" applyAlignment="1" applyBorder="1" applyFill="1" applyFont="1">
      <alignment horizontal="center" readingOrder="0"/>
    </xf>
    <xf borderId="19" fillId="5" fontId="43" numFmtId="18" xfId="0" applyAlignment="1" applyBorder="1" applyFont="1" applyNumberFormat="1">
      <alignment horizontal="center" vertical="center"/>
    </xf>
    <xf borderId="19" fillId="6" fontId="43" numFmtId="1" xfId="0" applyAlignment="1" applyBorder="1" applyFont="1" applyNumberFormat="1">
      <alignment horizontal="center" vertical="center"/>
    </xf>
    <xf borderId="71" fillId="0" fontId="2" numFmtId="0" xfId="0" applyBorder="1" applyFont="1"/>
    <xf borderId="0" fillId="0" fontId="5" numFmtId="1" xfId="0" applyAlignment="1" applyFont="1" applyNumberFormat="1">
      <alignment horizontal="center" vertical="center"/>
    </xf>
    <xf borderId="39" fillId="8" fontId="24" numFmtId="0" xfId="0" applyAlignment="1" applyBorder="1" applyFont="1">
      <alignment horizontal="center" textRotation="255" vertical="center"/>
    </xf>
    <xf borderId="17" fillId="5" fontId="8" numFmtId="0" xfId="0" applyAlignment="1" applyBorder="1" applyFont="1">
      <alignment horizontal="center" shrinkToFit="0" vertical="center" wrapText="1"/>
    </xf>
    <xf borderId="50" fillId="5" fontId="8" numFmtId="0" xfId="0" applyAlignment="1" applyBorder="1" applyFont="1">
      <alignment horizontal="center" shrinkToFit="0" vertical="center" wrapText="1"/>
    </xf>
    <xf borderId="51" fillId="5" fontId="8" numFmtId="0" xfId="0" applyAlignment="1" applyBorder="1" applyFont="1">
      <alignment horizontal="center" shrinkToFit="0" vertical="center" wrapText="1"/>
    </xf>
    <xf borderId="52" fillId="5" fontId="8" numFmtId="0" xfId="0" applyAlignment="1" applyBorder="1" applyFont="1">
      <alignment horizontal="center" vertical="center"/>
    </xf>
    <xf borderId="17" fillId="5" fontId="43" numFmtId="18" xfId="0" applyAlignment="1" applyBorder="1" applyFont="1" applyNumberFormat="1">
      <alignment horizontal="center" vertical="center"/>
    </xf>
    <xf borderId="19" fillId="8" fontId="24" numFmtId="0" xfId="0" applyAlignment="1" applyBorder="1" applyFont="1">
      <alignment textRotation="255" vertical="center"/>
    </xf>
    <xf borderId="19" fillId="8" fontId="9" numFmtId="1" xfId="0" applyBorder="1" applyFont="1" applyNumberFormat="1"/>
    <xf borderId="4" fillId="17" fontId="44" numFmtId="0" xfId="0" applyAlignment="1" applyBorder="1" applyFont="1">
      <alignment horizontal="center" readingOrder="0"/>
    </xf>
    <xf borderId="51" fillId="5" fontId="45" numFmtId="0" xfId="0" applyAlignment="1" applyBorder="1" applyFont="1">
      <alignment horizontal="center" vertical="center"/>
    </xf>
    <xf borderId="50" fillId="5" fontId="45" numFmtId="0" xfId="0" applyAlignment="1" applyBorder="1" applyFont="1">
      <alignment horizontal="center" vertical="center"/>
    </xf>
    <xf borderId="0" fillId="0" fontId="46" numFmtId="0" xfId="0" applyAlignment="1" applyFont="1">
      <alignment horizontal="center" vertical="center"/>
    </xf>
    <xf borderId="17" fillId="5" fontId="45" numFmtId="0" xfId="0" applyAlignment="1" applyBorder="1" applyFont="1">
      <alignment horizontal="center" shrinkToFit="0" vertical="center" wrapText="1"/>
    </xf>
    <xf borderId="50" fillId="5" fontId="45" numFmtId="0" xfId="0" applyAlignment="1" applyBorder="1" applyFont="1">
      <alignment horizontal="center" shrinkToFit="0" vertical="center" wrapText="1"/>
    </xf>
    <xf borderId="17" fillId="5" fontId="45" numFmtId="0" xfId="0" applyAlignment="1" applyBorder="1" applyFont="1">
      <alignment horizontal="center" vertical="center"/>
    </xf>
    <xf borderId="52" fillId="5" fontId="45" numFmtId="0" xfId="0" applyAlignment="1" applyBorder="1" applyFont="1">
      <alignment horizontal="center" vertical="center"/>
    </xf>
    <xf borderId="48" fillId="32" fontId="7" numFmtId="0" xfId="0" applyAlignment="1" applyBorder="1" applyFill="1" applyFont="1">
      <alignment horizontal="center"/>
    </xf>
    <xf borderId="72" fillId="8" fontId="25" numFmtId="0" xfId="0" applyBorder="1" applyFont="1"/>
    <xf borderId="58" fillId="5" fontId="11" numFmtId="0" xfId="0" applyAlignment="1" applyBorder="1" applyFont="1">
      <alignment horizontal="center" shrinkToFit="0" vertical="center" wrapText="1"/>
    </xf>
    <xf borderId="72" fillId="5" fontId="11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vertical="center"/>
    </xf>
    <xf borderId="19" fillId="5" fontId="47" numFmtId="18" xfId="0" applyAlignment="1" applyBorder="1" applyFont="1" applyNumberFormat="1">
      <alignment horizontal="center" vertical="center"/>
    </xf>
    <xf borderId="19" fillId="8" fontId="48" numFmtId="18" xfId="0" applyAlignment="1" applyBorder="1" applyFont="1" applyNumberFormat="1">
      <alignment horizontal="center" vertical="center"/>
    </xf>
    <xf borderId="19" fillId="6" fontId="47" numFmtId="1" xfId="0" applyAlignment="1" applyBorder="1" applyFont="1" applyNumberFormat="1">
      <alignment horizontal="center" vertical="center"/>
    </xf>
    <xf borderId="19" fillId="17" fontId="5" numFmtId="0" xfId="0" applyAlignment="1" applyBorder="1" applyFont="1">
      <alignment vertical="center"/>
    </xf>
    <xf borderId="19" fillId="4" fontId="19" numFmtId="165" xfId="0" applyAlignment="1" applyBorder="1" applyFont="1" applyNumberFormat="1">
      <alignment horizontal="center" vertical="center"/>
    </xf>
    <xf borderId="19" fillId="33" fontId="5" numFmtId="0" xfId="0" applyAlignment="1" applyBorder="1" applyFill="1" applyFont="1">
      <alignment vertical="center"/>
    </xf>
    <xf borderId="73" fillId="0" fontId="5" numFmtId="0" xfId="0" applyAlignment="1" applyBorder="1" applyFont="1">
      <alignment horizontal="right"/>
    </xf>
    <xf borderId="63" fillId="0" fontId="5" numFmtId="1" xfId="0" applyAlignment="1" applyBorder="1" applyFont="1" applyNumberFormat="1">
      <alignment horizontal="left"/>
    </xf>
    <xf borderId="0" fillId="0" fontId="5" numFmtId="0" xfId="0" applyAlignment="1" applyFont="1">
      <alignment horizontal="right"/>
    </xf>
    <xf borderId="37" fillId="4" fontId="8" numFmtId="2" xfId="0" applyAlignment="1" applyBorder="1" applyFont="1" applyNumberFormat="1">
      <alignment horizontal="center" vertical="center"/>
    </xf>
    <xf borderId="74" fillId="0" fontId="5" numFmtId="0" xfId="0" applyBorder="1" applyFont="1"/>
    <xf borderId="75" fillId="5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7" fillId="10" fontId="5" numFmtId="0" xfId="0" applyAlignment="1" applyBorder="1" applyFont="1">
      <alignment horizontal="center" vertical="center"/>
    </xf>
    <xf borderId="19" fillId="15" fontId="22" numFmtId="18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  <xf borderId="19" fillId="20" fontId="5" numFmtId="0" xfId="0" applyBorder="1" applyFont="1"/>
    <xf borderId="58" fillId="5" fontId="22" numFmtId="18" xfId="0" applyAlignment="1" applyBorder="1" applyFont="1" applyNumberFormat="1">
      <alignment horizontal="center" vertical="center"/>
    </xf>
    <xf borderId="19" fillId="34" fontId="22" numFmtId="18" xfId="0" applyAlignment="1" applyBorder="1" applyFill="1" applyFont="1" applyNumberFormat="1">
      <alignment horizontal="center" vertical="center"/>
    </xf>
    <xf borderId="19" fillId="9" fontId="22" numFmtId="1" xfId="0" applyAlignment="1" applyBorder="1" applyFont="1" applyNumberFormat="1">
      <alignment horizontal="center" vertical="center"/>
    </xf>
    <xf borderId="19" fillId="35" fontId="22" numFmtId="18" xfId="0" applyAlignment="1" applyBorder="1" applyFill="1" applyFont="1" applyNumberFormat="1">
      <alignment horizontal="center" vertical="center"/>
    </xf>
    <xf borderId="19" fillId="35" fontId="22" numFmtId="1" xfId="0" applyAlignment="1" applyBorder="1" applyFont="1" applyNumberFormat="1">
      <alignment horizontal="center" vertical="center"/>
    </xf>
    <xf borderId="19" fillId="36" fontId="22" numFmtId="18" xfId="0" applyAlignment="1" applyBorder="1" applyFill="1" applyFont="1" applyNumberFormat="1">
      <alignment horizontal="center" vertical="center"/>
    </xf>
    <xf borderId="19" fillId="34" fontId="22" numFmtId="1" xfId="0" applyAlignment="1" applyBorder="1" applyFont="1" applyNumberFormat="1">
      <alignment horizontal="center" vertical="center"/>
    </xf>
    <xf borderId="17" fillId="8" fontId="48" numFmtId="18" xfId="0" applyAlignment="1" applyBorder="1" applyFont="1" applyNumberFormat="1">
      <alignment horizontal="center" vertical="center"/>
    </xf>
    <xf borderId="0" fillId="0" fontId="8" numFmtId="0" xfId="0" applyFont="1"/>
    <xf borderId="17" fillId="10" fontId="5" numFmtId="0" xfId="0" applyAlignment="1" applyBorder="1" applyFont="1">
      <alignment vertical="center"/>
    </xf>
    <xf borderId="0" fillId="0" fontId="8" numFmtId="1" xfId="0" applyFont="1" applyNumberFormat="1"/>
    <xf borderId="19" fillId="14" fontId="49" numFmtId="0" xfId="0" applyBorder="1" applyFont="1"/>
    <xf borderId="19" fillId="8" fontId="50" numFmtId="0" xfId="0" applyAlignment="1" applyBorder="1" applyFont="1">
      <alignment vertical="center"/>
    </xf>
    <xf borderId="19" fillId="8" fontId="49" numFmtId="0" xfId="0" applyBorder="1" applyFont="1"/>
    <xf borderId="19" fillId="8" fontId="49" numFmtId="0" xfId="0" applyAlignment="1" applyBorder="1" applyFont="1">
      <alignment horizontal="center" vertical="center"/>
    </xf>
    <xf borderId="20" fillId="8" fontId="51" numFmtId="0" xfId="0" applyAlignment="1" applyBorder="1" applyFont="1">
      <alignment horizontal="center" readingOrder="0" vertical="center"/>
    </xf>
    <xf borderId="0" fillId="0" fontId="49" numFmtId="0" xfId="0" applyFont="1"/>
    <xf borderId="17" fillId="4" fontId="52" numFmtId="0" xfId="0" applyAlignment="1" applyBorder="1" applyFont="1">
      <alignment vertical="center"/>
    </xf>
    <xf borderId="0" fillId="0" fontId="49" numFmtId="0" xfId="0" applyAlignment="1" applyFont="1">
      <alignment horizontal="center" vertical="center"/>
    </xf>
    <xf borderId="17" fillId="30" fontId="41" numFmtId="0" xfId="0" applyAlignment="1" applyBorder="1" applyFont="1">
      <alignment horizontal="center"/>
    </xf>
    <xf borderId="17" fillId="4" fontId="52" numFmtId="20" xfId="0" applyAlignment="1" applyBorder="1" applyFont="1" applyNumberFormat="1">
      <alignment horizontal="center" vertical="center"/>
    </xf>
    <xf borderId="52" fillId="4" fontId="52" numFmtId="20" xfId="0" applyAlignment="1" applyBorder="1" applyFont="1" applyNumberFormat="1">
      <alignment horizontal="center" vertical="center"/>
    </xf>
    <xf borderId="17" fillId="0" fontId="52" numFmtId="0" xfId="0" applyAlignment="1" applyBorder="1" applyFont="1">
      <alignment horizontal="center" vertical="center"/>
    </xf>
    <xf borderId="17" fillId="37" fontId="41" numFmtId="0" xfId="0" applyAlignment="1" applyBorder="1" applyFill="1" applyFont="1">
      <alignment horizontal="center" vertical="center"/>
    </xf>
    <xf borderId="17" fillId="38" fontId="49" numFmtId="0" xfId="0" applyAlignment="1" applyBorder="1" applyFill="1" applyFont="1">
      <alignment horizontal="center"/>
    </xf>
    <xf borderId="4" fillId="0" fontId="5" numFmtId="0" xfId="0" applyBorder="1" applyFont="1"/>
    <xf borderId="17" fillId="0" fontId="52" numFmtId="0" xfId="0" applyAlignment="1" applyBorder="1" applyFont="1">
      <alignment horizontal="center"/>
    </xf>
    <xf borderId="17" fillId="0" fontId="52" numFmtId="168" xfId="0" applyAlignment="1" applyBorder="1" applyFont="1" applyNumberFormat="1">
      <alignment horizontal="center"/>
    </xf>
    <xf borderId="17" fillId="7" fontId="52" numFmtId="0" xfId="0" applyAlignment="1" applyBorder="1" applyFont="1">
      <alignment horizontal="center" vertical="center"/>
    </xf>
    <xf borderId="17" fillId="39" fontId="49" numFmtId="0" xfId="0" applyAlignment="1" applyBorder="1" applyFill="1" applyFont="1">
      <alignment horizontal="center"/>
    </xf>
    <xf borderId="42" fillId="40" fontId="49" numFmtId="0" xfId="0" applyAlignment="1" applyBorder="1" applyFill="1" applyFont="1">
      <alignment horizontal="center"/>
    </xf>
    <xf borderId="76" fillId="0" fontId="5" numFmtId="0" xfId="0" applyBorder="1" applyFont="1"/>
    <xf borderId="35" fillId="0" fontId="52" numFmtId="0" xfId="0" applyAlignment="1" applyBorder="1" applyFont="1">
      <alignment horizontal="center"/>
    </xf>
    <xf borderId="35" fillId="0" fontId="52" numFmtId="168" xfId="0" applyAlignment="1" applyBorder="1" applyFont="1" applyNumberFormat="1">
      <alignment horizontal="center"/>
    </xf>
    <xf borderId="77" fillId="40" fontId="49" numFmtId="0" xfId="0" applyAlignment="1" applyBorder="1" applyFont="1">
      <alignment horizontal="center"/>
    </xf>
    <xf borderId="78" fillId="40" fontId="49" numFmtId="0" xfId="0" applyAlignment="1" applyBorder="1" applyFont="1">
      <alignment horizontal="center"/>
    </xf>
    <xf borderId="78" fillId="40" fontId="5" numFmtId="0" xfId="0" applyAlignment="1" applyBorder="1" applyFont="1">
      <alignment horizontal="center"/>
    </xf>
    <xf borderId="79" fillId="0" fontId="5" numFmtId="0" xfId="0" applyBorder="1" applyFont="1"/>
    <xf borderId="78" fillId="0" fontId="52" numFmtId="0" xfId="0" applyAlignment="1" applyBorder="1" applyFont="1">
      <alignment horizontal="center"/>
    </xf>
    <xf borderId="80" fillId="0" fontId="52" numFmtId="168" xfId="0" applyAlignment="1" applyBorder="1" applyFont="1" applyNumberFormat="1">
      <alignment horizontal="center"/>
    </xf>
    <xf borderId="81" fillId="40" fontId="49" numFmtId="0" xfId="0" applyAlignment="1" applyBorder="1" applyFont="1">
      <alignment horizontal="center"/>
    </xf>
    <xf borderId="82" fillId="40" fontId="49" numFmtId="0" xfId="0" applyAlignment="1" applyBorder="1" applyFont="1">
      <alignment horizontal="center"/>
    </xf>
    <xf borderId="82" fillId="40" fontId="5" numFmtId="0" xfId="0" applyAlignment="1" applyBorder="1" applyFont="1">
      <alignment horizontal="center"/>
    </xf>
    <xf borderId="83" fillId="0" fontId="5" numFmtId="0" xfId="0" applyBorder="1" applyFont="1"/>
    <xf borderId="82" fillId="0" fontId="52" numFmtId="0" xfId="0" applyAlignment="1" applyBorder="1" applyFont="1">
      <alignment horizontal="center"/>
    </xf>
    <xf borderId="84" fillId="0" fontId="52" numFmtId="168" xfId="0" applyAlignment="1" applyBorder="1" applyFont="1" applyNumberFormat="1">
      <alignment horizontal="center"/>
    </xf>
    <xf borderId="85" fillId="4" fontId="52" numFmtId="0" xfId="0" applyAlignment="1" applyBorder="1" applyFont="1">
      <alignment horizontal="center" vertical="center"/>
    </xf>
    <xf borderId="86" fillId="4" fontId="52" numFmtId="0" xfId="0" applyAlignment="1" applyBorder="1" applyFont="1">
      <alignment horizontal="center" vertical="center"/>
    </xf>
    <xf borderId="50" fillId="4" fontId="52" numFmtId="0" xfId="0" applyAlignment="1" applyBorder="1" applyFont="1">
      <alignment horizontal="center" vertical="center"/>
    </xf>
    <xf borderId="50" fillId="7" fontId="52" numFmtId="0" xfId="0" applyAlignment="1" applyBorder="1" applyFont="1">
      <alignment horizontal="center" vertical="center"/>
    </xf>
    <xf borderId="19" fillId="8" fontId="49" numFmtId="0" xfId="0" applyAlignment="1" applyBorder="1" applyFont="1">
      <alignment horizontal="center"/>
    </xf>
    <xf borderId="20" fillId="8" fontId="51" numFmtId="0" xfId="0" applyAlignment="1" applyBorder="1" applyFont="1">
      <alignment horizontal="center" vertical="center"/>
    </xf>
    <xf borderId="42" fillId="38" fontId="49" numFmtId="0" xfId="0" applyAlignment="1" applyBorder="1" applyFont="1">
      <alignment horizontal="center"/>
    </xf>
    <xf borderId="42" fillId="38" fontId="5" numFmtId="0" xfId="0" applyAlignment="1" applyBorder="1" applyFont="1">
      <alignment horizontal="center"/>
    </xf>
    <xf borderId="35" fillId="0" fontId="5" numFmtId="0" xfId="0" applyBorder="1" applyFont="1"/>
    <xf borderId="78" fillId="0" fontId="49" numFmtId="0" xfId="0" applyAlignment="1" applyBorder="1" applyFont="1">
      <alignment horizontal="center"/>
    </xf>
    <xf borderId="78" fillId="0" fontId="5" numFmtId="0" xfId="0" applyAlignment="1" applyBorder="1" applyFont="1">
      <alignment horizontal="center"/>
    </xf>
    <xf borderId="82" fillId="0" fontId="49" numFmtId="0" xfId="0" applyAlignment="1" applyBorder="1" applyFont="1">
      <alignment horizontal="center"/>
    </xf>
    <xf borderId="82" fillId="0" fontId="5" numFmtId="0" xfId="0" applyAlignment="1" applyBorder="1" applyFont="1">
      <alignment horizontal="center"/>
    </xf>
    <xf borderId="17" fillId="7" fontId="5" numFmtId="0" xfId="0" applyAlignment="1" applyBorder="1" applyFont="1">
      <alignment horizontal="center" vertical="center"/>
    </xf>
    <xf borderId="17" fillId="7" fontId="49" numFmtId="0" xfId="0" applyAlignment="1" applyBorder="1" applyFont="1">
      <alignment horizontal="center" vertical="center"/>
    </xf>
    <xf borderId="17" fillId="38" fontId="49" numFmtId="0" xfId="0" applyAlignment="1" applyBorder="1" applyFont="1">
      <alignment horizontal="center" vertical="center"/>
    </xf>
    <xf borderId="42" fillId="38" fontId="49" numFmtId="0" xfId="0" applyAlignment="1" applyBorder="1" applyFont="1">
      <alignment horizontal="center" vertical="center"/>
    </xf>
    <xf borderId="42" fillId="38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17" fillId="39" fontId="49" numFmtId="0" xfId="0" applyAlignment="1" applyBorder="1" applyFont="1">
      <alignment horizontal="center" vertical="center"/>
    </xf>
    <xf borderId="78" fillId="0" fontId="5" numFmtId="0" xfId="0" applyAlignment="1" applyBorder="1" applyFont="1">
      <alignment horizontal="center" vertical="center"/>
    </xf>
    <xf borderId="82" fillId="0" fontId="5" numFmtId="0" xfId="0" applyAlignment="1" applyBorder="1" applyFont="1">
      <alignment horizontal="center" vertical="center"/>
    </xf>
    <xf borderId="4" fillId="35" fontId="5" numFmtId="0" xfId="0" applyAlignment="1" applyBorder="1" applyFont="1">
      <alignment horizontal="center"/>
    </xf>
    <xf borderId="17" fillId="35" fontId="8" numFmtId="0" xfId="0" applyAlignment="1" applyBorder="1" applyFont="1">
      <alignment horizontal="center" vertical="center"/>
    </xf>
    <xf borderId="17" fillId="35" fontId="5" numFmtId="0" xfId="0" applyAlignment="1" applyBorder="1" applyFont="1">
      <alignment horizontal="center"/>
    </xf>
    <xf borderId="17" fillId="0" fontId="5" numFmtId="2" xfId="0" applyAlignment="1" applyBorder="1" applyFont="1" applyNumberFormat="1">
      <alignment horizontal="center"/>
    </xf>
    <xf borderId="17" fillId="0" fontId="5" numFmtId="1" xfId="0" applyAlignment="1" applyBorder="1" applyFont="1" applyNumberFormat="1">
      <alignment horizontal="center"/>
    </xf>
    <xf borderId="0" fillId="0" fontId="5" numFmtId="164" xfId="0" applyFont="1" applyNumberFormat="1"/>
    <xf borderId="17" fillId="0" fontId="5" numFmtId="167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/>
    </xf>
    <xf borderId="17" fillId="0" fontId="8" numFmtId="169" xfId="0" applyAlignment="1" applyBorder="1" applyFont="1" applyNumberFormat="1">
      <alignment horizontal="center"/>
    </xf>
    <xf borderId="17" fillId="41" fontId="9" numFmtId="0" xfId="0" applyAlignment="1" applyBorder="1" applyFill="1" applyFont="1">
      <alignment horizontal="center" vertical="center"/>
    </xf>
    <xf borderId="17" fillId="0" fontId="5" numFmtId="17" xfId="0" applyAlignment="1" applyBorder="1" applyFont="1" applyNumberFormat="1">
      <alignment horizontal="center"/>
    </xf>
    <xf quotePrefix="1" borderId="17" fillId="0" fontId="5" numFmtId="16" xfId="0" applyAlignment="1" applyBorder="1" applyFont="1" applyNumberFormat="1">
      <alignment horizontal="center"/>
    </xf>
    <xf quotePrefix="1" borderId="17" fillId="0" fontId="5" numFmtId="0" xfId="0" applyAlignment="1" applyBorder="1" applyFont="1">
      <alignment horizontal="center"/>
    </xf>
  </cellXfs>
  <cellStyles count="1">
    <cellStyle xfId="0" name="Normal" builtinId="0"/>
  </cellStyles>
  <dxfs count="18">
    <dxf>
      <font/>
      <fill>
        <patternFill patternType="solid">
          <fgColor rgb="FFFDF2ED"/>
          <bgColor rgb="FFFDF2E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45B0E1"/>
          <bgColor rgb="FF45B0E1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>
        <b/>
        <color rgb="FF00B05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9C0006"/>
      </font>
      <fill>
        <patternFill patternType="none"/>
      </fill>
      <border/>
    </dxf>
    <dxf>
      <font>
        <b/>
        <color rgb="FF0C3512"/>
      </font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EF5F0"/>
          <bgColor rgb="FFFEF5F0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E1EA36"/>
          <bgColor rgb="FFE1EA36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ECA788"/>
          <bgColor rgb="FFECA788"/>
        </patternFill>
      </fill>
      <border/>
    </dxf>
    <dxf>
      <font/>
      <fill>
        <patternFill patternType="solid">
          <fgColor rgb="FFE9FD9F"/>
          <bgColor rgb="FFE9FD9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3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7.5"/>
    <col customWidth="1" min="3" max="3" width="23.63"/>
    <col customWidth="1" min="4" max="4" width="22.75"/>
    <col customWidth="1" min="5" max="5" width="26.63"/>
    <col customWidth="1" min="6" max="6" width="10.13"/>
    <col customWidth="1" min="7" max="7" width="1.5"/>
    <col customWidth="1" min="8" max="8" width="8.25"/>
    <col customWidth="1" min="9" max="9" width="7.25"/>
    <col customWidth="1" min="10" max="10" width="8.63"/>
    <col customWidth="1" min="11" max="11" width="1.5"/>
    <col customWidth="1" min="12" max="13" width="8.63"/>
    <col customWidth="1" min="14" max="14" width="12.63"/>
    <col customWidth="1" min="15" max="15" width="32.75"/>
    <col customWidth="1" min="16" max="16" width="43.63"/>
    <col customWidth="1" min="17" max="17" width="27.25"/>
    <col customWidth="1" min="18" max="18" width="18.5"/>
    <col customWidth="1" min="19" max="19" width="14.25"/>
    <col customWidth="1" min="20" max="20" width="15.5"/>
    <col customWidth="1" min="21" max="26" width="8.63"/>
  </cols>
  <sheetData>
    <row r="1" ht="4.5" customHeight="1"/>
    <row r="2" ht="13.5" customHeight="1">
      <c r="B2" s="1" t="s">
        <v>0</v>
      </c>
      <c r="C2" s="2"/>
      <c r="D2" s="2"/>
      <c r="E2" s="3"/>
      <c r="H2" s="4" t="s">
        <v>1</v>
      </c>
      <c r="I2" s="5"/>
      <c r="J2" s="6"/>
      <c r="O2" s="7">
        <v>2025.0</v>
      </c>
      <c r="P2" s="8"/>
      <c r="Q2" s="8"/>
      <c r="R2" s="8"/>
      <c r="S2" s="8"/>
      <c r="T2" s="9"/>
    </row>
    <row r="3" ht="6.0" customHeight="1">
      <c r="B3" s="10"/>
      <c r="C3" s="10"/>
      <c r="O3" s="11"/>
      <c r="T3" s="12"/>
    </row>
    <row r="4" ht="13.5" customHeight="1">
      <c r="B4" s="13" t="s">
        <v>2</v>
      </c>
      <c r="C4" s="14"/>
      <c r="D4" s="15"/>
      <c r="E4" s="16" t="str">
        <f>E21+E39+E56+T18</f>
        <v>#REF!</v>
      </c>
      <c r="O4" s="11"/>
      <c r="T4" s="12"/>
    </row>
    <row r="5" ht="6.0" customHeight="1">
      <c r="B5" s="10"/>
      <c r="C5" s="10"/>
      <c r="O5" s="11"/>
      <c r="T5" s="12"/>
    </row>
    <row r="6" ht="27.0" customHeight="1">
      <c r="B6" s="1" t="s">
        <v>3</v>
      </c>
      <c r="C6" s="3"/>
      <c r="O6" s="17" t="s">
        <v>4</v>
      </c>
      <c r="S6" s="18" t="s">
        <v>5</v>
      </c>
      <c r="T6" s="19" t="s">
        <v>6</v>
      </c>
    </row>
    <row r="7" ht="15.0" customHeight="1">
      <c r="B7" s="20"/>
      <c r="C7" s="20"/>
      <c r="I7" s="21" t="s">
        <v>7</v>
      </c>
      <c r="J7" s="22" t="s">
        <v>8</v>
      </c>
      <c r="O7" s="23">
        <v>252.0</v>
      </c>
      <c r="S7" s="24" t="s">
        <v>9</v>
      </c>
      <c r="T7" s="25">
        <v>0.0</v>
      </c>
    </row>
    <row r="8" ht="13.5" customHeight="1">
      <c r="B8" s="26" t="s">
        <v>10</v>
      </c>
      <c r="C8" s="27" t="s">
        <v>11</v>
      </c>
      <c r="D8" s="27" t="s">
        <v>12</v>
      </c>
      <c r="E8" s="28" t="s">
        <v>13</v>
      </c>
      <c r="H8" s="29" t="s">
        <v>10</v>
      </c>
      <c r="I8" s="30" t="s">
        <v>14</v>
      </c>
      <c r="J8" s="3"/>
      <c r="O8" s="17" t="s">
        <v>15</v>
      </c>
      <c r="S8" s="24" t="s">
        <v>16</v>
      </c>
      <c r="T8" s="25" t="str">
        <f>$E$57</f>
        <v>#REF!</v>
      </c>
    </row>
    <row r="9" ht="13.5" customHeight="1">
      <c r="B9" s="31"/>
      <c r="C9" s="31"/>
      <c r="D9" s="31"/>
      <c r="E9" s="31"/>
      <c r="H9" s="29"/>
      <c r="I9" s="21"/>
      <c r="J9" s="21"/>
      <c r="O9" s="23">
        <v>52.0</v>
      </c>
      <c r="S9" s="24" t="s">
        <v>17</v>
      </c>
      <c r="T9" s="25">
        <v>0.0</v>
      </c>
    </row>
    <row r="10" ht="13.5" customHeight="1">
      <c r="B10" s="32">
        <v>400.0</v>
      </c>
      <c r="C10" s="33">
        <f>'400'!Q29</f>
        <v>23.36666667</v>
      </c>
      <c r="D10" s="34">
        <f t="shared" ref="D10:D20" si="1">C10*$O$7</f>
        <v>5888.4</v>
      </c>
      <c r="E10" s="33" t="str">
        <f t="shared" ref="E10:E20" si="2">C10-'[1]Hrs. Summary'!C8</f>
        <v>#REF!</v>
      </c>
      <c r="H10" s="32">
        <v>400.0</v>
      </c>
      <c r="I10" s="35">
        <v>2.0</v>
      </c>
      <c r="J10" s="35">
        <v>0.0</v>
      </c>
      <c r="O10" s="17" t="s">
        <v>18</v>
      </c>
      <c r="S10" s="24" t="s">
        <v>19</v>
      </c>
      <c r="T10" s="25">
        <v>0.0</v>
      </c>
    </row>
    <row r="11" ht="13.5" customHeight="1">
      <c r="B11" s="32">
        <v>100.0</v>
      </c>
      <c r="C11" s="33">
        <f>'100'!U43</f>
        <v>30.53333333</v>
      </c>
      <c r="D11" s="34">
        <f t="shared" si="1"/>
        <v>7694.4</v>
      </c>
      <c r="E11" s="33" t="str">
        <f t="shared" si="2"/>
        <v>#REF!</v>
      </c>
      <c r="H11" s="32">
        <v>100.0</v>
      </c>
      <c r="I11" s="35">
        <v>2.0</v>
      </c>
      <c r="J11" s="35">
        <v>2.0</v>
      </c>
      <c r="O11" s="23">
        <v>52.0</v>
      </c>
      <c r="S11" s="24" t="s">
        <v>20</v>
      </c>
      <c r="T11" s="25" t="str">
        <f t="shared" ref="T11:T13" si="3">$E$57</f>
        <v>#REF!</v>
      </c>
    </row>
    <row r="12" ht="13.5" customHeight="1">
      <c r="B12" s="32">
        <v>101.0</v>
      </c>
      <c r="C12" s="33">
        <f>'101'!Q42</f>
        <v>29.68333333</v>
      </c>
      <c r="D12" s="34">
        <f t="shared" si="1"/>
        <v>7480.2</v>
      </c>
      <c r="E12" s="33" t="str">
        <f t="shared" si="2"/>
        <v>#REF!</v>
      </c>
      <c r="H12" s="32">
        <v>101.0</v>
      </c>
      <c r="I12" s="35">
        <v>2.0</v>
      </c>
      <c r="J12" s="35">
        <v>2.0</v>
      </c>
      <c r="O12" s="17" t="s">
        <v>21</v>
      </c>
      <c r="S12" s="24" t="s">
        <v>22</v>
      </c>
      <c r="T12" s="25" t="str">
        <f t="shared" si="3"/>
        <v>#REF!</v>
      </c>
    </row>
    <row r="13" ht="13.5" customHeight="1">
      <c r="B13" s="32">
        <v>2.0</v>
      </c>
      <c r="C13" s="33">
        <f>'2'!W39</f>
        <v>48.28333333</v>
      </c>
      <c r="D13" s="34">
        <f t="shared" si="1"/>
        <v>12167.4</v>
      </c>
      <c r="E13" s="33" t="str">
        <f t="shared" si="2"/>
        <v>#REF!</v>
      </c>
      <c r="H13" s="32">
        <v>2.0</v>
      </c>
      <c r="I13" s="35">
        <v>2.0</v>
      </c>
      <c r="J13" s="35">
        <v>1.0</v>
      </c>
      <c r="O13" s="23">
        <v>6.0</v>
      </c>
      <c r="S13" s="24" t="s">
        <v>23</v>
      </c>
      <c r="T13" s="25" t="str">
        <f t="shared" si="3"/>
        <v>#REF!</v>
      </c>
    </row>
    <row r="14" ht="13.5" customHeight="1">
      <c r="B14" s="32">
        <v>7.0</v>
      </c>
      <c r="C14" s="33">
        <f>'7'!AD39</f>
        <v>64.13333333</v>
      </c>
      <c r="D14" s="34">
        <f t="shared" si="1"/>
        <v>16161.6</v>
      </c>
      <c r="E14" s="33" t="str">
        <f t="shared" si="2"/>
        <v>#REF!</v>
      </c>
      <c r="H14" s="32">
        <v>7.0</v>
      </c>
      <c r="I14" s="35">
        <v>4.0</v>
      </c>
      <c r="J14" s="35">
        <v>2.0</v>
      </c>
      <c r="O14" s="17" t="s">
        <v>24</v>
      </c>
      <c r="S14" s="24" t="s">
        <v>25</v>
      </c>
      <c r="T14" s="25">
        <v>0.0</v>
      </c>
    </row>
    <row r="15" ht="13.5" customHeight="1">
      <c r="B15" s="32" t="s">
        <v>26</v>
      </c>
      <c r="C15" s="33">
        <f>'8A'!AH43</f>
        <v>83.1</v>
      </c>
      <c r="D15" s="34">
        <f t="shared" si="1"/>
        <v>20941.2</v>
      </c>
      <c r="E15" s="33" t="str">
        <f t="shared" si="2"/>
        <v>#REF!</v>
      </c>
      <c r="H15" s="32" t="s">
        <v>26</v>
      </c>
      <c r="I15" s="35">
        <v>5.0</v>
      </c>
      <c r="J15" s="35">
        <v>2.5</v>
      </c>
      <c r="O15" s="23">
        <v>5.0</v>
      </c>
      <c r="S15" s="24" t="s">
        <v>27</v>
      </c>
      <c r="T15" s="25">
        <v>0.0</v>
      </c>
    </row>
    <row r="16" ht="13.5" customHeight="1">
      <c r="B16" s="32" t="s">
        <v>28</v>
      </c>
      <c r="C16" s="33">
        <f>'8B'!AI42</f>
        <v>79.43333333</v>
      </c>
      <c r="D16" s="34">
        <f t="shared" si="1"/>
        <v>20017.2</v>
      </c>
      <c r="E16" s="33" t="str">
        <f t="shared" si="2"/>
        <v>#REF!</v>
      </c>
      <c r="H16" s="32" t="s">
        <v>28</v>
      </c>
      <c r="I16" s="35">
        <v>5.0</v>
      </c>
      <c r="J16" s="35">
        <v>2.5</v>
      </c>
      <c r="O16" s="11"/>
      <c r="P16" s="36" t="s">
        <v>29</v>
      </c>
      <c r="S16" s="24" t="s">
        <v>30</v>
      </c>
      <c r="T16" s="25">
        <v>263.0</v>
      </c>
    </row>
    <row r="17" ht="13.5" customHeight="1">
      <c r="B17" s="37" t="s">
        <v>31</v>
      </c>
      <c r="C17" s="33">
        <f>'10'!Q40</f>
        <v>34.83333333</v>
      </c>
      <c r="D17" s="34">
        <f t="shared" si="1"/>
        <v>8778</v>
      </c>
      <c r="E17" s="33" t="str">
        <f t="shared" si="2"/>
        <v>#REF!</v>
      </c>
      <c r="H17" s="37" t="s">
        <v>31</v>
      </c>
      <c r="I17" s="35">
        <v>2.0</v>
      </c>
      <c r="J17" s="35">
        <v>1.0</v>
      </c>
      <c r="O17" s="11"/>
      <c r="P17" s="38">
        <f>O7+O9+O11+O13+O15</f>
        <v>367</v>
      </c>
      <c r="S17" s="24" t="s">
        <v>32</v>
      </c>
      <c r="T17" s="25">
        <v>68.0</v>
      </c>
    </row>
    <row r="18" ht="13.5" customHeight="1">
      <c r="B18" s="32">
        <v>11.0</v>
      </c>
      <c r="C18" s="33" t="str">
        <f>#REF!</f>
        <v>#REF!</v>
      </c>
      <c r="D18" s="34" t="str">
        <f t="shared" si="1"/>
        <v>#REF!</v>
      </c>
      <c r="E18" s="33" t="str">
        <f t="shared" si="2"/>
        <v>#REF!</v>
      </c>
      <c r="F18" s="39" t="s">
        <v>33</v>
      </c>
      <c r="H18" s="32">
        <v>11.0</v>
      </c>
      <c r="I18" s="35">
        <v>2.0</v>
      </c>
      <c r="J18" s="35">
        <v>1.0</v>
      </c>
      <c r="O18" s="11"/>
      <c r="S18" s="40" t="s">
        <v>34</v>
      </c>
      <c r="T18" s="41" t="str">
        <f>SUM(T7:T17)</f>
        <v>#REF!</v>
      </c>
    </row>
    <row r="19" ht="13.5" customHeight="1">
      <c r="B19" s="32">
        <v>12.0</v>
      </c>
      <c r="C19" s="33">
        <f>'12'!AH39</f>
        <v>69.48333333</v>
      </c>
      <c r="D19" s="34">
        <f t="shared" si="1"/>
        <v>17509.8</v>
      </c>
      <c r="E19" s="33" t="str">
        <f t="shared" si="2"/>
        <v>#REF!</v>
      </c>
      <c r="F19" s="42" t="str">
        <f>SUM(C10:C19)</f>
        <v>#REF!</v>
      </c>
      <c r="H19" s="32">
        <v>12.0</v>
      </c>
      <c r="I19" s="35">
        <v>4.0</v>
      </c>
      <c r="J19" s="35">
        <v>2.0</v>
      </c>
      <c r="O19" s="11"/>
      <c r="S19" s="43"/>
      <c r="T19" s="44"/>
    </row>
    <row r="20" ht="13.5" customHeight="1">
      <c r="B20" s="32" t="s">
        <v>35</v>
      </c>
      <c r="C20" s="33">
        <f>ToD!CI11</f>
        <v>98.25</v>
      </c>
      <c r="D20" s="34">
        <f t="shared" si="1"/>
        <v>24759</v>
      </c>
      <c r="E20" s="33" t="str">
        <f t="shared" si="2"/>
        <v>#REF!</v>
      </c>
      <c r="H20" s="32" t="s">
        <v>35</v>
      </c>
      <c r="I20" s="35">
        <v>6.0</v>
      </c>
      <c r="J20" s="35">
        <v>2.0</v>
      </c>
      <c r="O20" s="11"/>
      <c r="T20" s="12"/>
    </row>
    <row r="21" ht="29.25" customHeight="1">
      <c r="B21" s="45" t="s">
        <v>36</v>
      </c>
      <c r="C21" s="46" t="s">
        <v>37</v>
      </c>
      <c r="D21" s="47"/>
      <c r="E21" s="48" t="str">
        <f>SUM(D10:D20)</f>
        <v>#REF!</v>
      </c>
      <c r="F21" s="49"/>
      <c r="I21" s="50">
        <f t="shared" ref="I21:J21" si="4">SUM(I10:I20)</f>
        <v>36</v>
      </c>
      <c r="J21" s="50">
        <f t="shared" si="4"/>
        <v>18</v>
      </c>
      <c r="O21" s="51"/>
      <c r="P21" s="52"/>
      <c r="Q21" s="52"/>
      <c r="R21" s="52"/>
      <c r="S21" s="52"/>
      <c r="T21" s="53"/>
    </row>
    <row r="22" ht="13.5" customHeight="1">
      <c r="B22" s="54"/>
      <c r="C22" s="55" t="s">
        <v>38</v>
      </c>
      <c r="D22" s="47"/>
      <c r="E22" s="56" t="str">
        <f>SUM(C10:C20)</f>
        <v>#REF!</v>
      </c>
      <c r="F22" s="57"/>
      <c r="O22" s="7" t="s">
        <v>39</v>
      </c>
      <c r="P22" s="8"/>
      <c r="Q22" s="8"/>
      <c r="R22" s="8"/>
      <c r="S22" s="8"/>
      <c r="T22" s="9"/>
    </row>
    <row r="23" ht="13.5" customHeight="1">
      <c r="F23" s="58"/>
      <c r="O23" s="11"/>
      <c r="T23" s="12"/>
    </row>
    <row r="24" ht="16.5" customHeight="1">
      <c r="B24" s="59"/>
      <c r="C24" s="60"/>
      <c r="D24" s="60"/>
      <c r="E24" s="61"/>
      <c r="F24" s="62"/>
      <c r="G24" s="63"/>
      <c r="O24" s="11"/>
      <c r="P24" s="64" t="s">
        <v>40</v>
      </c>
      <c r="Q24" s="5"/>
      <c r="R24" s="5"/>
      <c r="S24" s="6"/>
      <c r="T24" s="12"/>
    </row>
    <row r="25" ht="16.5" customHeight="1">
      <c r="B25" s="1" t="s">
        <v>41</v>
      </c>
      <c r="C25" s="3"/>
      <c r="F25" s="57"/>
      <c r="K25" s="65"/>
      <c r="O25" s="11"/>
      <c r="P25" s="66"/>
      <c r="Q25" s="66" t="s">
        <v>42</v>
      </c>
      <c r="R25" s="66" t="s">
        <v>6</v>
      </c>
      <c r="S25" s="66" t="s">
        <v>43</v>
      </c>
      <c r="T25" s="12"/>
    </row>
    <row r="26" ht="16.5" customHeight="1">
      <c r="B26" s="20"/>
      <c r="C26" s="27" t="s">
        <v>11</v>
      </c>
      <c r="D26" s="27" t="s">
        <v>12</v>
      </c>
      <c r="E26" s="28" t="s">
        <v>44</v>
      </c>
      <c r="F26" s="57"/>
      <c r="I26" s="21" t="s">
        <v>7</v>
      </c>
      <c r="J26" s="22" t="s">
        <v>8</v>
      </c>
      <c r="O26" s="11"/>
      <c r="P26" s="66" t="s">
        <v>45</v>
      </c>
      <c r="Q26" s="67">
        <v>55.65</v>
      </c>
      <c r="R26" s="68" t="str">
        <f>'[1]Hrs. Summary'!$D$18+'[1]Hrs. Summary'!$D$38+'[1]Hrs. Summary'!$D$55</f>
        <v>#REF!</v>
      </c>
      <c r="S26" s="67" t="str">
        <f t="shared" ref="S26:S27" si="5">R26*Q26</f>
        <v>#REF!</v>
      </c>
      <c r="T26" s="12"/>
    </row>
    <row r="27" ht="16.5" customHeight="1">
      <c r="B27" s="29" t="s">
        <v>10</v>
      </c>
      <c r="C27" s="31"/>
      <c r="D27" s="31"/>
      <c r="E27" s="31"/>
      <c r="F27" s="57"/>
      <c r="H27" s="29" t="s">
        <v>10</v>
      </c>
      <c r="I27" s="30" t="s">
        <v>14</v>
      </c>
      <c r="J27" s="3"/>
      <c r="K27" s="65"/>
      <c r="O27" s="11"/>
      <c r="P27" s="66" t="s">
        <v>46</v>
      </c>
      <c r="Q27" s="67">
        <v>65.0</v>
      </c>
      <c r="R27" s="68" t="str">
        <f>SUM('[1]Hrs. Summary'!$D$8:$D$17,'[1]Hrs. Summary'!$D$28:$D$37,'[1]Hrs. Summary'!$D$45:$D$54)</f>
        <v>#REF!</v>
      </c>
      <c r="S27" s="69" t="str">
        <f t="shared" si="5"/>
        <v>#REF!</v>
      </c>
      <c r="T27" s="12"/>
    </row>
    <row r="28" ht="16.5" customHeight="1">
      <c r="B28" s="32">
        <v>400.0</v>
      </c>
      <c r="C28" s="33">
        <f>'400'!Q55</f>
        <v>19.36666667</v>
      </c>
      <c r="D28" s="34">
        <f t="shared" ref="D28:D38" si="6">C28*$O$9</f>
        <v>1007.066667</v>
      </c>
      <c r="E28" s="33" t="str">
        <f t="shared" ref="E28:E38" si="7">C28-'[1]Hrs. Summary'!C28</f>
        <v>#REF!</v>
      </c>
      <c r="G28" s="49"/>
      <c r="H28" s="32">
        <v>400.0</v>
      </c>
      <c r="I28" s="35">
        <v>2.0</v>
      </c>
      <c r="J28" s="35">
        <v>0.0</v>
      </c>
      <c r="K28" s="65"/>
      <c r="O28" s="11"/>
      <c r="P28" s="70" t="s">
        <v>47</v>
      </c>
      <c r="Q28" s="5"/>
      <c r="R28" s="71"/>
      <c r="S28" s="72" t="str">
        <f>SUM(S26:S27)</f>
        <v>#REF!</v>
      </c>
      <c r="T28" s="12"/>
    </row>
    <row r="29" ht="16.5" customHeight="1">
      <c r="B29" s="32">
        <v>100.0</v>
      </c>
      <c r="C29" s="33">
        <f>'100'!U85</f>
        <v>28.96666667</v>
      </c>
      <c r="D29" s="34">
        <f t="shared" si="6"/>
        <v>1506.266667</v>
      </c>
      <c r="E29" s="33" t="str">
        <f t="shared" si="7"/>
        <v>#REF!</v>
      </c>
      <c r="G29" s="49"/>
      <c r="H29" s="32">
        <v>100.0</v>
      </c>
      <c r="I29" s="35">
        <v>2.0</v>
      </c>
      <c r="J29" s="35">
        <v>2.0</v>
      </c>
      <c r="K29" s="65"/>
      <c r="O29" s="11"/>
      <c r="T29" s="12"/>
    </row>
    <row r="30" ht="16.5" customHeight="1">
      <c r="B30" s="32">
        <v>101.0</v>
      </c>
      <c r="C30" s="33">
        <f>'101'!Q84</f>
        <v>28.7</v>
      </c>
      <c r="D30" s="34">
        <f t="shared" si="6"/>
        <v>1492.4</v>
      </c>
      <c r="E30" s="33" t="str">
        <f t="shared" si="7"/>
        <v>#REF!</v>
      </c>
      <c r="G30" s="49"/>
      <c r="H30" s="32">
        <v>101.0</v>
      </c>
      <c r="I30" s="35">
        <v>2.0</v>
      </c>
      <c r="J30" s="35">
        <v>2.0</v>
      </c>
      <c r="K30" s="65"/>
      <c r="O30" s="11"/>
      <c r="P30" s="64" t="s">
        <v>48</v>
      </c>
      <c r="Q30" s="5"/>
      <c r="R30" s="5"/>
      <c r="S30" s="6"/>
      <c r="T30" s="12"/>
    </row>
    <row r="31" ht="16.5" customHeight="1">
      <c r="B31" s="32">
        <v>2.0</v>
      </c>
      <c r="C31" s="33">
        <f>'2'!W79</f>
        <v>45.35</v>
      </c>
      <c r="D31" s="34">
        <f t="shared" si="6"/>
        <v>2358.2</v>
      </c>
      <c r="E31" s="33" t="str">
        <f t="shared" si="7"/>
        <v>#REF!</v>
      </c>
      <c r="G31" s="49"/>
      <c r="H31" s="32">
        <v>2.0</v>
      </c>
      <c r="I31" s="35">
        <v>2.0</v>
      </c>
      <c r="J31" s="35">
        <v>1.0</v>
      </c>
      <c r="K31" s="65"/>
      <c r="O31" s="11"/>
      <c r="P31" s="66"/>
      <c r="Q31" s="66" t="s">
        <v>42</v>
      </c>
      <c r="R31" s="66" t="s">
        <v>6</v>
      </c>
      <c r="S31" s="66" t="s">
        <v>43</v>
      </c>
      <c r="T31" s="12"/>
    </row>
    <row r="32" ht="16.5" customHeight="1">
      <c r="B32" s="32">
        <v>7.0</v>
      </c>
      <c r="C32" s="33">
        <f>'7'!AD77</f>
        <v>59.9</v>
      </c>
      <c r="D32" s="34">
        <f t="shared" si="6"/>
        <v>3114.8</v>
      </c>
      <c r="E32" s="33" t="str">
        <f t="shared" si="7"/>
        <v>#REF!</v>
      </c>
      <c r="G32" s="49"/>
      <c r="H32" s="32">
        <v>7.0</v>
      </c>
      <c r="I32" s="35">
        <v>4.0</v>
      </c>
      <c r="J32" s="35">
        <v>2.0</v>
      </c>
      <c r="K32" s="65"/>
      <c r="O32" s="11"/>
      <c r="P32" s="66" t="s">
        <v>45</v>
      </c>
      <c r="Q32" s="67">
        <v>55.65</v>
      </c>
      <c r="R32" s="68" t="str">
        <f>D20+D38+D55+T18</f>
        <v>#REF!</v>
      </c>
      <c r="S32" s="67" t="str">
        <f t="shared" ref="S32:S33" si="8">R32*Q32</f>
        <v>#REF!</v>
      </c>
      <c r="T32" s="12"/>
    </row>
    <row r="33" ht="16.5" customHeight="1">
      <c r="B33" s="32" t="s">
        <v>26</v>
      </c>
      <c r="C33" s="33">
        <f>'8A'!AH84</f>
        <v>73.48333333</v>
      </c>
      <c r="D33" s="34">
        <f t="shared" si="6"/>
        <v>3821.133333</v>
      </c>
      <c r="E33" s="33" t="str">
        <f t="shared" si="7"/>
        <v>#REF!</v>
      </c>
      <c r="G33" s="49"/>
      <c r="H33" s="32" t="s">
        <v>26</v>
      </c>
      <c r="I33" s="35">
        <v>5.0</v>
      </c>
      <c r="J33" s="35">
        <v>2.5</v>
      </c>
      <c r="K33" s="65"/>
      <c r="M33" s="73"/>
      <c r="O33" s="11"/>
      <c r="P33" s="66" t="s">
        <v>46</v>
      </c>
      <c r="Q33" s="67">
        <v>65.0</v>
      </c>
      <c r="R33" s="68" t="str">
        <f>SUM(D10:D19,D28:D37,D45:D54)</f>
        <v>#REF!</v>
      </c>
      <c r="S33" s="69" t="str">
        <f t="shared" si="8"/>
        <v>#REF!</v>
      </c>
      <c r="T33" s="12"/>
    </row>
    <row r="34" ht="16.5" customHeight="1">
      <c r="B34" s="32" t="s">
        <v>28</v>
      </c>
      <c r="C34" s="33">
        <f>'8B'!AI83</f>
        <v>71.76666667</v>
      </c>
      <c r="D34" s="34">
        <f t="shared" si="6"/>
        <v>3731.866667</v>
      </c>
      <c r="E34" s="33" t="str">
        <f t="shared" si="7"/>
        <v>#REF!</v>
      </c>
      <c r="G34" s="49"/>
      <c r="H34" s="32" t="s">
        <v>28</v>
      </c>
      <c r="I34" s="35">
        <v>5.0</v>
      </c>
      <c r="J34" s="35">
        <v>2.5</v>
      </c>
      <c r="K34" s="65"/>
      <c r="M34" s="73"/>
      <c r="O34" s="11"/>
      <c r="P34" s="70" t="s">
        <v>47</v>
      </c>
      <c r="Q34" s="5"/>
      <c r="R34" s="71"/>
      <c r="S34" s="72" t="str">
        <f>SUM(S32:S33)</f>
        <v>#REF!</v>
      </c>
      <c r="T34" s="12"/>
    </row>
    <row r="35" ht="16.5" customHeight="1">
      <c r="B35" s="37" t="s">
        <v>31</v>
      </c>
      <c r="C35" s="33">
        <f>'10'!Q78</f>
        <v>31.83333333</v>
      </c>
      <c r="D35" s="34">
        <f t="shared" si="6"/>
        <v>1655.333333</v>
      </c>
      <c r="E35" s="33" t="str">
        <f t="shared" si="7"/>
        <v>#REF!</v>
      </c>
      <c r="G35" s="49"/>
      <c r="H35" s="37" t="s">
        <v>31</v>
      </c>
      <c r="I35" s="35">
        <v>2.0</v>
      </c>
      <c r="J35" s="35">
        <v>1.0</v>
      </c>
      <c r="K35" s="65"/>
      <c r="M35" s="73"/>
      <c r="O35" s="11"/>
      <c r="R35" s="74" t="s">
        <v>49</v>
      </c>
      <c r="S35" s="75" t="str">
        <f>S34-S28</f>
        <v>#REF!</v>
      </c>
      <c r="T35" s="12"/>
    </row>
    <row r="36" ht="16.5" customHeight="1">
      <c r="B36" s="32">
        <v>11.0</v>
      </c>
      <c r="C36" s="33" t="str">
        <f>#REF!</f>
        <v>#REF!</v>
      </c>
      <c r="D36" s="34" t="str">
        <f t="shared" si="6"/>
        <v>#REF!</v>
      </c>
      <c r="E36" s="33" t="str">
        <f t="shared" si="7"/>
        <v>#REF!</v>
      </c>
      <c r="F36" s="39" t="s">
        <v>33</v>
      </c>
      <c r="G36" s="49"/>
      <c r="H36" s="32">
        <v>11.0</v>
      </c>
      <c r="I36" s="35">
        <v>2.0</v>
      </c>
      <c r="J36" s="35">
        <v>1.0</v>
      </c>
      <c r="K36" s="65"/>
      <c r="M36" s="73"/>
      <c r="O36" s="11"/>
      <c r="T36" s="12"/>
    </row>
    <row r="37" ht="16.5" customHeight="1">
      <c r="B37" s="32">
        <v>12.0</v>
      </c>
      <c r="C37" s="33">
        <f>'12'!AH79</f>
        <v>65.88333333</v>
      </c>
      <c r="D37" s="34">
        <f t="shared" si="6"/>
        <v>3425.933333</v>
      </c>
      <c r="E37" s="33" t="str">
        <f t="shared" si="7"/>
        <v>#REF!</v>
      </c>
      <c r="F37" s="42" t="str">
        <f>SUM(C28:C37)</f>
        <v>#REF!</v>
      </c>
      <c r="G37" s="49"/>
      <c r="H37" s="32">
        <v>12.0</v>
      </c>
      <c r="I37" s="35">
        <v>4.0</v>
      </c>
      <c r="J37" s="35">
        <v>2.0</v>
      </c>
      <c r="K37" s="65"/>
      <c r="M37" s="73"/>
      <c r="O37" s="51"/>
      <c r="P37" s="52"/>
      <c r="Q37" s="52"/>
      <c r="R37" s="52"/>
      <c r="S37" s="52"/>
      <c r="T37" s="53"/>
    </row>
    <row r="38" ht="13.5" customHeight="1">
      <c r="B38" s="32" t="s">
        <v>35</v>
      </c>
      <c r="C38" s="33">
        <f>ToD!CI20</f>
        <v>77.25</v>
      </c>
      <c r="D38" s="34">
        <f t="shared" si="6"/>
        <v>4017</v>
      </c>
      <c r="E38" s="33" t="str">
        <f t="shared" si="7"/>
        <v>#REF!</v>
      </c>
      <c r="G38" s="49"/>
      <c r="H38" s="32" t="s">
        <v>35</v>
      </c>
      <c r="I38" s="35">
        <v>5.0</v>
      </c>
      <c r="J38" s="35">
        <v>2.0</v>
      </c>
      <c r="K38" s="65"/>
      <c r="M38" s="73"/>
    </row>
    <row r="39" ht="13.5" customHeight="1">
      <c r="B39" s="45" t="s">
        <v>36</v>
      </c>
      <c r="C39" s="46" t="s">
        <v>50</v>
      </c>
      <c r="D39" s="47"/>
      <c r="E39" s="48" t="str">
        <f>SUM(D28:D38)</f>
        <v>#REF!</v>
      </c>
      <c r="F39" s="76"/>
      <c r="G39" s="49"/>
      <c r="I39" s="50">
        <f t="shared" ref="I39:J39" si="9">SUM(I28:I38)</f>
        <v>35</v>
      </c>
      <c r="J39" s="50">
        <f t="shared" si="9"/>
        <v>18</v>
      </c>
      <c r="K39" s="65"/>
      <c r="M39" s="73"/>
    </row>
    <row r="40" ht="18.75" customHeight="1">
      <c r="B40" s="54"/>
      <c r="C40" s="55" t="s">
        <v>38</v>
      </c>
      <c r="D40" s="47"/>
      <c r="E40" s="56" t="str">
        <f>SUM(C28:C38)</f>
        <v>#REF!</v>
      </c>
      <c r="F40" s="57"/>
      <c r="M40" s="73"/>
    </row>
    <row r="41" ht="15.0" customHeight="1">
      <c r="D41" s="77"/>
      <c r="E41" s="78"/>
      <c r="G41" s="49"/>
      <c r="K41" s="65"/>
      <c r="M41" s="73"/>
    </row>
    <row r="42" ht="13.5" customHeight="1">
      <c r="B42" s="1" t="s">
        <v>51</v>
      </c>
      <c r="C42" s="3"/>
      <c r="F42" s="57"/>
      <c r="K42" s="65"/>
      <c r="M42" s="73"/>
    </row>
    <row r="43" ht="15.0" customHeight="1">
      <c r="B43" s="20"/>
      <c r="C43" s="27" t="s">
        <v>11</v>
      </c>
      <c r="D43" s="27" t="s">
        <v>12</v>
      </c>
      <c r="E43" s="28" t="s">
        <v>52</v>
      </c>
      <c r="F43" s="57"/>
      <c r="I43" s="21" t="s">
        <v>7</v>
      </c>
      <c r="J43" s="22" t="s">
        <v>8</v>
      </c>
    </row>
    <row r="44" ht="13.5" customHeight="1">
      <c r="B44" s="29" t="s">
        <v>10</v>
      </c>
      <c r="C44" s="31"/>
      <c r="D44" s="31"/>
      <c r="E44" s="31"/>
      <c r="F44" s="57"/>
      <c r="H44" s="29" t="s">
        <v>10</v>
      </c>
      <c r="I44" s="30" t="s">
        <v>14</v>
      </c>
      <c r="J44" s="3"/>
      <c r="K44" s="65"/>
    </row>
    <row r="45" ht="13.5" customHeight="1">
      <c r="B45" s="32">
        <v>400.0</v>
      </c>
      <c r="C45" s="79">
        <v>0.0</v>
      </c>
      <c r="D45" s="34">
        <f t="shared" ref="D45:D55" si="10">C45*($O$11)</f>
        <v>0</v>
      </c>
      <c r="E45" s="33" t="str">
        <f t="shared" ref="E45:E55" si="11">C45-'[1]Hrs. Summary'!C45</f>
        <v>#REF!</v>
      </c>
      <c r="G45" s="49"/>
      <c r="H45" s="32">
        <v>400.0</v>
      </c>
      <c r="I45" s="35">
        <v>0.0</v>
      </c>
      <c r="J45" s="35">
        <v>0.0</v>
      </c>
      <c r="K45" s="65"/>
    </row>
    <row r="46" ht="13.5" customHeight="1">
      <c r="B46" s="32">
        <v>100.0</v>
      </c>
      <c r="C46" s="79">
        <f>'100'!U119</f>
        <v>22.53333333</v>
      </c>
      <c r="D46" s="34">
        <f t="shared" si="10"/>
        <v>1171.733333</v>
      </c>
      <c r="E46" s="33" t="str">
        <f t="shared" si="11"/>
        <v>#REF!</v>
      </c>
      <c r="G46" s="49"/>
      <c r="H46" s="32">
        <v>100.0</v>
      </c>
      <c r="I46" s="35">
        <v>2.0</v>
      </c>
      <c r="J46" s="35">
        <v>2.0</v>
      </c>
      <c r="K46" s="65"/>
    </row>
    <row r="47" ht="13.5" customHeight="1">
      <c r="B47" s="32">
        <v>101.0</v>
      </c>
      <c r="C47" s="79">
        <f>'101'!Q118</f>
        <v>22.33333333</v>
      </c>
      <c r="D47" s="34">
        <f t="shared" si="10"/>
        <v>1161.333333</v>
      </c>
      <c r="E47" s="33" t="str">
        <f t="shared" si="11"/>
        <v>#REF!</v>
      </c>
      <c r="G47" s="49"/>
      <c r="H47" s="32">
        <v>101.0</v>
      </c>
      <c r="I47" s="35">
        <v>2.0</v>
      </c>
      <c r="J47" s="35">
        <v>2.0</v>
      </c>
      <c r="K47" s="65"/>
    </row>
    <row r="48" ht="13.5" customHeight="1">
      <c r="B48" s="32">
        <v>2.0</v>
      </c>
      <c r="C48" s="79">
        <f>'2'!W104</f>
        <v>26.68333333</v>
      </c>
      <c r="D48" s="34">
        <f t="shared" si="10"/>
        <v>1387.533333</v>
      </c>
      <c r="E48" s="33" t="str">
        <f t="shared" si="11"/>
        <v>#REF!</v>
      </c>
      <c r="G48" s="49"/>
      <c r="H48" s="32">
        <v>2.0</v>
      </c>
      <c r="I48" s="35">
        <v>2.0</v>
      </c>
      <c r="J48" s="35">
        <v>1.0</v>
      </c>
      <c r="K48" s="65"/>
    </row>
    <row r="49" ht="13.5" customHeight="1">
      <c r="B49" s="32">
        <v>7.0</v>
      </c>
      <c r="C49" s="79">
        <f>'7'!AD98</f>
        <v>24.88333333</v>
      </c>
      <c r="D49" s="34">
        <f t="shared" si="10"/>
        <v>1293.933333</v>
      </c>
      <c r="E49" s="33" t="str">
        <f t="shared" si="11"/>
        <v>#REF!</v>
      </c>
      <c r="G49" s="49"/>
      <c r="H49" s="32">
        <v>7.0</v>
      </c>
      <c r="I49" s="35">
        <v>4.0</v>
      </c>
      <c r="J49" s="35">
        <v>2.0</v>
      </c>
      <c r="K49" s="65"/>
    </row>
    <row r="50" ht="13.5" customHeight="1">
      <c r="B50" s="32" t="s">
        <v>26</v>
      </c>
      <c r="C50" s="79">
        <f>'8A'!AH107</f>
        <v>32.91666667</v>
      </c>
      <c r="D50" s="34">
        <f t="shared" si="10"/>
        <v>1711.666667</v>
      </c>
      <c r="E50" s="33" t="str">
        <f t="shared" si="11"/>
        <v>#REF!</v>
      </c>
      <c r="G50" s="49"/>
      <c r="H50" s="32" t="s">
        <v>26</v>
      </c>
      <c r="I50" s="35">
        <v>5.0</v>
      </c>
      <c r="J50" s="35">
        <v>2.5</v>
      </c>
      <c r="K50" s="65"/>
    </row>
    <row r="51" ht="13.5" customHeight="1">
      <c r="B51" s="32" t="s">
        <v>28</v>
      </c>
      <c r="C51" s="79">
        <f>'8B'!AI105</f>
        <v>32.48333333</v>
      </c>
      <c r="D51" s="34">
        <f t="shared" si="10"/>
        <v>1689.133333</v>
      </c>
      <c r="E51" s="33" t="str">
        <f t="shared" si="11"/>
        <v>#REF!</v>
      </c>
      <c r="G51" s="49"/>
      <c r="H51" s="32" t="s">
        <v>28</v>
      </c>
      <c r="I51" s="35">
        <v>5.0</v>
      </c>
      <c r="J51" s="35">
        <v>2.5</v>
      </c>
      <c r="K51" s="65"/>
    </row>
    <row r="52" ht="13.5" customHeight="1">
      <c r="B52" s="37" t="s">
        <v>31</v>
      </c>
      <c r="C52" s="79">
        <f>'10'!Q99</f>
        <v>14.91666667</v>
      </c>
      <c r="D52" s="34">
        <f t="shared" si="10"/>
        <v>775.6666667</v>
      </c>
      <c r="E52" s="33" t="str">
        <f t="shared" si="11"/>
        <v>#REF!</v>
      </c>
      <c r="G52" s="49"/>
      <c r="H52" s="37" t="s">
        <v>31</v>
      </c>
      <c r="I52" s="35">
        <v>2.0</v>
      </c>
      <c r="J52" s="35">
        <v>1.0</v>
      </c>
      <c r="K52" s="65"/>
    </row>
    <row r="53" ht="13.5" customHeight="1">
      <c r="B53" s="32">
        <v>11.0</v>
      </c>
      <c r="C53" s="79" t="str">
        <f>#REF!</f>
        <v>#REF!</v>
      </c>
      <c r="D53" s="34" t="str">
        <f t="shared" si="10"/>
        <v>#REF!</v>
      </c>
      <c r="E53" s="33" t="str">
        <f t="shared" si="11"/>
        <v>#REF!</v>
      </c>
      <c r="F53" s="39" t="s">
        <v>33</v>
      </c>
      <c r="G53" s="49"/>
      <c r="H53" s="32">
        <v>11.0</v>
      </c>
      <c r="I53" s="35">
        <v>2.0</v>
      </c>
      <c r="J53" s="35">
        <v>1.0</v>
      </c>
      <c r="K53" s="65"/>
    </row>
    <row r="54" ht="13.5" customHeight="1">
      <c r="B54" s="32">
        <v>12.0</v>
      </c>
      <c r="C54" s="79">
        <f>'12'!AH100</f>
        <v>29.01666667</v>
      </c>
      <c r="D54" s="34">
        <f t="shared" si="10"/>
        <v>1508.866667</v>
      </c>
      <c r="E54" s="33" t="str">
        <f t="shared" si="11"/>
        <v>#REF!</v>
      </c>
      <c r="F54" s="42" t="str">
        <f>SUM(C45:C54)</f>
        <v>#REF!</v>
      </c>
      <c r="G54" s="49"/>
      <c r="H54" s="32">
        <v>12.0</v>
      </c>
      <c r="I54" s="35">
        <v>4.0</v>
      </c>
      <c r="J54" s="35">
        <v>2.0</v>
      </c>
      <c r="K54" s="65"/>
    </row>
    <row r="55" ht="13.5" customHeight="1">
      <c r="B55" s="32" t="s">
        <v>35</v>
      </c>
      <c r="C55" s="79">
        <f>ToD!CI29</f>
        <v>57</v>
      </c>
      <c r="D55" s="34">
        <f t="shared" si="10"/>
        <v>2964</v>
      </c>
      <c r="E55" s="33" t="str">
        <f t="shared" si="11"/>
        <v>#REF!</v>
      </c>
      <c r="G55" s="49"/>
      <c r="H55" s="32" t="s">
        <v>35</v>
      </c>
      <c r="I55" s="35">
        <v>4.0</v>
      </c>
      <c r="J55" s="35">
        <v>2.0</v>
      </c>
      <c r="K55" s="65"/>
      <c r="S55" s="80"/>
    </row>
    <row r="56" ht="30.0" customHeight="1">
      <c r="B56" s="45" t="s">
        <v>36</v>
      </c>
      <c r="C56" s="46" t="s">
        <v>50</v>
      </c>
      <c r="D56" s="47"/>
      <c r="E56" s="48" t="str">
        <f>SUM(D45:D55)</f>
        <v>#REF!</v>
      </c>
      <c r="F56" s="49"/>
      <c r="I56" s="50">
        <f t="shared" ref="I56:J56" si="12">SUM(I45:I55)</f>
        <v>32</v>
      </c>
      <c r="J56" s="50">
        <f t="shared" si="12"/>
        <v>18</v>
      </c>
    </row>
    <row r="57" ht="18.75" customHeight="1">
      <c r="B57" s="54"/>
      <c r="C57" s="55" t="s">
        <v>38</v>
      </c>
      <c r="D57" s="47"/>
      <c r="E57" s="56" t="str">
        <f>SUM(C45:C55)</f>
        <v>#REF!</v>
      </c>
    </row>
    <row r="58" ht="13.5" customHeight="1"/>
    <row r="59" ht="13.5" customHeight="1">
      <c r="B59" s="81"/>
      <c r="C59" s="81"/>
      <c r="D59" s="81"/>
      <c r="E59" s="81"/>
      <c r="F59" s="81"/>
    </row>
    <row r="60" ht="13.5" customHeight="1">
      <c r="B60" s="81"/>
      <c r="C60" s="81"/>
      <c r="D60" s="81"/>
      <c r="E60" s="81"/>
      <c r="F60" s="81"/>
    </row>
    <row r="61" ht="13.5" customHeight="1">
      <c r="B61" s="81"/>
      <c r="C61" s="81"/>
      <c r="D61" s="81"/>
      <c r="E61" s="81"/>
      <c r="F61" s="81"/>
    </row>
    <row r="62" ht="33.0" customHeight="1">
      <c r="B62" s="81"/>
      <c r="C62" s="81"/>
      <c r="D62" s="81"/>
      <c r="E62" s="81"/>
      <c r="F62" s="81"/>
    </row>
    <row r="63" ht="18.75" customHeight="1">
      <c r="B63" s="81"/>
    </row>
    <row r="64" ht="15.0" hidden="1" customHeight="1">
      <c r="B64" s="81"/>
    </row>
    <row r="65" ht="15.0" hidden="1" customHeight="1">
      <c r="B65" s="81"/>
    </row>
    <row r="66" ht="15.0" hidden="1" customHeight="1">
      <c r="B66" s="81"/>
    </row>
    <row r="67" ht="13.5" customHeight="1"/>
    <row r="68" ht="13.5" customHeight="1"/>
    <row r="69" ht="4.5" customHeight="1"/>
    <row r="70" ht="13.5" customHeight="1"/>
    <row r="71" ht="13.5" customHeight="1">
      <c r="C71" s="39" t="s">
        <v>53</v>
      </c>
    </row>
    <row r="72" ht="13.5" customHeight="1">
      <c r="C72" s="39" t="s">
        <v>54</v>
      </c>
      <c r="D72" s="39" t="s">
        <v>55</v>
      </c>
    </row>
    <row r="73" ht="13.5" customHeight="1">
      <c r="C73" s="39" t="s">
        <v>56</v>
      </c>
      <c r="D73" s="39" t="s">
        <v>57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>
      <c r="B83" s="82"/>
    </row>
    <row r="84" ht="3.0" customHeight="1">
      <c r="B84" s="83"/>
    </row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4">
    <mergeCell ref="B2:E2"/>
    <mergeCell ref="H2:J2"/>
    <mergeCell ref="O2:T2"/>
    <mergeCell ref="B4:D4"/>
    <mergeCell ref="B6:C6"/>
    <mergeCell ref="B8:B9"/>
    <mergeCell ref="C8:C9"/>
    <mergeCell ref="I8:J8"/>
    <mergeCell ref="D8:D9"/>
    <mergeCell ref="E8:E9"/>
    <mergeCell ref="B21:B22"/>
    <mergeCell ref="C21:D21"/>
    <mergeCell ref="C22:D22"/>
    <mergeCell ref="O22:T22"/>
    <mergeCell ref="P24:S24"/>
    <mergeCell ref="B25:C25"/>
    <mergeCell ref="D26:D27"/>
    <mergeCell ref="E26:E27"/>
    <mergeCell ref="I27:J27"/>
    <mergeCell ref="P28:R28"/>
    <mergeCell ref="P30:S30"/>
    <mergeCell ref="P34:R34"/>
    <mergeCell ref="E43:E44"/>
    <mergeCell ref="I44:J44"/>
    <mergeCell ref="B56:B57"/>
    <mergeCell ref="C56:D56"/>
    <mergeCell ref="C57:D57"/>
    <mergeCell ref="C26:C27"/>
    <mergeCell ref="B39:B40"/>
    <mergeCell ref="C39:D39"/>
    <mergeCell ref="C40:D40"/>
    <mergeCell ref="B42:C42"/>
    <mergeCell ref="C43:C44"/>
    <mergeCell ref="D43:D44"/>
  </mergeCells>
  <printOptions/>
  <pageMargins bottom="0.75" footer="0.0" header="0.0" left="0.7" right="0.7" top="0.75"/>
  <pageSetup scale="48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75"/>
    <col customWidth="1" min="3" max="3" width="11.0"/>
    <col customWidth="1" min="4" max="4" width="11.25"/>
    <col customWidth="1" min="5" max="5" width="14.75"/>
    <col customWidth="1" min="6" max="6" width="14.25"/>
    <col customWidth="1" min="7" max="7" width="10.63"/>
    <col customWidth="1" min="8" max="8" width="4.5"/>
    <col customWidth="1" min="9" max="9" width="14.25"/>
    <col customWidth="1" min="10" max="10" width="13.13"/>
    <col customWidth="1" min="11" max="11" width="14.75"/>
    <col customWidth="1" min="12" max="12" width="11.25"/>
    <col customWidth="1" min="13" max="13" width="14.25"/>
    <col customWidth="1" min="14" max="14" width="4.5"/>
    <col customWidth="1" min="15" max="15" width="10.63"/>
    <col customWidth="1" min="16" max="16" width="15.5"/>
    <col customWidth="1" min="17" max="17" width="13.75"/>
    <col customWidth="1" min="18" max="18" width="3.25"/>
    <col customWidth="1" min="19" max="19" width="9.25"/>
    <col customWidth="1" min="20" max="20" width="13.13"/>
    <col customWidth="1" min="21" max="23" width="8.63"/>
  </cols>
  <sheetData>
    <row r="1" ht="25.5" customHeight="1">
      <c r="A1" s="84" t="s">
        <v>58</v>
      </c>
      <c r="B1" s="85"/>
      <c r="C1" s="86" t="s">
        <v>59</v>
      </c>
      <c r="D1" s="5"/>
      <c r="E1" s="5"/>
      <c r="F1" s="5"/>
      <c r="G1" s="5"/>
      <c r="H1" s="6"/>
      <c r="I1" s="86" t="s">
        <v>60</v>
      </c>
      <c r="J1" s="5"/>
      <c r="K1" s="5"/>
      <c r="L1" s="5"/>
      <c r="M1" s="5"/>
      <c r="N1" s="6"/>
      <c r="P1" s="87"/>
      <c r="Q1" s="87"/>
      <c r="R1" s="87"/>
      <c r="S1" s="87"/>
      <c r="T1" s="87"/>
    </row>
    <row r="2" ht="13.5" customHeight="1">
      <c r="A2" s="88"/>
      <c r="B2" s="85"/>
      <c r="C2" s="73"/>
      <c r="D2" s="73"/>
      <c r="E2" s="73"/>
      <c r="F2" s="73"/>
      <c r="G2" s="66" t="s">
        <v>61</v>
      </c>
      <c r="H2" s="73"/>
      <c r="I2" s="66" t="s">
        <v>62</v>
      </c>
      <c r="J2" s="73"/>
      <c r="K2" s="73"/>
      <c r="L2" s="73"/>
      <c r="M2" s="66" t="s">
        <v>61</v>
      </c>
      <c r="N2" s="73"/>
      <c r="O2" s="66" t="s">
        <v>62</v>
      </c>
      <c r="P2" s="87"/>
      <c r="Q2" s="87"/>
      <c r="R2" s="87"/>
      <c r="S2" s="87"/>
      <c r="T2" s="87"/>
    </row>
    <row r="3" ht="24.0" customHeight="1">
      <c r="A3" s="88"/>
      <c r="B3" s="89" t="s">
        <v>63</v>
      </c>
      <c r="C3" s="90" t="s">
        <v>64</v>
      </c>
      <c r="D3" s="90" t="s">
        <v>65</v>
      </c>
      <c r="E3" s="90" t="s">
        <v>66</v>
      </c>
      <c r="F3" s="90" t="s">
        <v>67</v>
      </c>
      <c r="G3" s="90" t="s">
        <v>68</v>
      </c>
      <c r="H3" s="91" t="s">
        <v>69</v>
      </c>
      <c r="I3" s="90" t="s">
        <v>68</v>
      </c>
      <c r="J3" s="90" t="s">
        <v>70</v>
      </c>
      <c r="K3" s="90" t="s">
        <v>71</v>
      </c>
      <c r="L3" s="90" t="s">
        <v>65</v>
      </c>
      <c r="M3" s="90" t="s">
        <v>64</v>
      </c>
      <c r="N3" s="92" t="s">
        <v>69</v>
      </c>
      <c r="O3" s="90" t="s">
        <v>64</v>
      </c>
      <c r="P3" s="87"/>
      <c r="Q3" s="87"/>
      <c r="R3" s="87"/>
      <c r="S3" s="87"/>
      <c r="T3" s="87"/>
    </row>
    <row r="4" ht="13.5" customHeight="1">
      <c r="A4" s="88"/>
      <c r="B4" s="93" t="s">
        <v>72</v>
      </c>
      <c r="C4" s="66">
        <v>777.0</v>
      </c>
      <c r="D4" s="66">
        <v>662.0</v>
      </c>
      <c r="E4" s="66">
        <v>63.0</v>
      </c>
      <c r="F4" s="66">
        <v>329.0</v>
      </c>
      <c r="G4" s="66">
        <v>612.0</v>
      </c>
      <c r="H4" s="94"/>
      <c r="I4" s="66">
        <v>612.0</v>
      </c>
      <c r="J4" s="66">
        <v>330.0</v>
      </c>
      <c r="K4" s="66">
        <v>62.0</v>
      </c>
      <c r="L4" s="66">
        <v>847.0</v>
      </c>
      <c r="M4" s="66">
        <v>777.0</v>
      </c>
      <c r="N4" s="94"/>
      <c r="O4" s="66">
        <v>777.0</v>
      </c>
      <c r="P4" s="95" t="s">
        <v>73</v>
      </c>
      <c r="Q4" s="95" t="s">
        <v>74</v>
      </c>
      <c r="R4" s="95" t="s">
        <v>69</v>
      </c>
      <c r="S4" s="95" t="s">
        <v>75</v>
      </c>
      <c r="T4" s="96" t="s">
        <v>76</v>
      </c>
    </row>
    <row r="5" ht="13.5" customHeight="1">
      <c r="A5" s="88"/>
      <c r="B5" s="97" t="s">
        <v>77</v>
      </c>
      <c r="C5" s="98"/>
      <c r="D5" s="98"/>
      <c r="E5" s="98"/>
      <c r="F5" s="98"/>
      <c r="G5" s="98"/>
      <c r="H5" s="99"/>
      <c r="I5" s="100">
        <v>0.2847222222222222</v>
      </c>
      <c r="J5" s="101">
        <v>0.2875</v>
      </c>
      <c r="K5" s="101">
        <v>0.29166666666666663</v>
      </c>
      <c r="L5" s="101">
        <v>0.29722222222222217</v>
      </c>
      <c r="M5" s="101">
        <v>0.30208333333333326</v>
      </c>
      <c r="N5" s="99">
        <v>5.0</v>
      </c>
      <c r="O5" s="101">
        <v>0.30555555555555547</v>
      </c>
      <c r="P5" s="102">
        <f t="shared" ref="P5:P28" si="1">Q5-R5</f>
        <v>25</v>
      </c>
      <c r="Q5" s="102">
        <f>(O5-I5)*1440</f>
        <v>30</v>
      </c>
      <c r="R5" s="103">
        <f t="shared" ref="R5:R28" si="2">N5+H5</f>
        <v>5</v>
      </c>
      <c r="S5" s="104">
        <f t="shared" ref="S5:S28" si="3">R5/P5</f>
        <v>0.2</v>
      </c>
      <c r="T5" s="105"/>
    </row>
    <row r="6" ht="13.5" customHeight="1">
      <c r="A6" s="88"/>
      <c r="B6" s="106" t="s">
        <v>77</v>
      </c>
      <c r="C6" s="100">
        <v>0.2847222222222222</v>
      </c>
      <c r="D6" s="101">
        <v>0.28888888888888886</v>
      </c>
      <c r="E6" s="101">
        <v>0.2958333333333333</v>
      </c>
      <c r="F6" s="101">
        <v>0.29861111111111105</v>
      </c>
      <c r="G6" s="101">
        <v>0.29999999999999993</v>
      </c>
      <c r="H6" s="99">
        <v>6.0</v>
      </c>
      <c r="I6" s="101">
        <v>0.3041666666666666</v>
      </c>
      <c r="J6" s="101">
        <v>0.30694444444444435</v>
      </c>
      <c r="K6" s="101">
        <v>0.311111111111111</v>
      </c>
      <c r="L6" s="101">
        <v>0.31666666666666654</v>
      </c>
      <c r="M6" s="101">
        <v>0.32152777777777763</v>
      </c>
      <c r="N6" s="99">
        <v>7.0</v>
      </c>
      <c r="O6" s="101">
        <v>0.32638888888888873</v>
      </c>
      <c r="P6" s="102">
        <f t="shared" si="1"/>
        <v>47</v>
      </c>
      <c r="Q6" s="102">
        <f t="shared" ref="Q6:Q26" si="4">(O6-C6)*1440</f>
        <v>60</v>
      </c>
      <c r="R6" s="103">
        <f t="shared" si="2"/>
        <v>13</v>
      </c>
      <c r="S6" s="104">
        <f t="shared" si="3"/>
        <v>0.2765957447</v>
      </c>
      <c r="T6" s="102">
        <f t="shared" ref="T6:T26" si="5">(O6-O5)*1440</f>
        <v>30</v>
      </c>
    </row>
    <row r="7" ht="13.5" customHeight="1">
      <c r="A7" s="88"/>
      <c r="B7" s="106" t="s">
        <v>77</v>
      </c>
      <c r="C7" s="101">
        <v>0.30555555555555547</v>
      </c>
      <c r="D7" s="101">
        <v>0.3097222222222221</v>
      </c>
      <c r="E7" s="101">
        <v>0.31666666666666654</v>
      </c>
      <c r="F7" s="101">
        <v>0.3194444444444443</v>
      </c>
      <c r="G7" s="101">
        <v>0.3208333333333332</v>
      </c>
      <c r="H7" s="99">
        <v>6.0</v>
      </c>
      <c r="I7" s="101">
        <v>0.32499999999999984</v>
      </c>
      <c r="J7" s="101">
        <v>0.3277777777777776</v>
      </c>
      <c r="K7" s="101">
        <v>0.33194444444444426</v>
      </c>
      <c r="L7" s="101">
        <v>0.3374999999999998</v>
      </c>
      <c r="M7" s="101">
        <v>0.3423611111111109</v>
      </c>
      <c r="N7" s="99">
        <v>7.0</v>
      </c>
      <c r="O7" s="101">
        <v>0.347222222222222</v>
      </c>
      <c r="P7" s="102">
        <f t="shared" si="1"/>
        <v>47</v>
      </c>
      <c r="Q7" s="102">
        <f t="shared" si="4"/>
        <v>60</v>
      </c>
      <c r="R7" s="103">
        <f t="shared" si="2"/>
        <v>13</v>
      </c>
      <c r="S7" s="104">
        <f t="shared" si="3"/>
        <v>0.2765957447</v>
      </c>
      <c r="T7" s="102">
        <f t="shared" si="5"/>
        <v>30</v>
      </c>
    </row>
    <row r="8" ht="13.5" customHeight="1">
      <c r="A8" s="88"/>
      <c r="B8" s="106" t="s">
        <v>77</v>
      </c>
      <c r="C8" s="101">
        <v>0.32638888888888873</v>
      </c>
      <c r="D8" s="101">
        <v>0.3305555555555554</v>
      </c>
      <c r="E8" s="101">
        <v>0.3374999999999998</v>
      </c>
      <c r="F8" s="101">
        <v>0.34027777777777757</v>
      </c>
      <c r="G8" s="101">
        <v>0.34166666666666645</v>
      </c>
      <c r="H8" s="99">
        <v>9.0</v>
      </c>
      <c r="I8" s="101">
        <v>0.34791666666666643</v>
      </c>
      <c r="J8" s="101">
        <v>0.3506944444444442</v>
      </c>
      <c r="K8" s="101">
        <v>0.35486111111111085</v>
      </c>
      <c r="L8" s="101">
        <v>0.3604166666666664</v>
      </c>
      <c r="M8" s="101">
        <v>0.3652777777777775</v>
      </c>
      <c r="N8" s="99">
        <v>4.0</v>
      </c>
      <c r="O8" s="101">
        <v>0.36805555555555525</v>
      </c>
      <c r="P8" s="102">
        <f t="shared" si="1"/>
        <v>47</v>
      </c>
      <c r="Q8" s="102">
        <f t="shared" si="4"/>
        <v>60</v>
      </c>
      <c r="R8" s="103">
        <f t="shared" si="2"/>
        <v>13</v>
      </c>
      <c r="S8" s="104">
        <f t="shared" si="3"/>
        <v>0.2765957447</v>
      </c>
      <c r="T8" s="102">
        <f t="shared" si="5"/>
        <v>30</v>
      </c>
    </row>
    <row r="9" ht="13.5" customHeight="1">
      <c r="A9" s="88"/>
      <c r="B9" s="106" t="s">
        <v>77</v>
      </c>
      <c r="C9" s="101">
        <v>0.347222222222222</v>
      </c>
      <c r="D9" s="101">
        <v>0.35138888888888864</v>
      </c>
      <c r="E9" s="101">
        <v>0.35833333333333306</v>
      </c>
      <c r="F9" s="101">
        <v>0.3611111111111108</v>
      </c>
      <c r="G9" s="101">
        <v>0.3624999999999997</v>
      </c>
      <c r="H9" s="99">
        <v>9.0</v>
      </c>
      <c r="I9" s="101">
        <v>0.3687499999999997</v>
      </c>
      <c r="J9" s="101">
        <v>0.37152777777777746</v>
      </c>
      <c r="K9" s="101">
        <v>0.3756944444444441</v>
      </c>
      <c r="L9" s="101">
        <v>0.38124999999999964</v>
      </c>
      <c r="M9" s="101">
        <v>0.38611111111111074</v>
      </c>
      <c r="N9" s="99">
        <v>4.0</v>
      </c>
      <c r="O9" s="101">
        <v>0.3888888888888885</v>
      </c>
      <c r="P9" s="102">
        <f t="shared" si="1"/>
        <v>47</v>
      </c>
      <c r="Q9" s="102">
        <f t="shared" si="4"/>
        <v>60</v>
      </c>
      <c r="R9" s="103">
        <f t="shared" si="2"/>
        <v>13</v>
      </c>
      <c r="S9" s="104">
        <f t="shared" si="3"/>
        <v>0.2765957447</v>
      </c>
      <c r="T9" s="102">
        <f t="shared" si="5"/>
        <v>30</v>
      </c>
    </row>
    <row r="10" ht="13.5" customHeight="1">
      <c r="A10" s="88"/>
      <c r="B10" s="106" t="s">
        <v>77</v>
      </c>
      <c r="C10" s="101">
        <v>0.36805555555555525</v>
      </c>
      <c r="D10" s="101">
        <v>0.3722222222222219</v>
      </c>
      <c r="E10" s="101">
        <v>0.3791666666666663</v>
      </c>
      <c r="F10" s="101">
        <v>0.3819444444444441</v>
      </c>
      <c r="G10" s="101">
        <v>0.38333333333333297</v>
      </c>
      <c r="H10" s="99">
        <v>9.0</v>
      </c>
      <c r="I10" s="101">
        <v>0.38958333333333295</v>
      </c>
      <c r="J10" s="101">
        <v>0.3923611111111107</v>
      </c>
      <c r="K10" s="101">
        <v>0.39652777777777737</v>
      </c>
      <c r="L10" s="101">
        <v>0.4020833333333329</v>
      </c>
      <c r="M10" s="101">
        <v>0.406944444444444</v>
      </c>
      <c r="N10" s="99">
        <v>4.0</v>
      </c>
      <c r="O10" s="101">
        <v>0.40972222222222177</v>
      </c>
      <c r="P10" s="102">
        <f t="shared" si="1"/>
        <v>47</v>
      </c>
      <c r="Q10" s="102">
        <f t="shared" si="4"/>
        <v>60</v>
      </c>
      <c r="R10" s="103">
        <f t="shared" si="2"/>
        <v>13</v>
      </c>
      <c r="S10" s="104">
        <f t="shared" si="3"/>
        <v>0.2765957447</v>
      </c>
      <c r="T10" s="102">
        <f t="shared" si="5"/>
        <v>30</v>
      </c>
    </row>
    <row r="11" ht="13.5" customHeight="1">
      <c r="A11" s="88"/>
      <c r="B11" s="106" t="s">
        <v>77</v>
      </c>
      <c r="C11" s="101">
        <v>0.3888888888888885</v>
      </c>
      <c r="D11" s="101">
        <v>0.39305555555555516</v>
      </c>
      <c r="E11" s="101">
        <v>0.3999999999999996</v>
      </c>
      <c r="F11" s="101">
        <v>0.40277777777777735</v>
      </c>
      <c r="G11" s="101">
        <v>0.40416666666666623</v>
      </c>
      <c r="H11" s="99">
        <v>9.0</v>
      </c>
      <c r="I11" s="101">
        <v>0.4104166666666662</v>
      </c>
      <c r="J11" s="101">
        <v>0.413194444444444</v>
      </c>
      <c r="K11" s="101">
        <v>0.4173611111111106</v>
      </c>
      <c r="L11" s="101">
        <v>0.42291666666666616</v>
      </c>
      <c r="M11" s="101">
        <v>0.42777777777777726</v>
      </c>
      <c r="N11" s="99">
        <v>4.0</v>
      </c>
      <c r="O11" s="101">
        <v>0.430555555555555</v>
      </c>
      <c r="P11" s="102">
        <f t="shared" si="1"/>
        <v>47</v>
      </c>
      <c r="Q11" s="102">
        <f t="shared" si="4"/>
        <v>60</v>
      </c>
      <c r="R11" s="103">
        <f t="shared" si="2"/>
        <v>13</v>
      </c>
      <c r="S11" s="104">
        <f t="shared" si="3"/>
        <v>0.2765957447</v>
      </c>
      <c r="T11" s="102">
        <f t="shared" si="5"/>
        <v>30</v>
      </c>
    </row>
    <row r="12" ht="13.5" customHeight="1">
      <c r="A12" s="88"/>
      <c r="B12" s="106" t="s">
        <v>77</v>
      </c>
      <c r="C12" s="101">
        <v>0.40972222222222177</v>
      </c>
      <c r="D12" s="101">
        <v>0.4138888888888884</v>
      </c>
      <c r="E12" s="101">
        <v>0.42083333333333284</v>
      </c>
      <c r="F12" s="101">
        <v>0.4236111111111111</v>
      </c>
      <c r="G12" s="101">
        <v>0.4249999999999995</v>
      </c>
      <c r="H12" s="99">
        <v>9.0</v>
      </c>
      <c r="I12" s="101">
        <v>0.43124999999999947</v>
      </c>
      <c r="J12" s="101">
        <v>0.43402777777777724</v>
      </c>
      <c r="K12" s="101">
        <v>0.4381944444444439</v>
      </c>
      <c r="L12" s="101">
        <v>0.4437499999999994</v>
      </c>
      <c r="M12" s="101">
        <v>0.4486111111111105</v>
      </c>
      <c r="N12" s="99">
        <v>4.0</v>
      </c>
      <c r="O12" s="101">
        <v>0.4513888888888883</v>
      </c>
      <c r="P12" s="102">
        <f t="shared" si="1"/>
        <v>47</v>
      </c>
      <c r="Q12" s="102">
        <f t="shared" si="4"/>
        <v>60</v>
      </c>
      <c r="R12" s="103">
        <f t="shared" si="2"/>
        <v>13</v>
      </c>
      <c r="S12" s="104">
        <f t="shared" si="3"/>
        <v>0.2765957447</v>
      </c>
      <c r="T12" s="102">
        <f t="shared" si="5"/>
        <v>30</v>
      </c>
    </row>
    <row r="13" ht="13.5" customHeight="1">
      <c r="A13" s="88"/>
      <c r="B13" s="106" t="s">
        <v>77</v>
      </c>
      <c r="C13" s="101">
        <v>0.430555555555555</v>
      </c>
      <c r="D13" s="101">
        <v>0.4347222222222217</v>
      </c>
      <c r="E13" s="101">
        <v>0.4416666666666661</v>
      </c>
      <c r="F13" s="101">
        <v>0.44444444444444386</v>
      </c>
      <c r="G13" s="101">
        <v>0.44583333333333275</v>
      </c>
      <c r="H13" s="99">
        <v>9.0</v>
      </c>
      <c r="I13" s="101">
        <v>0.4520833333333327</v>
      </c>
      <c r="J13" s="101">
        <v>0.4548611111111105</v>
      </c>
      <c r="K13" s="101">
        <v>0.45902777777777715</v>
      </c>
      <c r="L13" s="101">
        <v>0.4645833333333327</v>
      </c>
      <c r="M13" s="101">
        <v>0.4694444444444438</v>
      </c>
      <c r="N13" s="99">
        <v>4.0</v>
      </c>
      <c r="O13" s="101">
        <v>0.47222222222222154</v>
      </c>
      <c r="P13" s="102">
        <f t="shared" si="1"/>
        <v>47</v>
      </c>
      <c r="Q13" s="102">
        <f t="shared" si="4"/>
        <v>60</v>
      </c>
      <c r="R13" s="103">
        <f t="shared" si="2"/>
        <v>13</v>
      </c>
      <c r="S13" s="104">
        <f t="shared" si="3"/>
        <v>0.2765957447</v>
      </c>
      <c r="T13" s="102">
        <f t="shared" si="5"/>
        <v>30</v>
      </c>
    </row>
    <row r="14" ht="13.5" customHeight="1">
      <c r="A14" s="88"/>
      <c r="B14" s="106" t="s">
        <v>77</v>
      </c>
      <c r="C14" s="101">
        <v>0.4513888888888883</v>
      </c>
      <c r="D14" s="101">
        <v>0.45555555555555494</v>
      </c>
      <c r="E14" s="101">
        <v>0.46249999999999936</v>
      </c>
      <c r="F14" s="101">
        <v>0.4652777777777778</v>
      </c>
      <c r="G14" s="101">
        <v>0.466666666666666</v>
      </c>
      <c r="H14" s="99">
        <v>8.0</v>
      </c>
      <c r="I14" s="101">
        <v>0.47222222222222154</v>
      </c>
      <c r="J14" s="101">
        <v>0.4749999999999993</v>
      </c>
      <c r="K14" s="101">
        <v>0.47916666666666596</v>
      </c>
      <c r="L14" s="101">
        <v>0.4847222222222215</v>
      </c>
      <c r="M14" s="101">
        <v>0.4895833333333326</v>
      </c>
      <c r="N14" s="99">
        <v>5.0</v>
      </c>
      <c r="O14" s="101">
        <v>0.4930555555555548</v>
      </c>
      <c r="P14" s="102">
        <f t="shared" si="1"/>
        <v>47</v>
      </c>
      <c r="Q14" s="102">
        <f t="shared" si="4"/>
        <v>60</v>
      </c>
      <c r="R14" s="103">
        <f t="shared" si="2"/>
        <v>13</v>
      </c>
      <c r="S14" s="104">
        <f t="shared" si="3"/>
        <v>0.2765957447</v>
      </c>
      <c r="T14" s="102">
        <f t="shared" si="5"/>
        <v>30</v>
      </c>
    </row>
    <row r="15" ht="13.5" customHeight="1">
      <c r="A15" s="88"/>
      <c r="B15" s="106" t="s">
        <v>78</v>
      </c>
      <c r="C15" s="101">
        <v>0.47222222222222154</v>
      </c>
      <c r="D15" s="101">
        <v>0.47708333333333264</v>
      </c>
      <c r="E15" s="101">
        <v>0.4847222222222215</v>
      </c>
      <c r="F15" s="101">
        <v>0.48749999999999927</v>
      </c>
      <c r="G15" s="101">
        <v>0.48888888888888815</v>
      </c>
      <c r="H15" s="99">
        <v>6.0</v>
      </c>
      <c r="I15" s="101">
        <v>0.4930555555555548</v>
      </c>
      <c r="J15" s="101">
        <v>0.49583333333333257</v>
      </c>
      <c r="K15" s="101">
        <v>0.4999999999999992</v>
      </c>
      <c r="L15" s="101">
        <v>0.5062499999999992</v>
      </c>
      <c r="M15" s="101">
        <v>0.5111111111111103</v>
      </c>
      <c r="N15" s="99">
        <v>4.0</v>
      </c>
      <c r="O15" s="101">
        <v>0.5138888888888881</v>
      </c>
      <c r="P15" s="102">
        <f t="shared" si="1"/>
        <v>50</v>
      </c>
      <c r="Q15" s="102">
        <f t="shared" si="4"/>
        <v>60</v>
      </c>
      <c r="R15" s="103">
        <f t="shared" si="2"/>
        <v>10</v>
      </c>
      <c r="S15" s="104">
        <f t="shared" si="3"/>
        <v>0.2</v>
      </c>
      <c r="T15" s="102">
        <f t="shared" si="5"/>
        <v>30</v>
      </c>
    </row>
    <row r="16" ht="13.5" customHeight="1">
      <c r="A16" s="88"/>
      <c r="B16" s="106" t="s">
        <v>78</v>
      </c>
      <c r="C16" s="101">
        <v>0.4930555555555548</v>
      </c>
      <c r="D16" s="101">
        <v>0.4979166666666659</v>
      </c>
      <c r="E16" s="101">
        <v>0.5055555555555548</v>
      </c>
      <c r="F16" s="101">
        <v>0.5083333333333325</v>
      </c>
      <c r="G16" s="101">
        <v>0.5097222222222214</v>
      </c>
      <c r="H16" s="99">
        <v>6.0</v>
      </c>
      <c r="I16" s="101">
        <v>0.5138888888888881</v>
      </c>
      <c r="J16" s="101">
        <v>0.5166666666666658</v>
      </c>
      <c r="K16" s="101">
        <v>0.5208333333333325</v>
      </c>
      <c r="L16" s="101">
        <v>0.5270833333333325</v>
      </c>
      <c r="M16" s="101">
        <v>0.5319444444444436</v>
      </c>
      <c r="N16" s="99">
        <v>4.0</v>
      </c>
      <c r="O16" s="101">
        <v>0.5347222222222213</v>
      </c>
      <c r="P16" s="102">
        <f t="shared" si="1"/>
        <v>50</v>
      </c>
      <c r="Q16" s="102">
        <f t="shared" si="4"/>
        <v>60</v>
      </c>
      <c r="R16" s="103">
        <f t="shared" si="2"/>
        <v>10</v>
      </c>
      <c r="S16" s="104">
        <f t="shared" si="3"/>
        <v>0.2</v>
      </c>
      <c r="T16" s="102">
        <f t="shared" si="5"/>
        <v>30</v>
      </c>
    </row>
    <row r="17" ht="13.5" customHeight="1">
      <c r="A17" s="88"/>
      <c r="B17" s="106" t="s">
        <v>78</v>
      </c>
      <c r="C17" s="101">
        <v>0.5138888888888881</v>
      </c>
      <c r="D17" s="101">
        <v>0.5187499999999992</v>
      </c>
      <c r="E17" s="101">
        <v>0.526388888888888</v>
      </c>
      <c r="F17" s="101">
        <v>0.5291666666666658</v>
      </c>
      <c r="G17" s="101">
        <v>0.5305555555555547</v>
      </c>
      <c r="H17" s="99">
        <v>6.0</v>
      </c>
      <c r="I17" s="101">
        <v>0.5347222222222213</v>
      </c>
      <c r="J17" s="101">
        <v>0.5374999999999991</v>
      </c>
      <c r="K17" s="101">
        <v>0.5416666666666657</v>
      </c>
      <c r="L17" s="101">
        <v>0.5479166666666657</v>
      </c>
      <c r="M17" s="101">
        <v>0.5527777777777768</v>
      </c>
      <c r="N17" s="99">
        <v>4.0</v>
      </c>
      <c r="O17" s="101">
        <v>0.5555555555555546</v>
      </c>
      <c r="P17" s="102">
        <f t="shared" si="1"/>
        <v>50</v>
      </c>
      <c r="Q17" s="102">
        <f t="shared" si="4"/>
        <v>60</v>
      </c>
      <c r="R17" s="103">
        <f t="shared" si="2"/>
        <v>10</v>
      </c>
      <c r="S17" s="104">
        <f t="shared" si="3"/>
        <v>0.2</v>
      </c>
      <c r="T17" s="102">
        <f t="shared" si="5"/>
        <v>30</v>
      </c>
    </row>
    <row r="18" ht="13.5" customHeight="1">
      <c r="A18" s="88"/>
      <c r="B18" s="106" t="s">
        <v>78</v>
      </c>
      <c r="C18" s="101">
        <v>0.5347222222222213</v>
      </c>
      <c r="D18" s="101">
        <v>0.5395833333333324</v>
      </c>
      <c r="E18" s="101">
        <v>0.5472222222222213</v>
      </c>
      <c r="F18" s="101">
        <v>0.549999999999999</v>
      </c>
      <c r="G18" s="101">
        <v>0.5513888888888879</v>
      </c>
      <c r="H18" s="99">
        <v>6.0</v>
      </c>
      <c r="I18" s="101">
        <v>0.5555555555555546</v>
      </c>
      <c r="J18" s="101">
        <v>0.5583333333333323</v>
      </c>
      <c r="K18" s="101">
        <v>0.562499999999999</v>
      </c>
      <c r="L18" s="101">
        <v>0.568749999999999</v>
      </c>
      <c r="M18" s="101">
        <v>0.5736111111111101</v>
      </c>
      <c r="N18" s="99">
        <v>4.0</v>
      </c>
      <c r="O18" s="101">
        <v>0.5763888888888878</v>
      </c>
      <c r="P18" s="102">
        <f t="shared" si="1"/>
        <v>50</v>
      </c>
      <c r="Q18" s="102">
        <f t="shared" si="4"/>
        <v>60</v>
      </c>
      <c r="R18" s="103">
        <f t="shared" si="2"/>
        <v>10</v>
      </c>
      <c r="S18" s="104">
        <f t="shared" si="3"/>
        <v>0.2</v>
      </c>
      <c r="T18" s="102">
        <f t="shared" si="5"/>
        <v>30</v>
      </c>
    </row>
    <row r="19" ht="13.5" customHeight="1">
      <c r="A19" s="88"/>
      <c r="B19" s="106" t="s">
        <v>78</v>
      </c>
      <c r="C19" s="101">
        <v>0.5555555555555546</v>
      </c>
      <c r="D19" s="101">
        <v>0.5604166666666657</v>
      </c>
      <c r="E19" s="101">
        <v>0.5680555555555545</v>
      </c>
      <c r="F19" s="101">
        <v>0.5708333333333323</v>
      </c>
      <c r="G19" s="101">
        <v>0.5722222222222212</v>
      </c>
      <c r="H19" s="99">
        <v>6.0</v>
      </c>
      <c r="I19" s="101">
        <v>0.5763888888888878</v>
      </c>
      <c r="J19" s="101">
        <v>0.5791666666666656</v>
      </c>
      <c r="K19" s="101">
        <v>0.5833333333333323</v>
      </c>
      <c r="L19" s="101">
        <v>0.5895833333333322</v>
      </c>
      <c r="M19" s="101">
        <v>0.5944444444444433</v>
      </c>
      <c r="N19" s="99">
        <v>4.0</v>
      </c>
      <c r="O19" s="101">
        <v>0.5972222222222211</v>
      </c>
      <c r="P19" s="102">
        <f t="shared" si="1"/>
        <v>50</v>
      </c>
      <c r="Q19" s="102">
        <f t="shared" si="4"/>
        <v>60</v>
      </c>
      <c r="R19" s="103">
        <f t="shared" si="2"/>
        <v>10</v>
      </c>
      <c r="S19" s="104">
        <f t="shared" si="3"/>
        <v>0.2</v>
      </c>
      <c r="T19" s="102">
        <f t="shared" si="5"/>
        <v>30</v>
      </c>
    </row>
    <row r="20" ht="13.5" customHeight="1">
      <c r="A20" s="88"/>
      <c r="B20" s="106" t="s">
        <v>78</v>
      </c>
      <c r="C20" s="101">
        <v>0.5763888888888878</v>
      </c>
      <c r="D20" s="101">
        <v>0.5812499999999989</v>
      </c>
      <c r="E20" s="101">
        <v>0.5888888888888878</v>
      </c>
      <c r="F20" s="101">
        <v>0.5916666666666656</v>
      </c>
      <c r="G20" s="101">
        <v>0.5930555555555544</v>
      </c>
      <c r="H20" s="99">
        <v>6.0</v>
      </c>
      <c r="I20" s="101">
        <v>0.5972222222222211</v>
      </c>
      <c r="J20" s="101">
        <v>0.5999999999999989</v>
      </c>
      <c r="K20" s="101">
        <v>0.6041666666666655</v>
      </c>
      <c r="L20" s="101">
        <v>0.6104166666666655</v>
      </c>
      <c r="M20" s="101">
        <v>0.6152777777777766</v>
      </c>
      <c r="N20" s="99">
        <v>4.0</v>
      </c>
      <c r="O20" s="101">
        <v>0.6180555555555544</v>
      </c>
      <c r="P20" s="102">
        <f t="shared" si="1"/>
        <v>50</v>
      </c>
      <c r="Q20" s="102">
        <f t="shared" si="4"/>
        <v>60</v>
      </c>
      <c r="R20" s="103">
        <f t="shared" si="2"/>
        <v>10</v>
      </c>
      <c r="S20" s="104">
        <f t="shared" si="3"/>
        <v>0.2</v>
      </c>
      <c r="T20" s="102">
        <f t="shared" si="5"/>
        <v>30</v>
      </c>
    </row>
    <row r="21" ht="13.5" customHeight="1">
      <c r="A21" s="88"/>
      <c r="B21" s="106" t="s">
        <v>79</v>
      </c>
      <c r="C21" s="101">
        <v>0.5972222222222211</v>
      </c>
      <c r="D21" s="101">
        <v>0.6027777777777766</v>
      </c>
      <c r="E21" s="101">
        <v>0.609722222222221</v>
      </c>
      <c r="F21" s="101">
        <v>0.6124999999999988</v>
      </c>
      <c r="G21" s="101">
        <v>0.6138888888888877</v>
      </c>
      <c r="H21" s="99">
        <v>7.0</v>
      </c>
      <c r="I21" s="101">
        <v>0.6187499999999988</v>
      </c>
      <c r="J21" s="101">
        <v>0.6215277777777766</v>
      </c>
      <c r="K21" s="101">
        <v>0.6256944444444432</v>
      </c>
      <c r="L21" s="101">
        <v>0.6319444444444432</v>
      </c>
      <c r="M21" s="101">
        <v>0.6368055555555543</v>
      </c>
      <c r="N21" s="99">
        <v>3.0</v>
      </c>
      <c r="O21" s="101">
        <v>0.6388888888888876</v>
      </c>
      <c r="P21" s="102">
        <f t="shared" si="1"/>
        <v>50</v>
      </c>
      <c r="Q21" s="102">
        <f t="shared" si="4"/>
        <v>60</v>
      </c>
      <c r="R21" s="103">
        <f t="shared" si="2"/>
        <v>10</v>
      </c>
      <c r="S21" s="104">
        <f t="shared" si="3"/>
        <v>0.2</v>
      </c>
      <c r="T21" s="102">
        <f t="shared" si="5"/>
        <v>30</v>
      </c>
    </row>
    <row r="22" ht="13.5" customHeight="1">
      <c r="A22" s="88"/>
      <c r="B22" s="106" t="s">
        <v>79</v>
      </c>
      <c r="C22" s="101">
        <v>0.6180555555555544</v>
      </c>
      <c r="D22" s="101">
        <v>0.6236111111111099</v>
      </c>
      <c r="E22" s="101">
        <v>0.6305555555555543</v>
      </c>
      <c r="F22" s="101">
        <v>0.6333333333333321</v>
      </c>
      <c r="G22" s="101">
        <v>0.634722222222221</v>
      </c>
      <c r="H22" s="99">
        <v>7.0</v>
      </c>
      <c r="I22" s="101">
        <v>0.6395833333333321</v>
      </c>
      <c r="J22" s="101">
        <v>0.6423611111111098</v>
      </c>
      <c r="K22" s="101">
        <v>0.6465277777777765</v>
      </c>
      <c r="L22" s="101">
        <v>0.6527777777777765</v>
      </c>
      <c r="M22" s="101">
        <v>0.6576388888888876</v>
      </c>
      <c r="N22" s="99">
        <v>3.0</v>
      </c>
      <c r="O22" s="101">
        <v>0.6597222222222209</v>
      </c>
      <c r="P22" s="102">
        <f t="shared" si="1"/>
        <v>50</v>
      </c>
      <c r="Q22" s="102">
        <f t="shared" si="4"/>
        <v>60</v>
      </c>
      <c r="R22" s="103">
        <f t="shared" si="2"/>
        <v>10</v>
      </c>
      <c r="S22" s="104">
        <f t="shared" si="3"/>
        <v>0.2</v>
      </c>
      <c r="T22" s="102">
        <f t="shared" si="5"/>
        <v>30</v>
      </c>
    </row>
    <row r="23" ht="13.5" customHeight="1">
      <c r="A23" s="88"/>
      <c r="B23" s="106" t="s">
        <v>79</v>
      </c>
      <c r="C23" s="101">
        <v>0.6388888888888876</v>
      </c>
      <c r="D23" s="101">
        <v>0.6444444444444432</v>
      </c>
      <c r="E23" s="101">
        <v>0.6513888888888876</v>
      </c>
      <c r="F23" s="101">
        <v>0.6541666666666653</v>
      </c>
      <c r="G23" s="101">
        <v>0.6555555555555542</v>
      </c>
      <c r="H23" s="99">
        <v>6.0</v>
      </c>
      <c r="I23" s="101">
        <v>0.6597222222222209</v>
      </c>
      <c r="J23" s="101">
        <v>0.6624999999999986</v>
      </c>
      <c r="K23" s="101">
        <v>0.6666666666666653</v>
      </c>
      <c r="L23" s="101">
        <v>0.6729166666666653</v>
      </c>
      <c r="M23" s="101">
        <v>0.6777777777777764</v>
      </c>
      <c r="N23" s="99">
        <v>4.0</v>
      </c>
      <c r="O23" s="101">
        <v>0.6805555555555541</v>
      </c>
      <c r="P23" s="102">
        <f t="shared" si="1"/>
        <v>50</v>
      </c>
      <c r="Q23" s="102">
        <f t="shared" si="4"/>
        <v>60</v>
      </c>
      <c r="R23" s="103">
        <f t="shared" si="2"/>
        <v>10</v>
      </c>
      <c r="S23" s="104">
        <f t="shared" si="3"/>
        <v>0.2</v>
      </c>
      <c r="T23" s="102">
        <f t="shared" si="5"/>
        <v>30</v>
      </c>
    </row>
    <row r="24" ht="13.5" customHeight="1">
      <c r="A24" s="88"/>
      <c r="B24" s="106" t="s">
        <v>79</v>
      </c>
      <c r="C24" s="101">
        <v>0.6597222222222209</v>
      </c>
      <c r="D24" s="101">
        <v>0.6652777777777764</v>
      </c>
      <c r="E24" s="101">
        <v>0.6722222222222208</v>
      </c>
      <c r="F24" s="101">
        <v>0.6749999999999986</v>
      </c>
      <c r="G24" s="101">
        <v>0.6763888888888875</v>
      </c>
      <c r="H24" s="99">
        <v>6.0</v>
      </c>
      <c r="I24" s="101">
        <v>0.6805555555555541</v>
      </c>
      <c r="J24" s="101">
        <v>0.6833333333333319</v>
      </c>
      <c r="K24" s="101">
        <v>0.6874999999999986</v>
      </c>
      <c r="L24" s="101">
        <v>0.6937499999999985</v>
      </c>
      <c r="M24" s="101">
        <v>0.6986111111111096</v>
      </c>
      <c r="N24" s="99">
        <v>4.0</v>
      </c>
      <c r="O24" s="101">
        <v>0.7013888888888874</v>
      </c>
      <c r="P24" s="102">
        <f t="shared" si="1"/>
        <v>50</v>
      </c>
      <c r="Q24" s="102">
        <f t="shared" si="4"/>
        <v>60</v>
      </c>
      <c r="R24" s="103">
        <f t="shared" si="2"/>
        <v>10</v>
      </c>
      <c r="S24" s="104">
        <f t="shared" si="3"/>
        <v>0.2</v>
      </c>
      <c r="T24" s="102">
        <f t="shared" si="5"/>
        <v>30</v>
      </c>
    </row>
    <row r="25" ht="13.5" customHeight="1">
      <c r="A25" s="88"/>
      <c r="B25" s="106" t="s">
        <v>79</v>
      </c>
      <c r="C25" s="101">
        <v>0.6805555555555541</v>
      </c>
      <c r="D25" s="101">
        <v>0.6861111111111097</v>
      </c>
      <c r="E25" s="101">
        <v>0.6930555555555541</v>
      </c>
      <c r="F25" s="101">
        <v>0.6958333333333319</v>
      </c>
      <c r="G25" s="101">
        <v>0.6972222222222207</v>
      </c>
      <c r="H25" s="99">
        <v>6.0</v>
      </c>
      <c r="I25" s="101">
        <v>0.7013888888888874</v>
      </c>
      <c r="J25" s="101">
        <v>0.7041666666666652</v>
      </c>
      <c r="K25" s="101">
        <v>0.7083333333333318</v>
      </c>
      <c r="L25" s="101">
        <v>0.7145833333333318</v>
      </c>
      <c r="M25" s="101">
        <v>0.7194444444444429</v>
      </c>
      <c r="N25" s="99">
        <v>4.0</v>
      </c>
      <c r="O25" s="101">
        <v>0.7222222222222207</v>
      </c>
      <c r="P25" s="102">
        <f t="shared" si="1"/>
        <v>50</v>
      </c>
      <c r="Q25" s="102">
        <f t="shared" si="4"/>
        <v>60</v>
      </c>
      <c r="R25" s="103">
        <f t="shared" si="2"/>
        <v>10</v>
      </c>
      <c r="S25" s="104">
        <f t="shared" si="3"/>
        <v>0.2</v>
      </c>
      <c r="T25" s="102">
        <f t="shared" si="5"/>
        <v>30</v>
      </c>
    </row>
    <row r="26" ht="13.5" customHeight="1">
      <c r="A26" s="88"/>
      <c r="B26" s="106" t="s">
        <v>79</v>
      </c>
      <c r="C26" s="101">
        <v>0.7013888888888874</v>
      </c>
      <c r="D26" s="101">
        <v>0.7069444444444429</v>
      </c>
      <c r="E26" s="101">
        <v>0.7138888888888874</v>
      </c>
      <c r="F26" s="101">
        <v>0.7166666666666651</v>
      </c>
      <c r="G26" s="101">
        <v>0.718055555555554</v>
      </c>
      <c r="H26" s="99">
        <v>6.0</v>
      </c>
      <c r="I26" s="101">
        <v>0.7222222222222207</v>
      </c>
      <c r="J26" s="101">
        <v>0.7249999999999984</v>
      </c>
      <c r="K26" s="101">
        <v>0.7291666666666651</v>
      </c>
      <c r="L26" s="101">
        <v>0.735416666666665</v>
      </c>
      <c r="M26" s="101">
        <v>0.7402777777777761</v>
      </c>
      <c r="N26" s="99">
        <v>4.0</v>
      </c>
      <c r="O26" s="101">
        <v>0.7430555555555539</v>
      </c>
      <c r="P26" s="102">
        <f t="shared" si="1"/>
        <v>50</v>
      </c>
      <c r="Q26" s="102">
        <f t="shared" si="4"/>
        <v>60</v>
      </c>
      <c r="R26" s="103">
        <f t="shared" si="2"/>
        <v>10</v>
      </c>
      <c r="S26" s="104">
        <f t="shared" si="3"/>
        <v>0.2</v>
      </c>
      <c r="T26" s="102">
        <f t="shared" si="5"/>
        <v>30</v>
      </c>
    </row>
    <row r="27" ht="13.5" customHeight="1">
      <c r="A27" s="88"/>
      <c r="B27" s="106" t="s">
        <v>79</v>
      </c>
      <c r="C27" s="101">
        <v>0.7222222222222207</v>
      </c>
      <c r="D27" s="101">
        <v>0.7277777777777762</v>
      </c>
      <c r="E27" s="101">
        <v>0.7347222222222206</v>
      </c>
      <c r="F27" s="101">
        <v>0.7374999999999984</v>
      </c>
      <c r="G27" s="101">
        <v>0.7388888888888873</v>
      </c>
      <c r="H27" s="99">
        <v>6.0</v>
      </c>
      <c r="I27" s="101">
        <v>0.7430555555555539</v>
      </c>
      <c r="J27" s="101">
        <v>0.7458333333333317</v>
      </c>
      <c r="K27" s="101">
        <v>0.7499999999999983</v>
      </c>
      <c r="L27" s="101">
        <v>0.7562499999999983</v>
      </c>
      <c r="M27" s="101">
        <v>0.7611111111111094</v>
      </c>
      <c r="N27" s="99">
        <v>0.0</v>
      </c>
      <c r="O27" s="107" t="s">
        <v>80</v>
      </c>
      <c r="P27" s="102">
        <f t="shared" si="1"/>
        <v>50</v>
      </c>
      <c r="Q27" s="102">
        <f t="shared" ref="Q27:Q28" si="6">(M27-C27)*1440</f>
        <v>56</v>
      </c>
      <c r="R27" s="103">
        <f t="shared" si="2"/>
        <v>6</v>
      </c>
      <c r="S27" s="104">
        <f t="shared" si="3"/>
        <v>0.12</v>
      </c>
      <c r="T27" s="102">
        <f t="shared" ref="T27:T28" si="7">(M27-M26)*1440</f>
        <v>30</v>
      </c>
    </row>
    <row r="28" ht="13.5" customHeight="1">
      <c r="A28" s="88"/>
      <c r="B28" s="106" t="s">
        <v>79</v>
      </c>
      <c r="C28" s="101">
        <v>0.7430555555555539</v>
      </c>
      <c r="D28" s="101">
        <v>0.7486111111111095</v>
      </c>
      <c r="E28" s="101">
        <v>0.7555555555555539</v>
      </c>
      <c r="F28" s="101">
        <v>0.7583333333333316</v>
      </c>
      <c r="G28" s="101">
        <v>0.7597222222222205</v>
      </c>
      <c r="H28" s="99">
        <v>6.0</v>
      </c>
      <c r="I28" s="101">
        <v>0.7638888888888872</v>
      </c>
      <c r="J28" s="101">
        <v>0.7666666666666649</v>
      </c>
      <c r="K28" s="101">
        <v>0.7708333333333316</v>
      </c>
      <c r="L28" s="101">
        <v>0.7770833333333316</v>
      </c>
      <c r="M28" s="101">
        <v>0.7819444444444427</v>
      </c>
      <c r="N28" s="99">
        <v>0.0</v>
      </c>
      <c r="O28" s="107" t="s">
        <v>80</v>
      </c>
      <c r="P28" s="102">
        <f t="shared" si="1"/>
        <v>50</v>
      </c>
      <c r="Q28" s="102">
        <f t="shared" si="6"/>
        <v>56</v>
      </c>
      <c r="R28" s="103">
        <f t="shared" si="2"/>
        <v>6</v>
      </c>
      <c r="S28" s="104">
        <f t="shared" si="3"/>
        <v>0.12</v>
      </c>
      <c r="T28" s="102">
        <f t="shared" si="7"/>
        <v>30</v>
      </c>
    </row>
    <row r="29" ht="13.5" customHeight="1">
      <c r="A29" s="108"/>
      <c r="B29" s="85"/>
      <c r="D29" s="62"/>
      <c r="E29" s="62"/>
      <c r="F29" s="62"/>
      <c r="H29" s="109"/>
      <c r="I29" s="62"/>
      <c r="J29" s="62"/>
      <c r="K29" s="62"/>
      <c r="L29" s="62"/>
      <c r="M29" s="110" t="s">
        <v>81</v>
      </c>
      <c r="P29" s="111">
        <f t="shared" ref="P29:R29" si="8">SUM(P5:P28)/60</f>
        <v>19.13333333</v>
      </c>
      <c r="Q29" s="112">
        <f t="shared" si="8"/>
        <v>23.36666667</v>
      </c>
      <c r="R29" s="111">
        <f t="shared" si="8"/>
        <v>4.233333333</v>
      </c>
      <c r="S29" s="113"/>
      <c r="T29" s="87"/>
    </row>
    <row r="30" ht="13.5" customHeight="1">
      <c r="A30" s="114"/>
      <c r="B30" s="115"/>
      <c r="C30" s="116"/>
      <c r="D30" s="117"/>
      <c r="E30" s="117"/>
      <c r="F30" s="117"/>
      <c r="G30" s="116"/>
      <c r="H30" s="116"/>
      <c r="I30" s="117"/>
      <c r="J30" s="117"/>
      <c r="K30" s="117"/>
      <c r="L30" s="117"/>
      <c r="M30" s="116"/>
      <c r="N30" s="116"/>
      <c r="O30" s="118"/>
      <c r="P30" s="119"/>
      <c r="Q30" s="119"/>
      <c r="R30" s="119"/>
      <c r="S30" s="119"/>
      <c r="T30" s="120"/>
      <c r="U30" s="118"/>
      <c r="V30" s="118"/>
      <c r="W30" s="118"/>
    </row>
    <row r="31" ht="25.5" customHeight="1">
      <c r="A31" s="84" t="s">
        <v>82</v>
      </c>
      <c r="B31" s="85"/>
      <c r="C31" s="86" t="s">
        <v>59</v>
      </c>
      <c r="D31" s="5"/>
      <c r="E31" s="5"/>
      <c r="F31" s="5"/>
      <c r="G31" s="5"/>
      <c r="H31" s="6"/>
      <c r="I31" s="86" t="s">
        <v>60</v>
      </c>
      <c r="J31" s="5"/>
      <c r="K31" s="5"/>
      <c r="L31" s="5"/>
      <c r="M31" s="5"/>
      <c r="N31" s="6"/>
      <c r="P31" s="87"/>
      <c r="Q31" s="87"/>
      <c r="R31" s="87"/>
      <c r="S31" s="87"/>
      <c r="T31" s="87"/>
    </row>
    <row r="32" ht="13.5" customHeight="1">
      <c r="A32" s="88"/>
      <c r="B32" s="85"/>
      <c r="C32" s="73"/>
      <c r="D32" s="73"/>
      <c r="E32" s="73"/>
      <c r="F32" s="73"/>
      <c r="G32" s="121" t="s">
        <v>61</v>
      </c>
      <c r="H32" s="73"/>
      <c r="I32" s="121" t="s">
        <v>62</v>
      </c>
      <c r="J32" s="73"/>
      <c r="K32" s="73"/>
      <c r="L32" s="73"/>
      <c r="M32" s="121" t="s">
        <v>61</v>
      </c>
      <c r="N32" s="73"/>
      <c r="O32" s="66" t="s">
        <v>62</v>
      </c>
      <c r="P32" s="87"/>
      <c r="Q32" s="87"/>
      <c r="R32" s="87"/>
      <c r="S32" s="87"/>
      <c r="T32" s="87"/>
    </row>
    <row r="33" ht="13.5" customHeight="1">
      <c r="A33" s="88"/>
      <c r="B33" s="89" t="s">
        <v>63</v>
      </c>
      <c r="C33" s="90" t="s">
        <v>64</v>
      </c>
      <c r="D33" s="90" t="s">
        <v>65</v>
      </c>
      <c r="E33" s="90" t="s">
        <v>66</v>
      </c>
      <c r="F33" s="90" t="s">
        <v>67</v>
      </c>
      <c r="G33" s="90" t="s">
        <v>68</v>
      </c>
      <c r="H33" s="92" t="s">
        <v>69</v>
      </c>
      <c r="I33" s="90" t="s">
        <v>68</v>
      </c>
      <c r="J33" s="90" t="s">
        <v>70</v>
      </c>
      <c r="K33" s="90" t="s">
        <v>71</v>
      </c>
      <c r="L33" s="90" t="s">
        <v>65</v>
      </c>
      <c r="M33" s="90" t="s">
        <v>64</v>
      </c>
      <c r="N33" s="92" t="s">
        <v>69</v>
      </c>
      <c r="O33" s="90" t="s">
        <v>64</v>
      </c>
      <c r="P33" s="87"/>
      <c r="Q33" s="87"/>
      <c r="R33" s="87"/>
      <c r="S33" s="87"/>
      <c r="T33" s="87"/>
    </row>
    <row r="34" ht="13.5" customHeight="1">
      <c r="A34" s="88"/>
      <c r="B34" s="93" t="s">
        <v>72</v>
      </c>
      <c r="C34" s="66">
        <v>777.0</v>
      </c>
      <c r="D34" s="66">
        <v>662.0</v>
      </c>
      <c r="E34" s="66">
        <v>63.0</v>
      </c>
      <c r="F34" s="66">
        <v>329.0</v>
      </c>
      <c r="G34" s="66">
        <v>612.0</v>
      </c>
      <c r="H34" s="94"/>
      <c r="I34" s="66">
        <v>612.0</v>
      </c>
      <c r="J34" s="66">
        <v>330.0</v>
      </c>
      <c r="K34" s="66">
        <v>62.0</v>
      </c>
      <c r="L34" s="66">
        <v>847.0</v>
      </c>
      <c r="M34" s="66">
        <v>777.0</v>
      </c>
      <c r="N34" s="94"/>
      <c r="O34" s="66">
        <v>777.0</v>
      </c>
      <c r="P34" s="95" t="s">
        <v>73</v>
      </c>
      <c r="Q34" s="95" t="s">
        <v>74</v>
      </c>
      <c r="R34" s="95" t="s">
        <v>69</v>
      </c>
      <c r="S34" s="95" t="s">
        <v>75</v>
      </c>
      <c r="T34" s="96" t="s">
        <v>76</v>
      </c>
    </row>
    <row r="35" ht="13.5" customHeight="1">
      <c r="A35" s="88"/>
      <c r="B35" s="97" t="s">
        <v>77</v>
      </c>
      <c r="C35" s="101"/>
      <c r="D35" s="101"/>
      <c r="E35" s="101"/>
      <c r="F35" s="101"/>
      <c r="G35" s="101"/>
      <c r="H35" s="99"/>
      <c r="I35" s="100">
        <v>0.3680555555555556</v>
      </c>
      <c r="J35" s="101">
        <v>0.37083333333333335</v>
      </c>
      <c r="K35" s="101">
        <v>0.375</v>
      </c>
      <c r="L35" s="101">
        <v>0.38055555555555554</v>
      </c>
      <c r="M35" s="101">
        <v>0.38541666666666663</v>
      </c>
      <c r="N35" s="99">
        <v>5.0</v>
      </c>
      <c r="O35" s="101">
        <v>0.38888888888888884</v>
      </c>
      <c r="P35" s="102">
        <f t="shared" ref="P35:P54" si="9">Q35-R35</f>
        <v>25</v>
      </c>
      <c r="Q35" s="102">
        <f>(O35-I35)*1440</f>
        <v>30</v>
      </c>
      <c r="R35" s="103">
        <f t="shared" ref="R35:R54" si="10">N35+H35</f>
        <v>5</v>
      </c>
      <c r="S35" s="104">
        <f t="shared" ref="S35:S54" si="11">R35/P35</f>
        <v>0.2</v>
      </c>
      <c r="T35" s="122"/>
    </row>
    <row r="36" ht="13.5" customHeight="1">
      <c r="A36" s="88"/>
      <c r="B36" s="106" t="s">
        <v>77</v>
      </c>
      <c r="C36" s="100">
        <v>0.3680555555555556</v>
      </c>
      <c r="D36" s="101">
        <v>0.37222222222222223</v>
      </c>
      <c r="E36" s="101">
        <v>0.37916666666666665</v>
      </c>
      <c r="F36" s="101">
        <v>0.3819444444444444</v>
      </c>
      <c r="G36" s="101">
        <v>0.3833333333333333</v>
      </c>
      <c r="H36" s="99">
        <v>9.0</v>
      </c>
      <c r="I36" s="101">
        <v>0.3895833333333333</v>
      </c>
      <c r="J36" s="101">
        <v>0.39236111111111105</v>
      </c>
      <c r="K36" s="101">
        <v>0.3965277777777777</v>
      </c>
      <c r="L36" s="101">
        <v>0.40208333333333324</v>
      </c>
      <c r="M36" s="101">
        <v>0.40694444444444433</v>
      </c>
      <c r="N36" s="99">
        <v>4.0</v>
      </c>
      <c r="O36" s="101">
        <v>0.4097222222222221</v>
      </c>
      <c r="P36" s="102">
        <f t="shared" si="9"/>
        <v>47</v>
      </c>
      <c r="Q36" s="102">
        <f t="shared" ref="Q36:Q52" si="12">(O36-C36)*1440</f>
        <v>60</v>
      </c>
      <c r="R36" s="103">
        <f t="shared" si="10"/>
        <v>13</v>
      </c>
      <c r="S36" s="104">
        <f t="shared" si="11"/>
        <v>0.2765957447</v>
      </c>
      <c r="T36" s="102">
        <f t="shared" ref="T36:T52" si="13">(O36-O35)*1440</f>
        <v>30</v>
      </c>
    </row>
    <row r="37" ht="13.5" customHeight="1">
      <c r="A37" s="88"/>
      <c r="B37" s="106" t="s">
        <v>77</v>
      </c>
      <c r="C37" s="101">
        <v>0.3888888888888889</v>
      </c>
      <c r="D37" s="101">
        <v>0.39305555555555555</v>
      </c>
      <c r="E37" s="101">
        <v>0.39999999999999997</v>
      </c>
      <c r="F37" s="101">
        <v>0.40277777777777773</v>
      </c>
      <c r="G37" s="101">
        <v>0.4041666666666666</v>
      </c>
      <c r="H37" s="99">
        <v>9.0</v>
      </c>
      <c r="I37" s="101">
        <v>0.4104166666666666</v>
      </c>
      <c r="J37" s="101">
        <v>0.41319444444444436</v>
      </c>
      <c r="K37" s="101">
        <v>0.417361111111111</v>
      </c>
      <c r="L37" s="101">
        <v>0.42291666666666655</v>
      </c>
      <c r="M37" s="101">
        <v>0.42777777777777765</v>
      </c>
      <c r="N37" s="99">
        <v>4.0</v>
      </c>
      <c r="O37" s="101">
        <v>0.4305555555555554</v>
      </c>
      <c r="P37" s="102">
        <f t="shared" si="9"/>
        <v>47</v>
      </c>
      <c r="Q37" s="102">
        <f t="shared" si="12"/>
        <v>60</v>
      </c>
      <c r="R37" s="103">
        <f t="shared" si="10"/>
        <v>13</v>
      </c>
      <c r="S37" s="104">
        <f t="shared" si="11"/>
        <v>0.2765957447</v>
      </c>
      <c r="T37" s="102">
        <f t="shared" si="13"/>
        <v>30</v>
      </c>
    </row>
    <row r="38" ht="13.5" customHeight="1">
      <c r="A38" s="88"/>
      <c r="B38" s="106" t="s">
        <v>77</v>
      </c>
      <c r="C38" s="101">
        <v>0.4097222222222221</v>
      </c>
      <c r="D38" s="101">
        <v>0.41388888888888875</v>
      </c>
      <c r="E38" s="101">
        <v>0.42083333333333317</v>
      </c>
      <c r="F38" s="101">
        <v>0.42361111111111094</v>
      </c>
      <c r="G38" s="101">
        <v>0.4249999999999998</v>
      </c>
      <c r="H38" s="99">
        <v>9.0</v>
      </c>
      <c r="I38" s="101">
        <v>0.4312499999999998</v>
      </c>
      <c r="J38" s="101">
        <v>0.43402777777777757</v>
      </c>
      <c r="K38" s="101">
        <v>0.4381944444444442</v>
      </c>
      <c r="L38" s="101">
        <v>0.44374999999999976</v>
      </c>
      <c r="M38" s="101">
        <v>0.44861111111111085</v>
      </c>
      <c r="N38" s="99">
        <v>4.0</v>
      </c>
      <c r="O38" s="101">
        <v>0.4513888888888886</v>
      </c>
      <c r="P38" s="102">
        <f t="shared" si="9"/>
        <v>47</v>
      </c>
      <c r="Q38" s="102">
        <f t="shared" si="12"/>
        <v>60</v>
      </c>
      <c r="R38" s="103">
        <f t="shared" si="10"/>
        <v>13</v>
      </c>
      <c r="S38" s="104">
        <f t="shared" si="11"/>
        <v>0.2765957447</v>
      </c>
      <c r="T38" s="102">
        <f t="shared" si="13"/>
        <v>30</v>
      </c>
    </row>
    <row r="39" ht="13.5" customHeight="1">
      <c r="A39" s="88"/>
      <c r="B39" s="106" t="s">
        <v>77</v>
      </c>
      <c r="C39" s="101">
        <v>0.4305555555555554</v>
      </c>
      <c r="D39" s="101">
        <v>0.43472222222222207</v>
      </c>
      <c r="E39" s="101">
        <v>0.4416666666666665</v>
      </c>
      <c r="F39" s="101">
        <v>0.44444444444444425</v>
      </c>
      <c r="G39" s="101">
        <v>0.44583333333333314</v>
      </c>
      <c r="H39" s="99">
        <v>9.0</v>
      </c>
      <c r="I39" s="101">
        <v>0.4520833333333331</v>
      </c>
      <c r="J39" s="101">
        <v>0.4548611111111109</v>
      </c>
      <c r="K39" s="101">
        <v>0.45902777777777753</v>
      </c>
      <c r="L39" s="101">
        <v>0.46458333333333307</v>
      </c>
      <c r="M39" s="101">
        <v>0.46944444444444416</v>
      </c>
      <c r="N39" s="99">
        <v>4.0</v>
      </c>
      <c r="O39" s="101">
        <v>0.47222222222222193</v>
      </c>
      <c r="P39" s="102">
        <f t="shared" si="9"/>
        <v>47</v>
      </c>
      <c r="Q39" s="102">
        <f t="shared" si="12"/>
        <v>60</v>
      </c>
      <c r="R39" s="103">
        <f t="shared" si="10"/>
        <v>13</v>
      </c>
      <c r="S39" s="104">
        <f t="shared" si="11"/>
        <v>0.2765957447</v>
      </c>
      <c r="T39" s="102">
        <f t="shared" si="13"/>
        <v>30</v>
      </c>
    </row>
    <row r="40" ht="13.5" customHeight="1">
      <c r="A40" s="88"/>
      <c r="B40" s="106" t="s">
        <v>77</v>
      </c>
      <c r="C40" s="101">
        <v>0.4513888888888886</v>
      </c>
      <c r="D40" s="101">
        <v>0.45555555555555527</v>
      </c>
      <c r="E40" s="101">
        <v>0.4624999999999997</v>
      </c>
      <c r="F40" s="101">
        <v>0.46527777777777746</v>
      </c>
      <c r="G40" s="101">
        <v>0.46666666666666634</v>
      </c>
      <c r="H40" s="99">
        <v>8.0</v>
      </c>
      <c r="I40" s="101">
        <v>0.4722222222222219</v>
      </c>
      <c r="J40" s="101">
        <v>0.47499999999999964</v>
      </c>
      <c r="K40" s="101">
        <v>0.4791666666666663</v>
      </c>
      <c r="L40" s="101">
        <v>0.48472222222222183</v>
      </c>
      <c r="M40" s="101">
        <v>0.4895833333333329</v>
      </c>
      <c r="N40" s="99">
        <v>5.0</v>
      </c>
      <c r="O40" s="101">
        <v>0.49305555555555514</v>
      </c>
      <c r="P40" s="102">
        <f t="shared" si="9"/>
        <v>47</v>
      </c>
      <c r="Q40" s="102">
        <f t="shared" si="12"/>
        <v>60</v>
      </c>
      <c r="R40" s="103">
        <f t="shared" si="10"/>
        <v>13</v>
      </c>
      <c r="S40" s="104">
        <f t="shared" si="11"/>
        <v>0.2765957447</v>
      </c>
      <c r="T40" s="102">
        <f t="shared" si="13"/>
        <v>30</v>
      </c>
    </row>
    <row r="41" ht="13.5" customHeight="1">
      <c r="A41" s="88"/>
      <c r="B41" s="106" t="s">
        <v>78</v>
      </c>
      <c r="C41" s="101">
        <v>0.47222222222222193</v>
      </c>
      <c r="D41" s="101">
        <v>0.477083333333333</v>
      </c>
      <c r="E41" s="101">
        <v>0.4847222222222219</v>
      </c>
      <c r="F41" s="101">
        <v>0.48749999999999966</v>
      </c>
      <c r="G41" s="101">
        <v>0.48888888888888854</v>
      </c>
      <c r="H41" s="99">
        <v>6.0</v>
      </c>
      <c r="I41" s="101">
        <v>0.4930555555555552</v>
      </c>
      <c r="J41" s="101">
        <v>0.49583333333333296</v>
      </c>
      <c r="K41" s="101">
        <v>0.4999999999999996</v>
      </c>
      <c r="L41" s="101">
        <v>0.5062499999999996</v>
      </c>
      <c r="M41" s="101">
        <v>0.5111111111111107</v>
      </c>
      <c r="N41" s="99">
        <v>4.0</v>
      </c>
      <c r="O41" s="101">
        <v>0.5138888888888885</v>
      </c>
      <c r="P41" s="102">
        <f t="shared" si="9"/>
        <v>50</v>
      </c>
      <c r="Q41" s="102">
        <f t="shared" si="12"/>
        <v>60</v>
      </c>
      <c r="R41" s="103">
        <f t="shared" si="10"/>
        <v>10</v>
      </c>
      <c r="S41" s="104">
        <f t="shared" si="11"/>
        <v>0.2</v>
      </c>
      <c r="T41" s="102">
        <f t="shared" si="13"/>
        <v>30</v>
      </c>
    </row>
    <row r="42" ht="13.5" customHeight="1">
      <c r="A42" s="88"/>
      <c r="B42" s="106" t="s">
        <v>78</v>
      </c>
      <c r="C42" s="101">
        <v>0.49305555555555514</v>
      </c>
      <c r="D42" s="101">
        <v>0.49791666666666623</v>
      </c>
      <c r="E42" s="101">
        <v>0.5055555555555551</v>
      </c>
      <c r="F42" s="101">
        <v>0.5083333333333329</v>
      </c>
      <c r="G42" s="101">
        <v>0.5097222222222217</v>
      </c>
      <c r="H42" s="99">
        <v>6.0</v>
      </c>
      <c r="I42" s="101">
        <v>0.5138888888888884</v>
      </c>
      <c r="J42" s="101">
        <v>0.5166666666666662</v>
      </c>
      <c r="K42" s="101">
        <v>0.5208333333333328</v>
      </c>
      <c r="L42" s="101">
        <v>0.5270833333333328</v>
      </c>
      <c r="M42" s="101">
        <v>0.5319444444444439</v>
      </c>
      <c r="N42" s="99">
        <v>4.0</v>
      </c>
      <c r="O42" s="101">
        <v>0.5347222222222217</v>
      </c>
      <c r="P42" s="102">
        <f t="shared" si="9"/>
        <v>50</v>
      </c>
      <c r="Q42" s="102">
        <f t="shared" si="12"/>
        <v>60</v>
      </c>
      <c r="R42" s="103">
        <f t="shared" si="10"/>
        <v>10</v>
      </c>
      <c r="S42" s="104">
        <f t="shared" si="11"/>
        <v>0.2</v>
      </c>
      <c r="T42" s="102">
        <f t="shared" si="13"/>
        <v>30</v>
      </c>
    </row>
    <row r="43" ht="13.5" customHeight="1">
      <c r="A43" s="88"/>
      <c r="B43" s="106" t="s">
        <v>78</v>
      </c>
      <c r="C43" s="101">
        <v>0.5138888888888885</v>
      </c>
      <c r="D43" s="101">
        <v>0.5187499999999996</v>
      </c>
      <c r="E43" s="101">
        <v>0.5263888888888885</v>
      </c>
      <c r="F43" s="101">
        <v>0.5291666666666662</v>
      </c>
      <c r="G43" s="101">
        <v>0.5305555555555551</v>
      </c>
      <c r="H43" s="99">
        <v>6.0</v>
      </c>
      <c r="I43" s="101">
        <v>0.5347222222222218</v>
      </c>
      <c r="J43" s="101">
        <v>0.5374999999999995</v>
      </c>
      <c r="K43" s="101">
        <v>0.5416666666666662</v>
      </c>
      <c r="L43" s="101">
        <v>0.5479166666666662</v>
      </c>
      <c r="M43" s="101">
        <v>0.5527777777777773</v>
      </c>
      <c r="N43" s="99">
        <v>4.0</v>
      </c>
      <c r="O43" s="101">
        <v>0.555555555555555</v>
      </c>
      <c r="P43" s="102">
        <f t="shared" si="9"/>
        <v>50</v>
      </c>
      <c r="Q43" s="102">
        <f t="shared" si="12"/>
        <v>60</v>
      </c>
      <c r="R43" s="103">
        <f t="shared" si="10"/>
        <v>10</v>
      </c>
      <c r="S43" s="104">
        <f t="shared" si="11"/>
        <v>0.2</v>
      </c>
      <c r="T43" s="102">
        <f t="shared" si="13"/>
        <v>30</v>
      </c>
    </row>
    <row r="44" ht="13.5" customHeight="1">
      <c r="A44" s="88"/>
      <c r="B44" s="106" t="s">
        <v>78</v>
      </c>
      <c r="C44" s="101">
        <v>0.5347222222222217</v>
      </c>
      <c r="D44" s="101">
        <v>0.5395833333333327</v>
      </c>
      <c r="E44" s="101">
        <v>0.5472222222222216</v>
      </c>
      <c r="F44" s="101">
        <v>0.5499999999999994</v>
      </c>
      <c r="G44" s="101">
        <v>0.5513888888888883</v>
      </c>
      <c r="H44" s="99">
        <v>6.0</v>
      </c>
      <c r="I44" s="101">
        <v>0.5555555555555549</v>
      </c>
      <c r="J44" s="101">
        <v>0.5583333333333327</v>
      </c>
      <c r="K44" s="101">
        <v>0.5624999999999993</v>
      </c>
      <c r="L44" s="101">
        <v>0.5687499999999993</v>
      </c>
      <c r="M44" s="101">
        <v>0.5736111111111104</v>
      </c>
      <c r="N44" s="99">
        <v>4.0</v>
      </c>
      <c r="O44" s="101">
        <v>0.5763888888888882</v>
      </c>
      <c r="P44" s="102">
        <f t="shared" si="9"/>
        <v>50</v>
      </c>
      <c r="Q44" s="102">
        <f t="shared" si="12"/>
        <v>60</v>
      </c>
      <c r="R44" s="103">
        <f t="shared" si="10"/>
        <v>10</v>
      </c>
      <c r="S44" s="104">
        <f t="shared" si="11"/>
        <v>0.2</v>
      </c>
      <c r="T44" s="102">
        <f t="shared" si="13"/>
        <v>30</v>
      </c>
    </row>
    <row r="45" ht="13.5" customHeight="1">
      <c r="A45" s="88"/>
      <c r="B45" s="106" t="s">
        <v>78</v>
      </c>
      <c r="C45" s="101">
        <v>0.555555555555555</v>
      </c>
      <c r="D45" s="101">
        <v>0.5604166666666661</v>
      </c>
      <c r="E45" s="101">
        <v>0.568055555555555</v>
      </c>
      <c r="F45" s="101">
        <v>0.5708333333333327</v>
      </c>
      <c r="G45" s="101">
        <v>0.5722222222222216</v>
      </c>
      <c r="H45" s="99">
        <v>6.0</v>
      </c>
      <c r="I45" s="101">
        <v>0.5763888888888883</v>
      </c>
      <c r="J45" s="101">
        <v>0.579166666666666</v>
      </c>
      <c r="K45" s="101">
        <v>0.5833333333333327</v>
      </c>
      <c r="L45" s="101">
        <v>0.5895833333333327</v>
      </c>
      <c r="M45" s="101">
        <v>0.5944444444444438</v>
      </c>
      <c r="N45" s="99">
        <v>4.0</v>
      </c>
      <c r="O45" s="101">
        <v>0.5972222222222215</v>
      </c>
      <c r="P45" s="102">
        <f t="shared" si="9"/>
        <v>50</v>
      </c>
      <c r="Q45" s="102">
        <f t="shared" si="12"/>
        <v>60</v>
      </c>
      <c r="R45" s="103">
        <f t="shared" si="10"/>
        <v>10</v>
      </c>
      <c r="S45" s="104">
        <f t="shared" si="11"/>
        <v>0.2</v>
      </c>
      <c r="T45" s="102">
        <f t="shared" si="13"/>
        <v>30</v>
      </c>
    </row>
    <row r="46" ht="13.5" customHeight="1">
      <c r="A46" s="88"/>
      <c r="B46" s="106" t="s">
        <v>78</v>
      </c>
      <c r="C46" s="101">
        <v>0.5763888888888882</v>
      </c>
      <c r="D46" s="101">
        <v>0.5812499999999993</v>
      </c>
      <c r="E46" s="101">
        <v>0.5888888888888881</v>
      </c>
      <c r="F46" s="101">
        <v>0.5916666666666659</v>
      </c>
      <c r="G46" s="101">
        <v>0.5930555555555548</v>
      </c>
      <c r="H46" s="99">
        <v>6.0</v>
      </c>
      <c r="I46" s="101">
        <v>0.5972222222222214</v>
      </c>
      <c r="J46" s="101">
        <v>0.5999999999999992</v>
      </c>
      <c r="K46" s="101">
        <v>0.6041666666666659</v>
      </c>
      <c r="L46" s="101">
        <v>0.6104166666666658</v>
      </c>
      <c r="M46" s="101">
        <v>0.6152777777777769</v>
      </c>
      <c r="N46" s="99">
        <v>4.0</v>
      </c>
      <c r="O46" s="101">
        <v>0.6180555555555547</v>
      </c>
      <c r="P46" s="102">
        <f t="shared" si="9"/>
        <v>50</v>
      </c>
      <c r="Q46" s="102">
        <f t="shared" si="12"/>
        <v>60</v>
      </c>
      <c r="R46" s="103">
        <f t="shared" si="10"/>
        <v>10</v>
      </c>
      <c r="S46" s="104">
        <f t="shared" si="11"/>
        <v>0.2</v>
      </c>
      <c r="T46" s="102">
        <f t="shared" si="13"/>
        <v>30</v>
      </c>
    </row>
    <row r="47" ht="13.5" customHeight="1">
      <c r="A47" s="88"/>
      <c r="B47" s="106" t="s">
        <v>79</v>
      </c>
      <c r="C47" s="101">
        <v>0.5972222222222215</v>
      </c>
      <c r="D47" s="101">
        <v>0.6027777777777771</v>
      </c>
      <c r="E47" s="101">
        <v>0.6097222222222215</v>
      </c>
      <c r="F47" s="101">
        <v>0.6124999999999993</v>
      </c>
      <c r="G47" s="101">
        <v>0.6138888888888882</v>
      </c>
      <c r="H47" s="99">
        <v>6.0</v>
      </c>
      <c r="I47" s="101">
        <v>0.6180555555555548</v>
      </c>
      <c r="J47" s="101">
        <v>0.6208333333333326</v>
      </c>
      <c r="K47" s="101">
        <v>0.6249999999999992</v>
      </c>
      <c r="L47" s="101">
        <v>0.6312499999999992</v>
      </c>
      <c r="M47" s="101">
        <v>0.6361111111111103</v>
      </c>
      <c r="N47" s="99">
        <v>4.0</v>
      </c>
      <c r="O47" s="101">
        <v>0.6388888888888881</v>
      </c>
      <c r="P47" s="102">
        <f t="shared" si="9"/>
        <v>50</v>
      </c>
      <c r="Q47" s="102">
        <f t="shared" si="12"/>
        <v>60</v>
      </c>
      <c r="R47" s="103">
        <f t="shared" si="10"/>
        <v>10</v>
      </c>
      <c r="S47" s="104">
        <f t="shared" si="11"/>
        <v>0.2</v>
      </c>
      <c r="T47" s="102">
        <f t="shared" si="13"/>
        <v>30</v>
      </c>
    </row>
    <row r="48" ht="13.5" customHeight="1">
      <c r="A48" s="88"/>
      <c r="B48" s="106" t="s">
        <v>79</v>
      </c>
      <c r="C48" s="101">
        <v>0.6180555555555547</v>
      </c>
      <c r="D48" s="101">
        <v>0.6236111111111102</v>
      </c>
      <c r="E48" s="101">
        <v>0.6305555555555546</v>
      </c>
      <c r="F48" s="101">
        <v>0.6333333333333324</v>
      </c>
      <c r="G48" s="101">
        <v>0.6347222222222213</v>
      </c>
      <c r="H48" s="99">
        <v>6.0</v>
      </c>
      <c r="I48" s="101">
        <v>0.638888888888888</v>
      </c>
      <c r="J48" s="101">
        <v>0.6416666666666657</v>
      </c>
      <c r="K48" s="101">
        <v>0.6458333333333324</v>
      </c>
      <c r="L48" s="101">
        <v>0.6520833333333323</v>
      </c>
      <c r="M48" s="101">
        <v>0.6569444444444434</v>
      </c>
      <c r="N48" s="99">
        <v>4.0</v>
      </c>
      <c r="O48" s="101">
        <v>0.6597222222222212</v>
      </c>
      <c r="P48" s="102">
        <f t="shared" si="9"/>
        <v>50</v>
      </c>
      <c r="Q48" s="102">
        <f t="shared" si="12"/>
        <v>60</v>
      </c>
      <c r="R48" s="103">
        <f t="shared" si="10"/>
        <v>10</v>
      </c>
      <c r="S48" s="104">
        <f t="shared" si="11"/>
        <v>0.2</v>
      </c>
      <c r="T48" s="102">
        <f t="shared" si="13"/>
        <v>30</v>
      </c>
    </row>
    <row r="49" ht="13.5" customHeight="1">
      <c r="A49" s="88"/>
      <c r="B49" s="106" t="s">
        <v>79</v>
      </c>
      <c r="C49" s="101">
        <v>0.6388888888888881</v>
      </c>
      <c r="D49" s="101">
        <v>0.6444444444444436</v>
      </c>
      <c r="E49" s="101">
        <v>0.651388888888888</v>
      </c>
      <c r="F49" s="101">
        <v>0.6541666666666658</v>
      </c>
      <c r="G49" s="101">
        <v>0.6555555555555547</v>
      </c>
      <c r="H49" s="99">
        <v>6.0</v>
      </c>
      <c r="I49" s="101">
        <v>0.6597222222222213</v>
      </c>
      <c r="J49" s="101">
        <v>0.6624999999999991</v>
      </c>
      <c r="K49" s="101">
        <v>0.6666666666666657</v>
      </c>
      <c r="L49" s="101">
        <v>0.6729166666666657</v>
      </c>
      <c r="M49" s="101">
        <v>0.6777777777777768</v>
      </c>
      <c r="N49" s="99">
        <v>4.0</v>
      </c>
      <c r="O49" s="101">
        <v>0.6805555555555546</v>
      </c>
      <c r="P49" s="102">
        <f t="shared" si="9"/>
        <v>50</v>
      </c>
      <c r="Q49" s="102">
        <f t="shared" si="12"/>
        <v>60</v>
      </c>
      <c r="R49" s="103">
        <f t="shared" si="10"/>
        <v>10</v>
      </c>
      <c r="S49" s="104">
        <f t="shared" si="11"/>
        <v>0.2</v>
      </c>
      <c r="T49" s="102">
        <f t="shared" si="13"/>
        <v>30</v>
      </c>
    </row>
    <row r="50" ht="13.5" customHeight="1">
      <c r="A50" s="88"/>
      <c r="B50" s="106" t="s">
        <v>79</v>
      </c>
      <c r="C50" s="101">
        <v>0.6597222222222212</v>
      </c>
      <c r="D50" s="101">
        <v>0.6652777777777767</v>
      </c>
      <c r="E50" s="101">
        <v>0.6722222222222212</v>
      </c>
      <c r="F50" s="101">
        <v>0.6749999999999989</v>
      </c>
      <c r="G50" s="101">
        <v>0.6763888888888878</v>
      </c>
      <c r="H50" s="99">
        <v>6.0</v>
      </c>
      <c r="I50" s="101">
        <v>0.6805555555555545</v>
      </c>
      <c r="J50" s="101">
        <v>0.6833333333333322</v>
      </c>
      <c r="K50" s="101">
        <v>0.6874999999999989</v>
      </c>
      <c r="L50" s="101">
        <v>0.6937499999999989</v>
      </c>
      <c r="M50" s="101">
        <v>0.69861111111111</v>
      </c>
      <c r="N50" s="99">
        <v>4.0</v>
      </c>
      <c r="O50" s="101">
        <v>0.7013888888888877</v>
      </c>
      <c r="P50" s="102">
        <f t="shared" si="9"/>
        <v>50</v>
      </c>
      <c r="Q50" s="102">
        <f t="shared" si="12"/>
        <v>60</v>
      </c>
      <c r="R50" s="103">
        <f t="shared" si="10"/>
        <v>10</v>
      </c>
      <c r="S50" s="104">
        <f t="shared" si="11"/>
        <v>0.2</v>
      </c>
      <c r="T50" s="102">
        <f t="shared" si="13"/>
        <v>30</v>
      </c>
    </row>
    <row r="51" ht="13.5" customHeight="1">
      <c r="A51" s="88"/>
      <c r="B51" s="106" t="s">
        <v>79</v>
      </c>
      <c r="C51" s="101">
        <v>0.6805555555555546</v>
      </c>
      <c r="D51" s="101">
        <v>0.6861111111111101</v>
      </c>
      <c r="E51" s="101">
        <v>0.6930555555555545</v>
      </c>
      <c r="F51" s="101">
        <v>0.6958333333333323</v>
      </c>
      <c r="G51" s="101">
        <v>0.6972222222222212</v>
      </c>
      <c r="H51" s="99">
        <v>6.0</v>
      </c>
      <c r="I51" s="101">
        <v>0.7013888888888878</v>
      </c>
      <c r="J51" s="101">
        <v>0.7041666666666656</v>
      </c>
      <c r="K51" s="101">
        <v>0.7083333333333323</v>
      </c>
      <c r="L51" s="101">
        <v>0.7145833333333322</v>
      </c>
      <c r="M51" s="101">
        <v>0.7194444444444433</v>
      </c>
      <c r="N51" s="99">
        <v>4.0</v>
      </c>
      <c r="O51" s="101">
        <v>0.7222222222222211</v>
      </c>
      <c r="P51" s="102">
        <f t="shared" si="9"/>
        <v>50</v>
      </c>
      <c r="Q51" s="102">
        <f t="shared" si="12"/>
        <v>60</v>
      </c>
      <c r="R51" s="103">
        <f t="shared" si="10"/>
        <v>10</v>
      </c>
      <c r="S51" s="104">
        <f t="shared" si="11"/>
        <v>0.2</v>
      </c>
      <c r="T51" s="102">
        <f t="shared" si="13"/>
        <v>30</v>
      </c>
    </row>
    <row r="52" ht="13.5" customHeight="1">
      <c r="A52" s="88"/>
      <c r="B52" s="106" t="s">
        <v>79</v>
      </c>
      <c r="C52" s="101">
        <v>0.7013888888888877</v>
      </c>
      <c r="D52" s="101">
        <v>0.7069444444444433</v>
      </c>
      <c r="E52" s="101">
        <v>0.7138888888888877</v>
      </c>
      <c r="F52" s="101">
        <v>0.7166666666666655</v>
      </c>
      <c r="G52" s="101">
        <v>0.7180555555555543</v>
      </c>
      <c r="H52" s="99">
        <v>6.0</v>
      </c>
      <c r="I52" s="101">
        <v>0.722222222222221</v>
      </c>
      <c r="J52" s="101">
        <v>0.7249999999999988</v>
      </c>
      <c r="K52" s="101">
        <v>0.7291666666666654</v>
      </c>
      <c r="L52" s="101">
        <v>0.7354166666666654</v>
      </c>
      <c r="M52" s="101">
        <v>0.7402777777777765</v>
      </c>
      <c r="N52" s="99">
        <v>4.0</v>
      </c>
      <c r="O52" s="101">
        <v>0.7430555555555542</v>
      </c>
      <c r="P52" s="102">
        <f t="shared" si="9"/>
        <v>50</v>
      </c>
      <c r="Q52" s="102">
        <f t="shared" si="12"/>
        <v>60</v>
      </c>
      <c r="R52" s="103">
        <f t="shared" si="10"/>
        <v>10</v>
      </c>
      <c r="S52" s="104">
        <f t="shared" si="11"/>
        <v>0.2</v>
      </c>
      <c r="T52" s="102">
        <f t="shared" si="13"/>
        <v>30</v>
      </c>
    </row>
    <row r="53" ht="13.5" customHeight="1">
      <c r="A53" s="88"/>
      <c r="B53" s="106" t="s">
        <v>79</v>
      </c>
      <c r="C53" s="101">
        <v>0.7222222222222211</v>
      </c>
      <c r="D53" s="101">
        <v>0.7277777777777766</v>
      </c>
      <c r="E53" s="101">
        <v>0.734722222222221</v>
      </c>
      <c r="F53" s="101">
        <v>0.7374999999999988</v>
      </c>
      <c r="G53" s="101">
        <v>0.7388888888888877</v>
      </c>
      <c r="H53" s="99">
        <v>6.0</v>
      </c>
      <c r="I53" s="101">
        <v>0.7430555555555544</v>
      </c>
      <c r="J53" s="101">
        <v>0.7458333333333321</v>
      </c>
      <c r="K53" s="101">
        <v>0.7499999999999988</v>
      </c>
      <c r="L53" s="101">
        <v>0.7562499999999988</v>
      </c>
      <c r="M53" s="101">
        <v>0.7611111111111099</v>
      </c>
      <c r="N53" s="99">
        <v>0.0</v>
      </c>
      <c r="O53" s="107" t="s">
        <v>80</v>
      </c>
      <c r="P53" s="102">
        <f t="shared" si="9"/>
        <v>50</v>
      </c>
      <c r="Q53" s="102">
        <f t="shared" ref="Q53:Q54" si="14">(M53-C53)*1440</f>
        <v>56</v>
      </c>
      <c r="R53" s="103">
        <f t="shared" si="10"/>
        <v>6</v>
      </c>
      <c r="S53" s="104">
        <f t="shared" si="11"/>
        <v>0.12</v>
      </c>
      <c r="T53" s="102">
        <f t="shared" ref="T53:T54" si="15">(M53-M52)*1440</f>
        <v>30</v>
      </c>
    </row>
    <row r="54" ht="13.5" customHeight="1">
      <c r="A54" s="108"/>
      <c r="B54" s="106" t="s">
        <v>79</v>
      </c>
      <c r="C54" s="101">
        <v>0.7430555555555542</v>
      </c>
      <c r="D54" s="101">
        <v>0.7486111111111098</v>
      </c>
      <c r="E54" s="101">
        <v>0.7555555555555542</v>
      </c>
      <c r="F54" s="101">
        <v>0.758333333333332</v>
      </c>
      <c r="G54" s="101">
        <v>0.7597222222222209</v>
      </c>
      <c r="H54" s="99">
        <v>6.0</v>
      </c>
      <c r="I54" s="101">
        <v>0.7638888888888875</v>
      </c>
      <c r="J54" s="101">
        <v>0.7666666666666653</v>
      </c>
      <c r="K54" s="101">
        <v>0.7708333333333319</v>
      </c>
      <c r="L54" s="101">
        <v>0.7770833333333319</v>
      </c>
      <c r="M54" s="101">
        <v>0.781944444444443</v>
      </c>
      <c r="N54" s="99">
        <v>0.0</v>
      </c>
      <c r="O54" s="107" t="s">
        <v>80</v>
      </c>
      <c r="P54" s="102">
        <f t="shared" si="9"/>
        <v>50</v>
      </c>
      <c r="Q54" s="102">
        <f t="shared" si="14"/>
        <v>56</v>
      </c>
      <c r="R54" s="103">
        <f t="shared" si="10"/>
        <v>6</v>
      </c>
      <c r="S54" s="104">
        <f t="shared" si="11"/>
        <v>0.12</v>
      </c>
      <c r="T54" s="102">
        <f t="shared" si="15"/>
        <v>30</v>
      </c>
    </row>
    <row r="55" ht="13.5" customHeight="1">
      <c r="B55" s="85"/>
      <c r="H55" s="109"/>
      <c r="M55" s="110" t="s">
        <v>81</v>
      </c>
      <c r="P55" s="111">
        <f>SUM(P32:P54)/60</f>
        <v>16</v>
      </c>
      <c r="Q55" s="112">
        <f>SUM(Q35:Q54)/60</f>
        <v>19.36666667</v>
      </c>
      <c r="R55" s="111">
        <f>SUM(R32:R54)/60</f>
        <v>3.366666667</v>
      </c>
      <c r="S55" s="113"/>
      <c r="T55" s="87"/>
    </row>
    <row r="56" ht="13.5" customHeight="1">
      <c r="B56" s="85"/>
      <c r="P56" s="87"/>
      <c r="Q56" s="87"/>
      <c r="R56" s="87"/>
      <c r="S56" s="87"/>
      <c r="T56" s="87"/>
    </row>
    <row r="57" ht="13.5" customHeight="1">
      <c r="B57" s="85"/>
      <c r="P57" s="87"/>
      <c r="Q57" s="87"/>
      <c r="R57" s="87"/>
      <c r="S57" s="87"/>
      <c r="T57" s="87"/>
    </row>
    <row r="58" ht="13.5" customHeight="1">
      <c r="B58" s="85"/>
      <c r="P58" s="87"/>
      <c r="Q58" s="87"/>
      <c r="R58" s="87"/>
      <c r="S58" s="87"/>
      <c r="T58" s="87"/>
    </row>
    <row r="59" ht="13.5" customHeight="1">
      <c r="B59" s="85"/>
      <c r="P59" s="87"/>
      <c r="Q59" s="87"/>
      <c r="R59" s="87"/>
      <c r="S59" s="87"/>
      <c r="T59" s="87"/>
    </row>
    <row r="60" ht="13.5" customHeight="1">
      <c r="B60" s="85"/>
      <c r="P60" s="87"/>
      <c r="Q60" s="87"/>
      <c r="R60" s="87"/>
      <c r="S60" s="87"/>
      <c r="T60" s="87"/>
    </row>
    <row r="61" ht="13.5" customHeight="1">
      <c r="B61" s="85"/>
      <c r="P61" s="87"/>
      <c r="Q61" s="87"/>
      <c r="R61" s="87"/>
      <c r="S61" s="87"/>
      <c r="T61" s="87"/>
    </row>
    <row r="62" ht="13.5" customHeight="1">
      <c r="B62" s="85"/>
      <c r="P62" s="87"/>
      <c r="Q62" s="87"/>
      <c r="R62" s="87"/>
      <c r="S62" s="87"/>
      <c r="T62" s="87"/>
    </row>
    <row r="63" ht="13.5" customHeight="1">
      <c r="B63" s="85"/>
      <c r="P63" s="87"/>
      <c r="Q63" s="87"/>
      <c r="R63" s="87"/>
      <c r="S63" s="87"/>
      <c r="T63" s="87"/>
    </row>
    <row r="64" ht="13.5" customHeight="1">
      <c r="B64" s="85"/>
      <c r="P64" s="87"/>
      <c r="Q64" s="87"/>
      <c r="R64" s="87"/>
      <c r="S64" s="87"/>
      <c r="T64" s="87"/>
    </row>
    <row r="65" ht="13.5" customHeight="1">
      <c r="B65" s="85"/>
      <c r="P65" s="87"/>
      <c r="Q65" s="87"/>
      <c r="R65" s="87"/>
      <c r="S65" s="87"/>
      <c r="T65" s="87"/>
    </row>
    <row r="66" ht="13.5" customHeight="1">
      <c r="B66" s="85"/>
      <c r="P66" s="87"/>
      <c r="Q66" s="87"/>
      <c r="R66" s="87"/>
      <c r="S66" s="87"/>
      <c r="T66" s="87"/>
    </row>
    <row r="67" ht="13.5" customHeight="1">
      <c r="B67" s="85"/>
      <c r="P67" s="87"/>
      <c r="Q67" s="87"/>
      <c r="R67" s="87"/>
      <c r="S67" s="87"/>
      <c r="T67" s="87"/>
    </row>
    <row r="68" ht="13.5" customHeight="1">
      <c r="B68" s="85"/>
      <c r="P68" s="87"/>
      <c r="Q68" s="87"/>
      <c r="R68" s="87"/>
      <c r="S68" s="87"/>
      <c r="T68" s="87"/>
    </row>
    <row r="69" ht="13.5" customHeight="1">
      <c r="B69" s="85"/>
      <c r="P69" s="87"/>
      <c r="Q69" s="87"/>
      <c r="R69" s="87"/>
      <c r="S69" s="87"/>
      <c r="T69" s="87"/>
    </row>
    <row r="70" ht="13.5" customHeight="1">
      <c r="B70" s="85"/>
      <c r="P70" s="87"/>
      <c r="Q70" s="87"/>
      <c r="R70" s="87"/>
      <c r="S70" s="87"/>
      <c r="T70" s="87"/>
    </row>
    <row r="71" ht="13.5" customHeight="1">
      <c r="B71" s="85"/>
      <c r="P71" s="87"/>
      <c r="Q71" s="87"/>
      <c r="R71" s="87"/>
      <c r="S71" s="87"/>
      <c r="T71" s="87"/>
    </row>
    <row r="72" ht="13.5" customHeight="1">
      <c r="B72" s="85"/>
      <c r="P72" s="87"/>
      <c r="Q72" s="87"/>
      <c r="R72" s="87"/>
      <c r="S72" s="87"/>
      <c r="T72" s="87"/>
    </row>
    <row r="73" ht="13.5" customHeight="1">
      <c r="B73" s="85"/>
      <c r="P73" s="87"/>
      <c r="Q73" s="87"/>
      <c r="R73" s="87"/>
      <c r="S73" s="87"/>
      <c r="T73" s="87"/>
    </row>
    <row r="74" ht="13.5" customHeight="1">
      <c r="B74" s="85"/>
      <c r="P74" s="87"/>
      <c r="Q74" s="87"/>
      <c r="R74" s="87"/>
      <c r="S74" s="87"/>
      <c r="T74" s="87"/>
    </row>
    <row r="75" ht="13.5" customHeight="1">
      <c r="B75" s="85"/>
      <c r="P75" s="87"/>
      <c r="Q75" s="87"/>
      <c r="R75" s="87"/>
      <c r="S75" s="87"/>
      <c r="T75" s="87"/>
    </row>
    <row r="76" ht="13.5" customHeight="1">
      <c r="B76" s="85"/>
      <c r="P76" s="87"/>
      <c r="Q76" s="87"/>
      <c r="R76" s="87"/>
      <c r="S76" s="87"/>
      <c r="T76" s="87"/>
    </row>
    <row r="77" ht="13.5" customHeight="1">
      <c r="B77" s="85"/>
      <c r="P77" s="87"/>
      <c r="Q77" s="87"/>
      <c r="R77" s="87"/>
      <c r="S77" s="87"/>
      <c r="T77" s="87"/>
    </row>
    <row r="78" ht="13.5" customHeight="1">
      <c r="B78" s="85"/>
      <c r="P78" s="87"/>
      <c r="Q78" s="87"/>
      <c r="R78" s="87"/>
      <c r="S78" s="87"/>
      <c r="T78" s="87"/>
    </row>
    <row r="79" ht="13.5" customHeight="1">
      <c r="B79" s="85"/>
      <c r="P79" s="87"/>
      <c r="Q79" s="87"/>
      <c r="R79" s="87"/>
      <c r="S79" s="87"/>
      <c r="T79" s="87"/>
    </row>
    <row r="80" ht="13.5" customHeight="1">
      <c r="B80" s="85"/>
      <c r="P80" s="87"/>
      <c r="Q80" s="87"/>
      <c r="R80" s="87"/>
      <c r="S80" s="87"/>
      <c r="T80" s="87"/>
    </row>
    <row r="81" ht="13.5" customHeight="1">
      <c r="B81" s="85"/>
      <c r="P81" s="87"/>
      <c r="Q81" s="87"/>
      <c r="R81" s="87"/>
      <c r="S81" s="87"/>
      <c r="T81" s="87"/>
    </row>
    <row r="82" ht="13.5" customHeight="1">
      <c r="B82" s="85"/>
      <c r="P82" s="87"/>
      <c r="Q82" s="87"/>
      <c r="R82" s="87"/>
      <c r="S82" s="87"/>
      <c r="T82" s="87"/>
    </row>
    <row r="83" ht="13.5" customHeight="1">
      <c r="B83" s="85"/>
      <c r="P83" s="87"/>
      <c r="Q83" s="87"/>
      <c r="R83" s="87"/>
      <c r="S83" s="87"/>
      <c r="T83" s="87"/>
    </row>
    <row r="84" ht="13.5" customHeight="1">
      <c r="B84" s="85"/>
      <c r="P84" s="87"/>
      <c r="Q84" s="87"/>
      <c r="R84" s="87"/>
      <c r="S84" s="87"/>
      <c r="T84" s="87"/>
    </row>
    <row r="85" ht="13.5" customHeight="1">
      <c r="B85" s="85"/>
      <c r="P85" s="87"/>
      <c r="Q85" s="87"/>
      <c r="R85" s="87"/>
      <c r="S85" s="87"/>
      <c r="T85" s="87"/>
    </row>
    <row r="86" ht="13.5" customHeight="1">
      <c r="B86" s="85"/>
      <c r="P86" s="87"/>
      <c r="Q86" s="87"/>
      <c r="R86" s="87"/>
      <c r="S86" s="87"/>
      <c r="T86" s="87"/>
    </row>
    <row r="87" ht="13.5" customHeight="1">
      <c r="B87" s="85"/>
      <c r="P87" s="87"/>
      <c r="Q87" s="87"/>
      <c r="R87" s="87"/>
      <c r="S87" s="87"/>
      <c r="T87" s="87"/>
    </row>
    <row r="88" ht="13.5" customHeight="1">
      <c r="B88" s="85"/>
      <c r="P88" s="87"/>
      <c r="Q88" s="87"/>
      <c r="R88" s="87"/>
      <c r="S88" s="87"/>
      <c r="T88" s="87"/>
    </row>
    <row r="89" ht="13.5" customHeight="1">
      <c r="B89" s="85"/>
      <c r="P89" s="87"/>
      <c r="Q89" s="87"/>
      <c r="R89" s="87"/>
      <c r="S89" s="87"/>
      <c r="T89" s="87"/>
    </row>
    <row r="90" ht="13.5" customHeight="1">
      <c r="B90" s="85"/>
      <c r="P90" s="87"/>
      <c r="Q90" s="87"/>
      <c r="R90" s="87"/>
      <c r="S90" s="87"/>
      <c r="T90" s="87"/>
    </row>
    <row r="91" ht="13.5" customHeight="1">
      <c r="B91" s="85"/>
      <c r="P91" s="87"/>
      <c r="Q91" s="87"/>
      <c r="R91" s="87"/>
      <c r="S91" s="87"/>
      <c r="T91" s="87"/>
    </row>
    <row r="92" ht="13.5" customHeight="1">
      <c r="B92" s="85"/>
      <c r="P92" s="87"/>
      <c r="Q92" s="87"/>
      <c r="R92" s="87"/>
      <c r="S92" s="87"/>
      <c r="T92" s="87"/>
    </row>
    <row r="93" ht="13.5" customHeight="1">
      <c r="B93" s="85"/>
      <c r="P93" s="87"/>
      <c r="Q93" s="87"/>
      <c r="R93" s="87"/>
      <c r="S93" s="87"/>
      <c r="T93" s="87"/>
    </row>
    <row r="94" ht="13.5" customHeight="1">
      <c r="B94" s="85"/>
      <c r="P94" s="87"/>
      <c r="Q94" s="87"/>
      <c r="R94" s="87"/>
      <c r="S94" s="87"/>
      <c r="T94" s="87"/>
    </row>
    <row r="95" ht="13.5" customHeight="1">
      <c r="B95" s="85"/>
      <c r="P95" s="87"/>
      <c r="Q95" s="87"/>
      <c r="R95" s="87"/>
      <c r="S95" s="87"/>
      <c r="T95" s="87"/>
    </row>
    <row r="96" ht="13.5" customHeight="1">
      <c r="B96" s="85"/>
      <c r="P96" s="87"/>
      <c r="Q96" s="87"/>
      <c r="R96" s="87"/>
      <c r="S96" s="87"/>
      <c r="T96" s="87"/>
    </row>
    <row r="97" ht="13.5" customHeight="1">
      <c r="B97" s="85"/>
      <c r="P97" s="87"/>
      <c r="Q97" s="87"/>
      <c r="R97" s="87"/>
      <c r="S97" s="87"/>
      <c r="T97" s="87"/>
    </row>
    <row r="98" ht="13.5" customHeight="1">
      <c r="B98" s="85"/>
      <c r="P98" s="87"/>
      <c r="Q98" s="87"/>
      <c r="R98" s="87"/>
      <c r="S98" s="87"/>
      <c r="T98" s="87"/>
    </row>
    <row r="99" ht="13.5" customHeight="1">
      <c r="B99" s="85"/>
      <c r="P99" s="87"/>
      <c r="Q99" s="87"/>
      <c r="R99" s="87"/>
      <c r="S99" s="87"/>
      <c r="T99" s="87"/>
    </row>
    <row r="100" ht="13.5" customHeight="1">
      <c r="B100" s="85"/>
      <c r="P100" s="87"/>
      <c r="Q100" s="87"/>
      <c r="R100" s="87"/>
      <c r="S100" s="87"/>
      <c r="T100" s="87"/>
    </row>
    <row r="101" ht="13.5" customHeight="1">
      <c r="B101" s="85"/>
      <c r="P101" s="87"/>
      <c r="Q101" s="87"/>
      <c r="R101" s="87"/>
      <c r="S101" s="87"/>
      <c r="T101" s="87"/>
    </row>
    <row r="102" ht="13.5" customHeight="1">
      <c r="B102" s="85"/>
      <c r="P102" s="87"/>
      <c r="Q102" s="87"/>
      <c r="R102" s="87"/>
      <c r="S102" s="87"/>
      <c r="T102" s="87"/>
    </row>
    <row r="103" ht="13.5" customHeight="1">
      <c r="B103" s="85"/>
      <c r="P103" s="87"/>
      <c r="Q103" s="87"/>
      <c r="R103" s="87"/>
      <c r="S103" s="87"/>
      <c r="T103" s="87"/>
    </row>
    <row r="104" ht="13.5" customHeight="1">
      <c r="B104" s="85"/>
      <c r="P104" s="87"/>
      <c r="Q104" s="87"/>
      <c r="R104" s="87"/>
      <c r="S104" s="87"/>
      <c r="T104" s="87"/>
    </row>
    <row r="105" ht="13.5" customHeight="1">
      <c r="B105" s="85"/>
      <c r="P105" s="87"/>
      <c r="Q105" s="87"/>
      <c r="R105" s="87"/>
      <c r="S105" s="87"/>
      <c r="T105" s="87"/>
    </row>
    <row r="106" ht="13.5" customHeight="1">
      <c r="B106" s="85"/>
      <c r="P106" s="87"/>
      <c r="Q106" s="87"/>
      <c r="R106" s="87"/>
      <c r="S106" s="87"/>
      <c r="T106" s="87"/>
    </row>
    <row r="107" ht="13.5" customHeight="1">
      <c r="B107" s="85"/>
      <c r="P107" s="87"/>
      <c r="Q107" s="87"/>
      <c r="R107" s="87"/>
      <c r="S107" s="87"/>
      <c r="T107" s="87"/>
    </row>
    <row r="108" ht="13.5" customHeight="1">
      <c r="B108" s="85"/>
      <c r="P108" s="87"/>
      <c r="Q108" s="87"/>
      <c r="R108" s="87"/>
      <c r="S108" s="87"/>
      <c r="T108" s="87"/>
    </row>
    <row r="109" ht="13.5" customHeight="1">
      <c r="B109" s="85"/>
      <c r="P109" s="87"/>
      <c r="Q109" s="87"/>
      <c r="R109" s="87"/>
      <c r="S109" s="87"/>
      <c r="T109" s="87"/>
    </row>
    <row r="110" ht="13.5" customHeight="1">
      <c r="B110" s="85"/>
      <c r="P110" s="87"/>
      <c r="Q110" s="87"/>
      <c r="R110" s="87"/>
      <c r="S110" s="87"/>
      <c r="T110" s="87"/>
    </row>
    <row r="111" ht="13.5" customHeight="1">
      <c r="B111" s="85"/>
      <c r="P111" s="87"/>
      <c r="Q111" s="87"/>
      <c r="R111" s="87"/>
      <c r="S111" s="87"/>
      <c r="T111" s="87"/>
    </row>
    <row r="112" ht="13.5" customHeight="1">
      <c r="B112" s="85"/>
      <c r="P112" s="87"/>
      <c r="Q112" s="87"/>
      <c r="R112" s="87"/>
      <c r="S112" s="87"/>
      <c r="T112" s="87"/>
    </row>
    <row r="113" ht="13.5" customHeight="1">
      <c r="B113" s="85"/>
      <c r="P113" s="87"/>
      <c r="Q113" s="87"/>
      <c r="R113" s="87"/>
      <c r="S113" s="87"/>
      <c r="T113" s="87"/>
    </row>
    <row r="114" ht="13.5" customHeight="1">
      <c r="B114" s="85"/>
      <c r="P114" s="87"/>
      <c r="Q114" s="87"/>
      <c r="R114" s="87"/>
      <c r="S114" s="87"/>
      <c r="T114" s="87"/>
    </row>
    <row r="115" ht="13.5" customHeight="1">
      <c r="B115" s="85"/>
      <c r="P115" s="87"/>
      <c r="Q115" s="87"/>
      <c r="R115" s="87"/>
      <c r="S115" s="87"/>
      <c r="T115" s="87"/>
    </row>
    <row r="116" ht="13.5" customHeight="1">
      <c r="B116" s="85"/>
      <c r="P116" s="87"/>
      <c r="Q116" s="87"/>
      <c r="R116" s="87"/>
      <c r="S116" s="87"/>
      <c r="T116" s="87"/>
    </row>
    <row r="117" ht="13.5" customHeight="1">
      <c r="B117" s="85"/>
      <c r="P117" s="87"/>
      <c r="Q117" s="87"/>
      <c r="R117" s="87"/>
      <c r="S117" s="87"/>
      <c r="T117" s="87"/>
    </row>
    <row r="118" ht="13.5" customHeight="1">
      <c r="B118" s="85"/>
      <c r="P118" s="87"/>
      <c r="Q118" s="87"/>
      <c r="R118" s="87"/>
      <c r="S118" s="87"/>
      <c r="T118" s="87"/>
    </row>
    <row r="119" ht="13.5" customHeight="1">
      <c r="B119" s="85"/>
      <c r="P119" s="87"/>
      <c r="Q119" s="87"/>
      <c r="R119" s="87"/>
      <c r="S119" s="87"/>
      <c r="T119" s="87"/>
    </row>
    <row r="120" ht="13.5" customHeight="1">
      <c r="B120" s="85"/>
      <c r="P120" s="87"/>
      <c r="Q120" s="87"/>
      <c r="R120" s="87"/>
      <c r="S120" s="87"/>
      <c r="T120" s="87"/>
    </row>
    <row r="121" ht="13.5" customHeight="1">
      <c r="B121" s="85"/>
      <c r="P121" s="87"/>
      <c r="Q121" s="87"/>
      <c r="R121" s="87"/>
      <c r="S121" s="87"/>
      <c r="T121" s="87"/>
    </row>
    <row r="122" ht="13.5" customHeight="1">
      <c r="B122" s="85"/>
      <c r="P122" s="87"/>
      <c r="Q122" s="87"/>
      <c r="R122" s="87"/>
      <c r="S122" s="87"/>
      <c r="T122" s="87"/>
    </row>
    <row r="123" ht="13.5" customHeight="1">
      <c r="B123" s="85"/>
      <c r="P123" s="87"/>
      <c r="Q123" s="87"/>
      <c r="R123" s="87"/>
      <c r="S123" s="87"/>
      <c r="T123" s="87"/>
    </row>
    <row r="124" ht="13.5" customHeight="1">
      <c r="B124" s="85"/>
      <c r="P124" s="87"/>
      <c r="Q124" s="87"/>
      <c r="R124" s="87"/>
      <c r="S124" s="87"/>
      <c r="T124" s="87"/>
    </row>
    <row r="125" ht="13.5" customHeight="1">
      <c r="B125" s="85"/>
      <c r="P125" s="87"/>
      <c r="Q125" s="87"/>
      <c r="R125" s="87"/>
      <c r="S125" s="87"/>
      <c r="T125" s="87"/>
    </row>
    <row r="126" ht="13.5" customHeight="1">
      <c r="B126" s="85"/>
      <c r="P126" s="87"/>
      <c r="Q126" s="87"/>
      <c r="R126" s="87"/>
      <c r="S126" s="87"/>
      <c r="T126" s="87"/>
    </row>
    <row r="127" ht="13.5" customHeight="1">
      <c r="B127" s="85"/>
      <c r="P127" s="87"/>
      <c r="Q127" s="87"/>
      <c r="R127" s="87"/>
      <c r="S127" s="87"/>
      <c r="T127" s="87"/>
    </row>
    <row r="128" ht="13.5" customHeight="1">
      <c r="B128" s="85"/>
      <c r="P128" s="87"/>
      <c r="Q128" s="87"/>
      <c r="R128" s="87"/>
      <c r="S128" s="87"/>
      <c r="T128" s="87"/>
    </row>
    <row r="129" ht="13.5" customHeight="1">
      <c r="B129" s="85"/>
      <c r="P129" s="87"/>
      <c r="Q129" s="87"/>
      <c r="R129" s="87"/>
      <c r="S129" s="87"/>
      <c r="T129" s="87"/>
    </row>
    <row r="130" ht="13.5" customHeight="1">
      <c r="B130" s="85"/>
      <c r="P130" s="87"/>
      <c r="Q130" s="87"/>
      <c r="R130" s="87"/>
      <c r="S130" s="87"/>
      <c r="T130" s="87"/>
    </row>
    <row r="131" ht="13.5" customHeight="1">
      <c r="B131" s="85"/>
      <c r="P131" s="87"/>
      <c r="Q131" s="87"/>
      <c r="R131" s="87"/>
      <c r="S131" s="87"/>
      <c r="T131" s="87"/>
    </row>
    <row r="132" ht="13.5" customHeight="1">
      <c r="B132" s="85"/>
      <c r="P132" s="87"/>
      <c r="Q132" s="87"/>
      <c r="R132" s="87"/>
      <c r="S132" s="87"/>
      <c r="T132" s="87"/>
    </row>
    <row r="133" ht="13.5" customHeight="1">
      <c r="B133" s="85"/>
      <c r="P133" s="87"/>
      <c r="Q133" s="87"/>
      <c r="R133" s="87"/>
      <c r="S133" s="87"/>
      <c r="T133" s="87"/>
    </row>
    <row r="134" ht="13.5" customHeight="1">
      <c r="B134" s="85"/>
      <c r="P134" s="87"/>
      <c r="Q134" s="87"/>
      <c r="R134" s="87"/>
      <c r="S134" s="87"/>
      <c r="T134" s="87"/>
    </row>
    <row r="135" ht="13.5" customHeight="1">
      <c r="B135" s="85"/>
      <c r="P135" s="87"/>
      <c r="Q135" s="87"/>
      <c r="R135" s="87"/>
      <c r="S135" s="87"/>
      <c r="T135" s="87"/>
    </row>
    <row r="136" ht="13.5" customHeight="1">
      <c r="B136" s="85"/>
      <c r="P136" s="87"/>
      <c r="Q136" s="87"/>
      <c r="R136" s="87"/>
      <c r="S136" s="87"/>
      <c r="T136" s="87"/>
    </row>
    <row r="137" ht="13.5" customHeight="1">
      <c r="B137" s="85"/>
      <c r="P137" s="87"/>
      <c r="Q137" s="87"/>
      <c r="R137" s="87"/>
      <c r="S137" s="87"/>
      <c r="T137" s="87"/>
    </row>
    <row r="138" ht="13.5" customHeight="1">
      <c r="B138" s="85"/>
      <c r="P138" s="87"/>
      <c r="Q138" s="87"/>
      <c r="R138" s="87"/>
      <c r="S138" s="87"/>
      <c r="T138" s="87"/>
    </row>
    <row r="139" ht="13.5" customHeight="1">
      <c r="B139" s="85"/>
      <c r="P139" s="87"/>
      <c r="Q139" s="87"/>
      <c r="R139" s="87"/>
      <c r="S139" s="87"/>
      <c r="T139" s="87"/>
    </row>
    <row r="140" ht="13.5" customHeight="1">
      <c r="B140" s="85"/>
      <c r="P140" s="87"/>
      <c r="Q140" s="87"/>
      <c r="R140" s="87"/>
      <c r="S140" s="87"/>
      <c r="T140" s="87"/>
    </row>
    <row r="141" ht="13.5" customHeight="1">
      <c r="B141" s="85"/>
      <c r="P141" s="87"/>
      <c r="Q141" s="87"/>
      <c r="R141" s="87"/>
      <c r="S141" s="87"/>
      <c r="T141" s="87"/>
    </row>
    <row r="142" ht="13.5" customHeight="1">
      <c r="B142" s="85"/>
      <c r="P142" s="87"/>
      <c r="Q142" s="87"/>
      <c r="R142" s="87"/>
      <c r="S142" s="87"/>
      <c r="T142" s="87"/>
    </row>
    <row r="143" ht="13.5" customHeight="1">
      <c r="B143" s="85"/>
      <c r="P143" s="87"/>
      <c r="Q143" s="87"/>
      <c r="R143" s="87"/>
      <c r="S143" s="87"/>
      <c r="T143" s="87"/>
    </row>
    <row r="144" ht="13.5" customHeight="1">
      <c r="B144" s="85"/>
      <c r="P144" s="87"/>
      <c r="Q144" s="87"/>
      <c r="R144" s="87"/>
      <c r="S144" s="87"/>
      <c r="T144" s="87"/>
    </row>
    <row r="145" ht="13.5" customHeight="1">
      <c r="B145" s="85"/>
      <c r="P145" s="87"/>
      <c r="Q145" s="87"/>
      <c r="R145" s="87"/>
      <c r="S145" s="87"/>
      <c r="T145" s="87"/>
    </row>
    <row r="146" ht="13.5" customHeight="1">
      <c r="B146" s="85"/>
      <c r="P146" s="87"/>
      <c r="Q146" s="87"/>
      <c r="R146" s="87"/>
      <c r="S146" s="87"/>
      <c r="T146" s="87"/>
    </row>
    <row r="147" ht="13.5" customHeight="1">
      <c r="B147" s="85"/>
      <c r="P147" s="87"/>
      <c r="Q147" s="87"/>
      <c r="R147" s="87"/>
      <c r="S147" s="87"/>
      <c r="T147" s="87"/>
    </row>
    <row r="148" ht="13.5" customHeight="1">
      <c r="B148" s="85"/>
      <c r="P148" s="87"/>
      <c r="Q148" s="87"/>
      <c r="R148" s="87"/>
      <c r="S148" s="87"/>
      <c r="T148" s="87"/>
    </row>
    <row r="149" ht="13.5" customHeight="1">
      <c r="B149" s="85"/>
      <c r="P149" s="87"/>
      <c r="Q149" s="87"/>
      <c r="R149" s="87"/>
      <c r="S149" s="87"/>
      <c r="T149" s="87"/>
    </row>
    <row r="150" ht="13.5" customHeight="1">
      <c r="B150" s="85"/>
      <c r="P150" s="87"/>
      <c r="Q150" s="87"/>
      <c r="R150" s="87"/>
      <c r="S150" s="87"/>
      <c r="T150" s="87"/>
    </row>
    <row r="151" ht="13.5" customHeight="1">
      <c r="B151" s="85"/>
      <c r="P151" s="87"/>
      <c r="Q151" s="87"/>
      <c r="R151" s="87"/>
      <c r="S151" s="87"/>
      <c r="T151" s="87"/>
    </row>
    <row r="152" ht="13.5" customHeight="1">
      <c r="B152" s="85"/>
      <c r="P152" s="87"/>
      <c r="Q152" s="87"/>
      <c r="R152" s="87"/>
      <c r="S152" s="87"/>
      <c r="T152" s="87"/>
    </row>
    <row r="153" ht="13.5" customHeight="1">
      <c r="B153" s="85"/>
      <c r="P153" s="87"/>
      <c r="Q153" s="87"/>
      <c r="R153" s="87"/>
      <c r="S153" s="87"/>
      <c r="T153" s="87"/>
    </row>
    <row r="154" ht="13.5" customHeight="1">
      <c r="B154" s="85"/>
      <c r="P154" s="87"/>
      <c r="Q154" s="87"/>
      <c r="R154" s="87"/>
      <c r="S154" s="87"/>
      <c r="T154" s="87"/>
    </row>
    <row r="155" ht="13.5" customHeight="1">
      <c r="B155" s="85"/>
      <c r="P155" s="87"/>
      <c r="Q155" s="87"/>
      <c r="R155" s="87"/>
      <c r="S155" s="87"/>
      <c r="T155" s="87"/>
    </row>
    <row r="156" ht="13.5" customHeight="1">
      <c r="B156" s="85"/>
      <c r="P156" s="87"/>
      <c r="Q156" s="87"/>
      <c r="R156" s="87"/>
      <c r="S156" s="87"/>
      <c r="T156" s="87"/>
    </row>
    <row r="157" ht="13.5" customHeight="1">
      <c r="B157" s="85"/>
      <c r="P157" s="87"/>
      <c r="Q157" s="87"/>
      <c r="R157" s="87"/>
      <c r="S157" s="87"/>
      <c r="T157" s="87"/>
    </row>
    <row r="158" ht="13.5" customHeight="1">
      <c r="B158" s="85"/>
      <c r="P158" s="87"/>
      <c r="Q158" s="87"/>
      <c r="R158" s="87"/>
      <c r="S158" s="87"/>
      <c r="T158" s="87"/>
    </row>
    <row r="159" ht="13.5" customHeight="1">
      <c r="B159" s="85"/>
      <c r="P159" s="87"/>
      <c r="Q159" s="87"/>
      <c r="R159" s="87"/>
      <c r="S159" s="87"/>
      <c r="T159" s="87"/>
    </row>
    <row r="160" ht="13.5" customHeight="1">
      <c r="B160" s="85"/>
      <c r="P160" s="87"/>
      <c r="Q160" s="87"/>
      <c r="R160" s="87"/>
      <c r="S160" s="87"/>
      <c r="T160" s="87"/>
    </row>
    <row r="161" ht="13.5" customHeight="1">
      <c r="B161" s="85"/>
      <c r="P161" s="87"/>
      <c r="Q161" s="87"/>
      <c r="R161" s="87"/>
      <c r="S161" s="87"/>
      <c r="T161" s="87"/>
    </row>
    <row r="162" ht="13.5" customHeight="1">
      <c r="B162" s="85"/>
      <c r="P162" s="87"/>
      <c r="Q162" s="87"/>
      <c r="R162" s="87"/>
      <c r="S162" s="87"/>
      <c r="T162" s="87"/>
    </row>
    <row r="163" ht="13.5" customHeight="1">
      <c r="B163" s="85"/>
      <c r="P163" s="87"/>
      <c r="Q163" s="87"/>
      <c r="R163" s="87"/>
      <c r="S163" s="87"/>
      <c r="T163" s="87"/>
    </row>
    <row r="164" ht="13.5" customHeight="1">
      <c r="B164" s="85"/>
      <c r="P164" s="87"/>
      <c r="Q164" s="87"/>
      <c r="R164" s="87"/>
      <c r="S164" s="87"/>
      <c r="T164" s="87"/>
    </row>
    <row r="165" ht="13.5" customHeight="1">
      <c r="B165" s="85"/>
      <c r="P165" s="87"/>
      <c r="Q165" s="87"/>
      <c r="R165" s="87"/>
      <c r="S165" s="87"/>
      <c r="T165" s="87"/>
    </row>
    <row r="166" ht="13.5" customHeight="1">
      <c r="B166" s="85"/>
      <c r="P166" s="87"/>
      <c r="Q166" s="87"/>
      <c r="R166" s="87"/>
      <c r="S166" s="87"/>
      <c r="T166" s="87"/>
    </row>
    <row r="167" ht="13.5" customHeight="1">
      <c r="B167" s="85"/>
      <c r="P167" s="87"/>
      <c r="Q167" s="87"/>
      <c r="R167" s="87"/>
      <c r="S167" s="87"/>
      <c r="T167" s="87"/>
    </row>
    <row r="168" ht="13.5" customHeight="1">
      <c r="B168" s="85"/>
      <c r="P168" s="87"/>
      <c r="Q168" s="87"/>
      <c r="R168" s="87"/>
      <c r="S168" s="87"/>
      <c r="T168" s="87"/>
    </row>
    <row r="169" ht="13.5" customHeight="1">
      <c r="B169" s="85"/>
      <c r="P169" s="87"/>
      <c r="Q169" s="87"/>
      <c r="R169" s="87"/>
      <c r="S169" s="87"/>
      <c r="T169" s="87"/>
    </row>
    <row r="170" ht="13.5" customHeight="1">
      <c r="B170" s="85"/>
      <c r="P170" s="87"/>
      <c r="Q170" s="87"/>
      <c r="R170" s="87"/>
      <c r="S170" s="87"/>
      <c r="T170" s="87"/>
    </row>
    <row r="171" ht="13.5" customHeight="1">
      <c r="B171" s="85"/>
      <c r="P171" s="87"/>
      <c r="Q171" s="87"/>
      <c r="R171" s="87"/>
      <c r="S171" s="87"/>
      <c r="T171" s="87"/>
    </row>
    <row r="172" ht="13.5" customHeight="1">
      <c r="B172" s="85"/>
      <c r="P172" s="87"/>
      <c r="Q172" s="87"/>
      <c r="R172" s="87"/>
      <c r="S172" s="87"/>
      <c r="T172" s="87"/>
    </row>
    <row r="173" ht="13.5" customHeight="1">
      <c r="B173" s="85"/>
      <c r="P173" s="87"/>
      <c r="Q173" s="87"/>
      <c r="R173" s="87"/>
      <c r="S173" s="87"/>
      <c r="T173" s="87"/>
    </row>
    <row r="174" ht="13.5" customHeight="1">
      <c r="B174" s="85"/>
      <c r="P174" s="87"/>
      <c r="Q174" s="87"/>
      <c r="R174" s="87"/>
      <c r="S174" s="87"/>
      <c r="T174" s="87"/>
    </row>
    <row r="175" ht="13.5" customHeight="1">
      <c r="B175" s="85"/>
      <c r="P175" s="87"/>
      <c r="Q175" s="87"/>
      <c r="R175" s="87"/>
      <c r="S175" s="87"/>
      <c r="T175" s="87"/>
    </row>
    <row r="176" ht="13.5" customHeight="1">
      <c r="B176" s="85"/>
      <c r="P176" s="87"/>
      <c r="Q176" s="87"/>
      <c r="R176" s="87"/>
      <c r="S176" s="87"/>
      <c r="T176" s="87"/>
    </row>
    <row r="177" ht="13.5" customHeight="1">
      <c r="B177" s="85"/>
      <c r="P177" s="87"/>
      <c r="Q177" s="87"/>
      <c r="R177" s="87"/>
      <c r="S177" s="87"/>
      <c r="T177" s="87"/>
    </row>
    <row r="178" ht="13.5" customHeight="1">
      <c r="B178" s="85"/>
      <c r="P178" s="87"/>
      <c r="Q178" s="87"/>
      <c r="R178" s="87"/>
      <c r="S178" s="87"/>
      <c r="T178" s="87"/>
    </row>
    <row r="179" ht="13.5" customHeight="1">
      <c r="B179" s="85"/>
      <c r="P179" s="87"/>
      <c r="Q179" s="87"/>
      <c r="R179" s="87"/>
      <c r="S179" s="87"/>
      <c r="T179" s="87"/>
    </row>
    <row r="180" ht="13.5" customHeight="1">
      <c r="B180" s="85"/>
      <c r="P180" s="87"/>
      <c r="Q180" s="87"/>
      <c r="R180" s="87"/>
      <c r="S180" s="87"/>
      <c r="T180" s="87"/>
    </row>
    <row r="181" ht="13.5" customHeight="1">
      <c r="B181" s="85"/>
      <c r="P181" s="87"/>
      <c r="Q181" s="87"/>
      <c r="R181" s="87"/>
      <c r="S181" s="87"/>
      <c r="T181" s="87"/>
    </row>
    <row r="182" ht="13.5" customHeight="1">
      <c r="B182" s="85"/>
      <c r="P182" s="87"/>
      <c r="Q182" s="87"/>
      <c r="R182" s="87"/>
      <c r="S182" s="87"/>
      <c r="T182" s="87"/>
    </row>
    <row r="183" ht="13.5" customHeight="1">
      <c r="B183" s="85"/>
      <c r="P183" s="87"/>
      <c r="Q183" s="87"/>
      <c r="R183" s="87"/>
      <c r="S183" s="87"/>
      <c r="T183" s="87"/>
    </row>
    <row r="184" ht="13.5" customHeight="1">
      <c r="B184" s="85"/>
      <c r="P184" s="87"/>
      <c r="Q184" s="87"/>
      <c r="R184" s="87"/>
      <c r="S184" s="87"/>
      <c r="T184" s="87"/>
    </row>
    <row r="185" ht="13.5" customHeight="1">
      <c r="B185" s="85"/>
      <c r="P185" s="87"/>
      <c r="Q185" s="87"/>
      <c r="R185" s="87"/>
      <c r="S185" s="87"/>
      <c r="T185" s="87"/>
    </row>
    <row r="186" ht="13.5" customHeight="1">
      <c r="B186" s="85"/>
      <c r="P186" s="87"/>
      <c r="Q186" s="87"/>
      <c r="R186" s="87"/>
      <c r="S186" s="87"/>
      <c r="T186" s="87"/>
    </row>
    <row r="187" ht="13.5" customHeight="1">
      <c r="B187" s="85"/>
      <c r="P187" s="87"/>
      <c r="Q187" s="87"/>
      <c r="R187" s="87"/>
      <c r="S187" s="87"/>
      <c r="T187" s="87"/>
    </row>
    <row r="188" ht="13.5" customHeight="1">
      <c r="B188" s="85"/>
      <c r="P188" s="87"/>
      <c r="Q188" s="87"/>
      <c r="R188" s="87"/>
      <c r="S188" s="87"/>
      <c r="T188" s="87"/>
    </row>
    <row r="189" ht="13.5" customHeight="1">
      <c r="B189" s="85"/>
      <c r="P189" s="87"/>
      <c r="Q189" s="87"/>
      <c r="R189" s="87"/>
      <c r="S189" s="87"/>
      <c r="T189" s="87"/>
    </row>
    <row r="190" ht="13.5" customHeight="1">
      <c r="B190" s="85"/>
      <c r="P190" s="87"/>
      <c r="Q190" s="87"/>
      <c r="R190" s="87"/>
      <c r="S190" s="87"/>
      <c r="T190" s="87"/>
    </row>
    <row r="191" ht="13.5" customHeight="1">
      <c r="B191" s="85"/>
      <c r="P191" s="87"/>
      <c r="Q191" s="87"/>
      <c r="R191" s="87"/>
      <c r="S191" s="87"/>
      <c r="T191" s="87"/>
    </row>
    <row r="192" ht="13.5" customHeight="1">
      <c r="B192" s="85"/>
      <c r="P192" s="87"/>
      <c r="Q192" s="87"/>
      <c r="R192" s="87"/>
      <c r="S192" s="87"/>
      <c r="T192" s="87"/>
    </row>
    <row r="193" ht="13.5" customHeight="1">
      <c r="B193" s="85"/>
      <c r="P193" s="87"/>
      <c r="Q193" s="87"/>
      <c r="R193" s="87"/>
      <c r="S193" s="87"/>
      <c r="T193" s="87"/>
    </row>
    <row r="194" ht="13.5" customHeight="1">
      <c r="B194" s="85"/>
      <c r="P194" s="87"/>
      <c r="Q194" s="87"/>
      <c r="R194" s="87"/>
      <c r="S194" s="87"/>
      <c r="T194" s="87"/>
    </row>
    <row r="195" ht="13.5" customHeight="1">
      <c r="B195" s="85"/>
      <c r="P195" s="87"/>
      <c r="Q195" s="87"/>
      <c r="R195" s="87"/>
      <c r="S195" s="87"/>
      <c r="T195" s="87"/>
    </row>
    <row r="196" ht="13.5" customHeight="1">
      <c r="B196" s="85"/>
      <c r="P196" s="87"/>
      <c r="Q196" s="87"/>
      <c r="R196" s="87"/>
      <c r="S196" s="87"/>
      <c r="T196" s="87"/>
    </row>
    <row r="197" ht="13.5" customHeight="1">
      <c r="B197" s="85"/>
      <c r="P197" s="87"/>
      <c r="Q197" s="87"/>
      <c r="R197" s="87"/>
      <c r="S197" s="87"/>
      <c r="T197" s="87"/>
    </row>
    <row r="198" ht="13.5" customHeight="1">
      <c r="B198" s="85"/>
      <c r="P198" s="87"/>
      <c r="Q198" s="87"/>
      <c r="R198" s="87"/>
      <c r="S198" s="87"/>
      <c r="T198" s="87"/>
    </row>
    <row r="199" ht="13.5" customHeight="1">
      <c r="B199" s="85"/>
      <c r="P199" s="87"/>
      <c r="Q199" s="87"/>
      <c r="R199" s="87"/>
      <c r="S199" s="87"/>
      <c r="T199" s="87"/>
    </row>
    <row r="200" ht="13.5" customHeight="1">
      <c r="B200" s="85"/>
      <c r="P200" s="87"/>
      <c r="Q200" s="87"/>
      <c r="R200" s="87"/>
      <c r="S200" s="87"/>
      <c r="T200" s="87"/>
    </row>
    <row r="201" ht="13.5" customHeight="1">
      <c r="B201" s="85"/>
      <c r="P201" s="87"/>
      <c r="Q201" s="87"/>
      <c r="R201" s="87"/>
      <c r="S201" s="87"/>
      <c r="T201" s="87"/>
    </row>
    <row r="202" ht="13.5" customHeight="1">
      <c r="B202" s="85"/>
      <c r="P202" s="87"/>
      <c r="Q202" s="87"/>
      <c r="R202" s="87"/>
      <c r="S202" s="87"/>
      <c r="T202" s="87"/>
    </row>
    <row r="203" ht="13.5" customHeight="1">
      <c r="B203" s="85"/>
      <c r="P203" s="87"/>
      <c r="Q203" s="87"/>
      <c r="R203" s="87"/>
      <c r="S203" s="87"/>
      <c r="T203" s="87"/>
    </row>
    <row r="204" ht="13.5" customHeight="1">
      <c r="B204" s="85"/>
      <c r="P204" s="87"/>
      <c r="Q204" s="87"/>
      <c r="R204" s="87"/>
      <c r="S204" s="87"/>
      <c r="T204" s="87"/>
    </row>
    <row r="205" ht="13.5" customHeight="1">
      <c r="B205" s="85"/>
      <c r="P205" s="87"/>
      <c r="Q205" s="87"/>
      <c r="R205" s="87"/>
      <c r="S205" s="87"/>
      <c r="T205" s="87"/>
    </row>
    <row r="206" ht="13.5" customHeight="1">
      <c r="B206" s="85"/>
      <c r="P206" s="87"/>
      <c r="Q206" s="87"/>
      <c r="R206" s="87"/>
      <c r="S206" s="87"/>
      <c r="T206" s="87"/>
    </row>
    <row r="207" ht="13.5" customHeight="1">
      <c r="B207" s="85"/>
      <c r="P207" s="87"/>
      <c r="Q207" s="87"/>
      <c r="R207" s="87"/>
      <c r="S207" s="87"/>
      <c r="T207" s="87"/>
    </row>
    <row r="208" ht="13.5" customHeight="1">
      <c r="B208" s="85"/>
      <c r="P208" s="87"/>
      <c r="Q208" s="87"/>
      <c r="R208" s="87"/>
      <c r="S208" s="87"/>
      <c r="T208" s="87"/>
    </row>
    <row r="209" ht="13.5" customHeight="1">
      <c r="B209" s="85"/>
      <c r="P209" s="87"/>
      <c r="Q209" s="87"/>
      <c r="R209" s="87"/>
      <c r="S209" s="87"/>
      <c r="T209" s="87"/>
    </row>
    <row r="210" ht="13.5" customHeight="1">
      <c r="B210" s="85"/>
      <c r="P210" s="87"/>
      <c r="Q210" s="87"/>
      <c r="R210" s="87"/>
      <c r="S210" s="87"/>
      <c r="T210" s="87"/>
    </row>
    <row r="211" ht="13.5" customHeight="1">
      <c r="B211" s="85"/>
      <c r="P211" s="87"/>
      <c r="Q211" s="87"/>
      <c r="R211" s="87"/>
      <c r="S211" s="87"/>
      <c r="T211" s="87"/>
    </row>
    <row r="212" ht="13.5" customHeight="1">
      <c r="B212" s="85"/>
      <c r="P212" s="87"/>
      <c r="Q212" s="87"/>
      <c r="R212" s="87"/>
      <c r="S212" s="87"/>
      <c r="T212" s="87"/>
    </row>
    <row r="213" ht="13.5" customHeight="1">
      <c r="B213" s="85"/>
      <c r="P213" s="87"/>
      <c r="Q213" s="87"/>
      <c r="R213" s="87"/>
      <c r="S213" s="87"/>
      <c r="T213" s="87"/>
    </row>
    <row r="214" ht="13.5" customHeight="1">
      <c r="B214" s="85"/>
      <c r="P214" s="87"/>
      <c r="Q214" s="87"/>
      <c r="R214" s="87"/>
      <c r="S214" s="87"/>
      <c r="T214" s="87"/>
    </row>
    <row r="215" ht="13.5" customHeight="1">
      <c r="B215" s="85"/>
      <c r="P215" s="87"/>
      <c r="Q215" s="87"/>
      <c r="R215" s="87"/>
      <c r="S215" s="87"/>
      <c r="T215" s="87"/>
    </row>
    <row r="216" ht="13.5" customHeight="1">
      <c r="B216" s="85"/>
      <c r="P216" s="87"/>
      <c r="Q216" s="87"/>
      <c r="R216" s="87"/>
      <c r="S216" s="87"/>
      <c r="T216" s="87"/>
    </row>
    <row r="217" ht="13.5" customHeight="1">
      <c r="B217" s="85"/>
      <c r="P217" s="87"/>
      <c r="Q217" s="87"/>
      <c r="R217" s="87"/>
      <c r="S217" s="87"/>
      <c r="T217" s="87"/>
    </row>
    <row r="218" ht="13.5" customHeight="1">
      <c r="B218" s="85"/>
      <c r="P218" s="87"/>
      <c r="Q218" s="87"/>
      <c r="R218" s="87"/>
      <c r="S218" s="87"/>
      <c r="T218" s="87"/>
    </row>
    <row r="219" ht="13.5" customHeight="1">
      <c r="B219" s="85"/>
      <c r="P219" s="87"/>
      <c r="Q219" s="87"/>
      <c r="R219" s="87"/>
      <c r="S219" s="87"/>
      <c r="T219" s="87"/>
    </row>
    <row r="220" ht="13.5" customHeight="1">
      <c r="B220" s="85"/>
      <c r="P220" s="87"/>
      <c r="Q220" s="87"/>
      <c r="R220" s="87"/>
      <c r="S220" s="87"/>
      <c r="T220" s="87"/>
    </row>
    <row r="221" ht="13.5" customHeight="1">
      <c r="B221" s="85"/>
      <c r="P221" s="87"/>
      <c r="Q221" s="87"/>
      <c r="R221" s="87"/>
      <c r="S221" s="87"/>
      <c r="T221" s="87"/>
    </row>
    <row r="222" ht="13.5" customHeight="1">
      <c r="B222" s="85"/>
      <c r="P222" s="87"/>
      <c r="Q222" s="87"/>
      <c r="R222" s="87"/>
      <c r="S222" s="87"/>
      <c r="T222" s="87"/>
    </row>
    <row r="223" ht="13.5" customHeight="1">
      <c r="B223" s="85"/>
      <c r="P223" s="87"/>
      <c r="Q223" s="87"/>
      <c r="R223" s="87"/>
      <c r="S223" s="87"/>
      <c r="T223" s="87"/>
    </row>
    <row r="224" ht="13.5" customHeight="1">
      <c r="B224" s="85"/>
      <c r="P224" s="87"/>
      <c r="Q224" s="87"/>
      <c r="R224" s="87"/>
      <c r="S224" s="87"/>
      <c r="T224" s="87"/>
    </row>
    <row r="225" ht="13.5" customHeight="1">
      <c r="B225" s="85"/>
      <c r="P225" s="87"/>
      <c r="Q225" s="87"/>
      <c r="R225" s="87"/>
      <c r="S225" s="87"/>
      <c r="T225" s="87"/>
    </row>
    <row r="226" ht="13.5" customHeight="1">
      <c r="B226" s="85"/>
      <c r="P226" s="87"/>
      <c r="Q226" s="87"/>
      <c r="R226" s="87"/>
      <c r="S226" s="87"/>
      <c r="T226" s="87"/>
    </row>
    <row r="227" ht="13.5" customHeight="1">
      <c r="B227" s="85"/>
      <c r="P227" s="87"/>
      <c r="Q227" s="87"/>
      <c r="R227" s="87"/>
      <c r="S227" s="87"/>
      <c r="T227" s="87"/>
    </row>
    <row r="228" ht="13.5" customHeight="1">
      <c r="B228" s="85"/>
      <c r="P228" s="87"/>
      <c r="Q228" s="87"/>
      <c r="R228" s="87"/>
      <c r="S228" s="87"/>
      <c r="T228" s="87"/>
    </row>
    <row r="229" ht="13.5" customHeight="1">
      <c r="B229" s="85"/>
      <c r="P229" s="87"/>
      <c r="Q229" s="87"/>
      <c r="R229" s="87"/>
      <c r="S229" s="87"/>
      <c r="T229" s="87"/>
    </row>
    <row r="230" ht="13.5" customHeight="1">
      <c r="B230" s="85"/>
      <c r="P230" s="87"/>
      <c r="Q230" s="87"/>
      <c r="R230" s="87"/>
      <c r="S230" s="87"/>
      <c r="T230" s="87"/>
    </row>
    <row r="231" ht="13.5" customHeight="1">
      <c r="B231" s="85"/>
      <c r="P231" s="87"/>
      <c r="Q231" s="87"/>
      <c r="R231" s="87"/>
      <c r="S231" s="87"/>
      <c r="T231" s="87"/>
    </row>
    <row r="232" ht="13.5" customHeight="1">
      <c r="B232" s="85"/>
      <c r="P232" s="87"/>
      <c r="Q232" s="87"/>
      <c r="R232" s="87"/>
      <c r="S232" s="87"/>
      <c r="T232" s="87"/>
    </row>
    <row r="233" ht="13.5" customHeight="1">
      <c r="B233" s="85"/>
      <c r="P233" s="87"/>
      <c r="Q233" s="87"/>
      <c r="R233" s="87"/>
      <c r="S233" s="87"/>
      <c r="T233" s="87"/>
    </row>
    <row r="234" ht="13.5" customHeight="1">
      <c r="B234" s="85"/>
      <c r="P234" s="87"/>
      <c r="Q234" s="87"/>
      <c r="R234" s="87"/>
      <c r="S234" s="87"/>
      <c r="T234" s="87"/>
    </row>
    <row r="235" ht="13.5" customHeight="1">
      <c r="B235" s="85"/>
      <c r="P235" s="87"/>
      <c r="Q235" s="87"/>
      <c r="R235" s="87"/>
      <c r="S235" s="87"/>
      <c r="T235" s="87"/>
    </row>
    <row r="236" ht="13.5" customHeight="1">
      <c r="B236" s="85"/>
      <c r="P236" s="87"/>
      <c r="Q236" s="87"/>
      <c r="R236" s="87"/>
      <c r="S236" s="87"/>
      <c r="T236" s="87"/>
    </row>
    <row r="237" ht="13.5" customHeight="1">
      <c r="B237" s="85"/>
      <c r="P237" s="87"/>
      <c r="Q237" s="87"/>
      <c r="R237" s="87"/>
      <c r="S237" s="87"/>
      <c r="T237" s="87"/>
    </row>
    <row r="238" ht="13.5" customHeight="1">
      <c r="B238" s="85"/>
      <c r="P238" s="87"/>
      <c r="Q238" s="87"/>
      <c r="R238" s="87"/>
      <c r="S238" s="87"/>
      <c r="T238" s="87"/>
    </row>
    <row r="239" ht="13.5" customHeight="1">
      <c r="B239" s="85"/>
      <c r="P239" s="87"/>
      <c r="Q239" s="87"/>
      <c r="R239" s="87"/>
      <c r="S239" s="87"/>
      <c r="T239" s="87"/>
    </row>
    <row r="240" ht="13.5" customHeight="1">
      <c r="B240" s="85"/>
      <c r="P240" s="87"/>
      <c r="Q240" s="87"/>
      <c r="R240" s="87"/>
      <c r="S240" s="87"/>
      <c r="T240" s="87"/>
    </row>
    <row r="241" ht="13.5" customHeight="1">
      <c r="B241" s="85"/>
      <c r="P241" s="87"/>
      <c r="Q241" s="87"/>
      <c r="R241" s="87"/>
      <c r="S241" s="87"/>
      <c r="T241" s="87"/>
    </row>
    <row r="242" ht="13.5" customHeight="1">
      <c r="B242" s="85"/>
      <c r="P242" s="87"/>
      <c r="Q242" s="87"/>
      <c r="R242" s="87"/>
      <c r="S242" s="87"/>
      <c r="T242" s="87"/>
    </row>
    <row r="243" ht="13.5" customHeight="1">
      <c r="B243" s="85"/>
      <c r="P243" s="87"/>
      <c r="Q243" s="87"/>
      <c r="R243" s="87"/>
      <c r="S243" s="87"/>
      <c r="T243" s="87"/>
    </row>
    <row r="244" ht="13.5" customHeight="1">
      <c r="B244" s="85"/>
      <c r="P244" s="87"/>
      <c r="Q244" s="87"/>
      <c r="R244" s="87"/>
      <c r="S244" s="87"/>
      <c r="T244" s="87"/>
    </row>
    <row r="245" ht="13.5" customHeight="1">
      <c r="B245" s="85"/>
      <c r="P245" s="87"/>
      <c r="Q245" s="87"/>
      <c r="R245" s="87"/>
      <c r="S245" s="87"/>
      <c r="T245" s="87"/>
    </row>
    <row r="246" ht="13.5" customHeight="1">
      <c r="B246" s="85"/>
      <c r="P246" s="87"/>
      <c r="Q246" s="87"/>
      <c r="R246" s="87"/>
      <c r="S246" s="87"/>
      <c r="T246" s="87"/>
    </row>
    <row r="247" ht="13.5" customHeight="1">
      <c r="B247" s="85"/>
      <c r="P247" s="87"/>
      <c r="Q247" s="87"/>
      <c r="R247" s="87"/>
      <c r="S247" s="87"/>
      <c r="T247" s="87"/>
    </row>
    <row r="248" ht="13.5" customHeight="1">
      <c r="B248" s="85"/>
      <c r="P248" s="87"/>
      <c r="Q248" s="87"/>
      <c r="R248" s="87"/>
      <c r="S248" s="87"/>
      <c r="T248" s="87"/>
    </row>
    <row r="249" ht="13.5" customHeight="1">
      <c r="B249" s="85"/>
      <c r="P249" s="87"/>
      <c r="Q249" s="87"/>
      <c r="R249" s="87"/>
      <c r="S249" s="87"/>
      <c r="T249" s="87"/>
    </row>
    <row r="250" ht="13.5" customHeight="1">
      <c r="B250" s="85"/>
      <c r="P250" s="87"/>
      <c r="Q250" s="87"/>
      <c r="R250" s="87"/>
      <c r="S250" s="87"/>
      <c r="T250" s="87"/>
    </row>
    <row r="251" ht="13.5" customHeight="1">
      <c r="B251" s="85"/>
      <c r="P251" s="87"/>
      <c r="Q251" s="87"/>
      <c r="R251" s="87"/>
      <c r="S251" s="87"/>
      <c r="T251" s="87"/>
    </row>
    <row r="252" ht="13.5" customHeight="1">
      <c r="B252" s="85"/>
      <c r="P252" s="87"/>
      <c r="Q252" s="87"/>
      <c r="R252" s="87"/>
      <c r="S252" s="87"/>
      <c r="T252" s="87"/>
    </row>
    <row r="253" ht="13.5" customHeight="1">
      <c r="B253" s="85"/>
      <c r="P253" s="87"/>
      <c r="Q253" s="87"/>
      <c r="R253" s="87"/>
      <c r="S253" s="87"/>
      <c r="T253" s="87"/>
    </row>
    <row r="254" ht="13.5" customHeight="1">
      <c r="B254" s="85"/>
      <c r="P254" s="87"/>
      <c r="Q254" s="87"/>
      <c r="R254" s="87"/>
      <c r="S254" s="87"/>
      <c r="T254" s="87"/>
    </row>
    <row r="255" ht="13.5" customHeight="1">
      <c r="B255" s="85"/>
      <c r="P255" s="87"/>
      <c r="Q255" s="87"/>
      <c r="R255" s="87"/>
      <c r="S255" s="87"/>
      <c r="T255" s="87"/>
    </row>
    <row r="256" ht="13.5" customHeight="1">
      <c r="B256" s="85"/>
      <c r="P256" s="87"/>
      <c r="Q256" s="87"/>
      <c r="R256" s="87"/>
      <c r="S256" s="87"/>
      <c r="T256" s="87"/>
    </row>
    <row r="257" ht="13.5" customHeight="1">
      <c r="B257" s="85"/>
      <c r="P257" s="87"/>
      <c r="Q257" s="87"/>
      <c r="R257" s="87"/>
      <c r="S257" s="87"/>
      <c r="T257" s="87"/>
    </row>
    <row r="258" ht="13.5" customHeight="1">
      <c r="B258" s="85"/>
      <c r="P258" s="87"/>
      <c r="Q258" s="87"/>
      <c r="R258" s="87"/>
      <c r="S258" s="87"/>
      <c r="T258" s="87"/>
    </row>
    <row r="259" ht="13.5" customHeight="1">
      <c r="B259" s="85"/>
      <c r="P259" s="87"/>
      <c r="Q259" s="87"/>
      <c r="R259" s="87"/>
      <c r="S259" s="87"/>
      <c r="T259" s="87"/>
    </row>
    <row r="260" ht="13.5" customHeight="1">
      <c r="B260" s="85"/>
      <c r="P260" s="87"/>
      <c r="Q260" s="87"/>
      <c r="R260" s="87"/>
      <c r="S260" s="87"/>
      <c r="T260" s="87"/>
    </row>
    <row r="261" ht="13.5" customHeight="1">
      <c r="B261" s="85"/>
      <c r="P261" s="87"/>
      <c r="Q261" s="87"/>
      <c r="R261" s="87"/>
      <c r="S261" s="87"/>
      <c r="T261" s="87"/>
    </row>
    <row r="262" ht="13.5" customHeight="1">
      <c r="B262" s="85"/>
      <c r="P262" s="87"/>
      <c r="Q262" s="87"/>
      <c r="R262" s="87"/>
      <c r="S262" s="87"/>
      <c r="T262" s="87"/>
    </row>
    <row r="263" ht="13.5" customHeight="1">
      <c r="B263" s="85"/>
      <c r="P263" s="87"/>
      <c r="Q263" s="87"/>
      <c r="R263" s="87"/>
      <c r="S263" s="87"/>
      <c r="T263" s="87"/>
    </row>
    <row r="264" ht="13.5" customHeight="1">
      <c r="B264" s="85"/>
      <c r="P264" s="87"/>
      <c r="Q264" s="87"/>
      <c r="R264" s="87"/>
      <c r="S264" s="87"/>
      <c r="T264" s="87"/>
    </row>
    <row r="265" ht="13.5" customHeight="1">
      <c r="B265" s="85"/>
      <c r="P265" s="87"/>
      <c r="Q265" s="87"/>
      <c r="R265" s="87"/>
      <c r="S265" s="87"/>
      <c r="T265" s="87"/>
    </row>
    <row r="266" ht="13.5" customHeight="1">
      <c r="B266" s="85"/>
      <c r="P266" s="87"/>
      <c r="Q266" s="87"/>
      <c r="R266" s="87"/>
      <c r="S266" s="87"/>
      <c r="T266" s="87"/>
    </row>
    <row r="267" ht="13.5" customHeight="1">
      <c r="B267" s="85"/>
      <c r="P267" s="87"/>
      <c r="Q267" s="87"/>
      <c r="R267" s="87"/>
      <c r="S267" s="87"/>
      <c r="T267" s="87"/>
    </row>
    <row r="268" ht="13.5" customHeight="1">
      <c r="B268" s="85"/>
      <c r="P268" s="87"/>
      <c r="Q268" s="87"/>
      <c r="R268" s="87"/>
      <c r="S268" s="87"/>
      <c r="T268" s="87"/>
    </row>
    <row r="269" ht="13.5" customHeight="1">
      <c r="B269" s="85"/>
      <c r="P269" s="87"/>
      <c r="Q269" s="87"/>
      <c r="R269" s="87"/>
      <c r="S269" s="87"/>
      <c r="T269" s="87"/>
    </row>
    <row r="270" ht="13.5" customHeight="1">
      <c r="B270" s="85"/>
      <c r="P270" s="87"/>
      <c r="Q270" s="87"/>
      <c r="R270" s="87"/>
      <c r="S270" s="87"/>
      <c r="T270" s="87"/>
    </row>
    <row r="271" ht="13.5" customHeight="1">
      <c r="B271" s="85"/>
      <c r="P271" s="87"/>
      <c r="Q271" s="87"/>
      <c r="R271" s="87"/>
      <c r="S271" s="87"/>
      <c r="T271" s="87"/>
    </row>
    <row r="272" ht="13.5" customHeight="1">
      <c r="B272" s="85"/>
      <c r="P272" s="87"/>
      <c r="Q272" s="87"/>
      <c r="R272" s="87"/>
      <c r="S272" s="87"/>
      <c r="T272" s="87"/>
    </row>
    <row r="273" ht="13.5" customHeight="1">
      <c r="B273" s="85"/>
      <c r="P273" s="87"/>
      <c r="Q273" s="87"/>
      <c r="R273" s="87"/>
      <c r="S273" s="87"/>
      <c r="T273" s="87"/>
    </row>
    <row r="274" ht="13.5" customHeight="1">
      <c r="B274" s="85"/>
      <c r="P274" s="87"/>
      <c r="Q274" s="87"/>
      <c r="R274" s="87"/>
      <c r="S274" s="87"/>
      <c r="T274" s="87"/>
    </row>
    <row r="275" ht="13.5" customHeight="1">
      <c r="B275" s="85"/>
      <c r="P275" s="87"/>
      <c r="Q275" s="87"/>
      <c r="R275" s="87"/>
      <c r="S275" s="87"/>
      <c r="T275" s="87"/>
    </row>
    <row r="276" ht="13.5" customHeight="1">
      <c r="B276" s="85"/>
      <c r="P276" s="87"/>
      <c r="Q276" s="87"/>
      <c r="R276" s="87"/>
      <c r="S276" s="87"/>
      <c r="T276" s="87"/>
    </row>
    <row r="277" ht="13.5" customHeight="1">
      <c r="B277" s="85"/>
      <c r="P277" s="87"/>
      <c r="Q277" s="87"/>
      <c r="R277" s="87"/>
      <c r="S277" s="87"/>
      <c r="T277" s="87"/>
    </row>
    <row r="278" ht="13.5" customHeight="1">
      <c r="B278" s="85"/>
      <c r="P278" s="87"/>
      <c r="Q278" s="87"/>
      <c r="R278" s="87"/>
      <c r="S278" s="87"/>
      <c r="T278" s="87"/>
    </row>
    <row r="279" ht="13.5" customHeight="1">
      <c r="B279" s="85"/>
      <c r="P279" s="87"/>
      <c r="Q279" s="87"/>
      <c r="R279" s="87"/>
      <c r="S279" s="87"/>
      <c r="T279" s="87"/>
    </row>
    <row r="280" ht="13.5" customHeight="1">
      <c r="B280" s="85"/>
      <c r="P280" s="87"/>
      <c r="Q280" s="87"/>
      <c r="R280" s="87"/>
      <c r="S280" s="87"/>
      <c r="T280" s="87"/>
    </row>
    <row r="281" ht="13.5" customHeight="1">
      <c r="B281" s="85"/>
      <c r="P281" s="87"/>
      <c r="Q281" s="87"/>
      <c r="R281" s="87"/>
      <c r="S281" s="87"/>
      <c r="T281" s="87"/>
    </row>
    <row r="282" ht="13.5" customHeight="1">
      <c r="B282" s="85"/>
      <c r="P282" s="87"/>
      <c r="Q282" s="87"/>
      <c r="R282" s="87"/>
      <c r="S282" s="87"/>
      <c r="T282" s="87"/>
    </row>
    <row r="283" ht="13.5" customHeight="1">
      <c r="B283" s="85"/>
      <c r="P283" s="87"/>
      <c r="Q283" s="87"/>
      <c r="R283" s="87"/>
      <c r="S283" s="87"/>
      <c r="T283" s="87"/>
    </row>
    <row r="284" ht="13.5" customHeight="1">
      <c r="B284" s="85"/>
      <c r="P284" s="87"/>
      <c r="Q284" s="87"/>
      <c r="R284" s="87"/>
      <c r="S284" s="87"/>
      <c r="T284" s="87"/>
    </row>
    <row r="285" ht="13.5" customHeight="1">
      <c r="B285" s="85"/>
      <c r="P285" s="87"/>
      <c r="Q285" s="87"/>
      <c r="R285" s="87"/>
      <c r="S285" s="87"/>
      <c r="T285" s="87"/>
    </row>
    <row r="286" ht="13.5" customHeight="1">
      <c r="B286" s="85"/>
      <c r="P286" s="87"/>
      <c r="Q286" s="87"/>
      <c r="R286" s="87"/>
      <c r="S286" s="87"/>
      <c r="T286" s="87"/>
    </row>
    <row r="287" ht="13.5" customHeight="1">
      <c r="B287" s="85"/>
      <c r="P287" s="87"/>
      <c r="Q287" s="87"/>
      <c r="R287" s="87"/>
      <c r="S287" s="87"/>
      <c r="T287" s="87"/>
    </row>
    <row r="288" ht="13.5" customHeight="1">
      <c r="B288" s="85"/>
      <c r="P288" s="87"/>
      <c r="Q288" s="87"/>
      <c r="R288" s="87"/>
      <c r="S288" s="87"/>
      <c r="T288" s="87"/>
    </row>
    <row r="289" ht="13.5" customHeight="1">
      <c r="B289" s="85"/>
      <c r="P289" s="87"/>
      <c r="Q289" s="87"/>
      <c r="R289" s="87"/>
      <c r="S289" s="87"/>
      <c r="T289" s="87"/>
    </row>
    <row r="290" ht="13.5" customHeight="1">
      <c r="B290" s="85"/>
      <c r="P290" s="87"/>
      <c r="Q290" s="87"/>
      <c r="R290" s="87"/>
      <c r="S290" s="87"/>
      <c r="T290" s="87"/>
    </row>
    <row r="291" ht="13.5" customHeight="1">
      <c r="B291" s="85"/>
      <c r="P291" s="87"/>
      <c r="Q291" s="87"/>
      <c r="R291" s="87"/>
      <c r="S291" s="87"/>
      <c r="T291" s="87"/>
    </row>
    <row r="292" ht="13.5" customHeight="1">
      <c r="B292" s="85"/>
      <c r="P292" s="87"/>
      <c r="Q292" s="87"/>
      <c r="R292" s="87"/>
      <c r="S292" s="87"/>
      <c r="T292" s="87"/>
    </row>
    <row r="293" ht="13.5" customHeight="1">
      <c r="B293" s="85"/>
      <c r="P293" s="87"/>
      <c r="Q293" s="87"/>
      <c r="R293" s="87"/>
      <c r="S293" s="87"/>
      <c r="T293" s="87"/>
    </row>
    <row r="294" ht="13.5" customHeight="1">
      <c r="B294" s="85"/>
      <c r="P294" s="87"/>
      <c r="Q294" s="87"/>
      <c r="R294" s="87"/>
      <c r="S294" s="87"/>
      <c r="T294" s="87"/>
    </row>
    <row r="295" ht="13.5" customHeight="1">
      <c r="B295" s="85"/>
      <c r="P295" s="87"/>
      <c r="Q295" s="87"/>
      <c r="R295" s="87"/>
      <c r="S295" s="87"/>
      <c r="T295" s="87"/>
    </row>
    <row r="296" ht="13.5" customHeight="1">
      <c r="B296" s="85"/>
      <c r="P296" s="87"/>
      <c r="Q296" s="87"/>
      <c r="R296" s="87"/>
      <c r="S296" s="87"/>
      <c r="T296" s="87"/>
    </row>
    <row r="297" ht="13.5" customHeight="1">
      <c r="B297" s="85"/>
      <c r="P297" s="87"/>
      <c r="Q297" s="87"/>
      <c r="R297" s="87"/>
      <c r="S297" s="87"/>
      <c r="T297" s="87"/>
    </row>
    <row r="298" ht="13.5" customHeight="1">
      <c r="B298" s="85"/>
      <c r="P298" s="87"/>
      <c r="Q298" s="87"/>
      <c r="R298" s="87"/>
      <c r="S298" s="87"/>
      <c r="T298" s="87"/>
    </row>
    <row r="299" ht="13.5" customHeight="1">
      <c r="B299" s="85"/>
      <c r="P299" s="87"/>
      <c r="Q299" s="87"/>
      <c r="R299" s="87"/>
      <c r="S299" s="87"/>
      <c r="T299" s="87"/>
    </row>
    <row r="300" ht="13.5" customHeight="1">
      <c r="B300" s="85"/>
      <c r="P300" s="87"/>
      <c r="Q300" s="87"/>
      <c r="R300" s="87"/>
      <c r="S300" s="87"/>
      <c r="T300" s="87"/>
    </row>
    <row r="301" ht="13.5" customHeight="1">
      <c r="B301" s="85"/>
      <c r="P301" s="87"/>
      <c r="Q301" s="87"/>
      <c r="R301" s="87"/>
      <c r="S301" s="87"/>
      <c r="T301" s="87"/>
    </row>
    <row r="302" ht="13.5" customHeight="1">
      <c r="B302" s="85"/>
      <c r="P302" s="87"/>
      <c r="Q302" s="87"/>
      <c r="R302" s="87"/>
      <c r="S302" s="87"/>
      <c r="T302" s="87"/>
    </row>
    <row r="303" ht="13.5" customHeight="1">
      <c r="B303" s="85"/>
      <c r="P303" s="87"/>
      <c r="Q303" s="87"/>
      <c r="R303" s="87"/>
      <c r="S303" s="87"/>
      <c r="T303" s="87"/>
    </row>
    <row r="304" ht="13.5" customHeight="1">
      <c r="B304" s="85"/>
      <c r="P304" s="87"/>
      <c r="Q304" s="87"/>
      <c r="R304" s="87"/>
      <c r="S304" s="87"/>
      <c r="T304" s="87"/>
    </row>
    <row r="305" ht="13.5" customHeight="1">
      <c r="B305" s="85"/>
      <c r="P305" s="87"/>
      <c r="Q305" s="87"/>
      <c r="R305" s="87"/>
      <c r="S305" s="87"/>
      <c r="T305" s="87"/>
    </row>
    <row r="306" ht="13.5" customHeight="1">
      <c r="B306" s="85"/>
      <c r="P306" s="87"/>
      <c r="Q306" s="87"/>
      <c r="R306" s="87"/>
      <c r="S306" s="87"/>
      <c r="T306" s="87"/>
    </row>
    <row r="307" ht="13.5" customHeight="1">
      <c r="B307" s="85"/>
      <c r="P307" s="87"/>
      <c r="Q307" s="87"/>
      <c r="R307" s="87"/>
      <c r="S307" s="87"/>
      <c r="T307" s="87"/>
    </row>
    <row r="308" ht="13.5" customHeight="1">
      <c r="B308" s="85"/>
      <c r="P308" s="87"/>
      <c r="Q308" s="87"/>
      <c r="R308" s="87"/>
      <c r="S308" s="87"/>
      <c r="T308" s="87"/>
    </row>
    <row r="309" ht="13.5" customHeight="1">
      <c r="B309" s="85"/>
      <c r="P309" s="87"/>
      <c r="Q309" s="87"/>
      <c r="R309" s="87"/>
      <c r="S309" s="87"/>
      <c r="T309" s="87"/>
    </row>
    <row r="310" ht="13.5" customHeight="1">
      <c r="B310" s="85"/>
      <c r="P310" s="87"/>
      <c r="Q310" s="87"/>
      <c r="R310" s="87"/>
      <c r="S310" s="87"/>
      <c r="T310" s="87"/>
    </row>
    <row r="311" ht="13.5" customHeight="1">
      <c r="B311" s="85"/>
      <c r="P311" s="87"/>
      <c r="Q311" s="87"/>
      <c r="R311" s="87"/>
      <c r="S311" s="87"/>
      <c r="T311" s="87"/>
    </row>
    <row r="312" ht="13.5" customHeight="1">
      <c r="B312" s="85"/>
      <c r="P312" s="87"/>
      <c r="Q312" s="87"/>
      <c r="R312" s="87"/>
      <c r="S312" s="87"/>
      <c r="T312" s="87"/>
    </row>
    <row r="313" ht="13.5" customHeight="1">
      <c r="B313" s="85"/>
      <c r="P313" s="87"/>
      <c r="Q313" s="87"/>
      <c r="R313" s="87"/>
      <c r="S313" s="87"/>
      <c r="T313" s="87"/>
    </row>
    <row r="314" ht="13.5" customHeight="1">
      <c r="B314" s="85"/>
      <c r="P314" s="87"/>
      <c r="Q314" s="87"/>
      <c r="R314" s="87"/>
      <c r="S314" s="87"/>
      <c r="T314" s="87"/>
    </row>
    <row r="315" ht="13.5" customHeight="1">
      <c r="B315" s="85"/>
      <c r="P315" s="87"/>
      <c r="Q315" s="87"/>
      <c r="R315" s="87"/>
      <c r="S315" s="87"/>
      <c r="T315" s="87"/>
    </row>
    <row r="316" ht="13.5" customHeight="1">
      <c r="B316" s="85"/>
      <c r="P316" s="87"/>
      <c r="Q316" s="87"/>
      <c r="R316" s="87"/>
      <c r="S316" s="87"/>
      <c r="T316" s="87"/>
    </row>
    <row r="317" ht="13.5" customHeight="1">
      <c r="B317" s="85"/>
      <c r="P317" s="87"/>
      <c r="Q317" s="87"/>
      <c r="R317" s="87"/>
      <c r="S317" s="87"/>
      <c r="T317" s="87"/>
    </row>
    <row r="318" ht="13.5" customHeight="1">
      <c r="B318" s="85"/>
      <c r="P318" s="87"/>
      <c r="Q318" s="87"/>
      <c r="R318" s="87"/>
      <c r="S318" s="87"/>
      <c r="T318" s="87"/>
    </row>
    <row r="319" ht="13.5" customHeight="1">
      <c r="B319" s="85"/>
      <c r="P319" s="87"/>
      <c r="Q319" s="87"/>
      <c r="R319" s="87"/>
      <c r="S319" s="87"/>
      <c r="T319" s="87"/>
    </row>
    <row r="320" ht="13.5" customHeight="1">
      <c r="B320" s="85"/>
      <c r="P320" s="87"/>
      <c r="Q320" s="87"/>
      <c r="R320" s="87"/>
      <c r="S320" s="87"/>
      <c r="T320" s="87"/>
    </row>
    <row r="321" ht="13.5" customHeight="1">
      <c r="B321" s="85"/>
      <c r="P321" s="87"/>
      <c r="Q321" s="87"/>
      <c r="R321" s="87"/>
      <c r="S321" s="87"/>
      <c r="T321" s="87"/>
    </row>
    <row r="322" ht="13.5" customHeight="1">
      <c r="B322" s="85"/>
      <c r="P322" s="87"/>
      <c r="Q322" s="87"/>
      <c r="R322" s="87"/>
      <c r="S322" s="87"/>
      <c r="T322" s="87"/>
    </row>
    <row r="323" ht="13.5" customHeight="1">
      <c r="B323" s="85"/>
      <c r="P323" s="87"/>
      <c r="Q323" s="87"/>
      <c r="R323" s="87"/>
      <c r="S323" s="87"/>
      <c r="T323" s="87"/>
    </row>
    <row r="324" ht="13.5" customHeight="1">
      <c r="B324" s="85"/>
      <c r="P324" s="87"/>
      <c r="Q324" s="87"/>
      <c r="R324" s="87"/>
      <c r="S324" s="87"/>
      <c r="T324" s="87"/>
    </row>
    <row r="325" ht="13.5" customHeight="1">
      <c r="B325" s="85"/>
      <c r="P325" s="87"/>
      <c r="Q325" s="87"/>
      <c r="R325" s="87"/>
      <c r="S325" s="87"/>
      <c r="T325" s="87"/>
    </row>
    <row r="326" ht="13.5" customHeight="1">
      <c r="B326" s="85"/>
      <c r="P326" s="87"/>
      <c r="Q326" s="87"/>
      <c r="R326" s="87"/>
      <c r="S326" s="87"/>
      <c r="T326" s="87"/>
    </row>
    <row r="327" ht="13.5" customHeight="1">
      <c r="B327" s="85"/>
      <c r="P327" s="87"/>
      <c r="Q327" s="87"/>
      <c r="R327" s="87"/>
      <c r="S327" s="87"/>
      <c r="T327" s="87"/>
    </row>
    <row r="328" ht="13.5" customHeight="1">
      <c r="B328" s="85"/>
      <c r="P328" s="87"/>
      <c r="Q328" s="87"/>
      <c r="R328" s="87"/>
      <c r="S328" s="87"/>
      <c r="T328" s="87"/>
    </row>
    <row r="329" ht="13.5" customHeight="1">
      <c r="B329" s="85"/>
      <c r="P329" s="87"/>
      <c r="Q329" s="87"/>
      <c r="R329" s="87"/>
      <c r="S329" s="87"/>
      <c r="T329" s="87"/>
    </row>
    <row r="330" ht="13.5" customHeight="1">
      <c r="B330" s="85"/>
      <c r="P330" s="87"/>
      <c r="Q330" s="87"/>
      <c r="R330" s="87"/>
      <c r="S330" s="87"/>
      <c r="T330" s="87"/>
    </row>
    <row r="331" ht="13.5" customHeight="1">
      <c r="B331" s="85"/>
      <c r="P331" s="87"/>
      <c r="Q331" s="87"/>
      <c r="R331" s="87"/>
      <c r="S331" s="87"/>
      <c r="T331" s="87"/>
    </row>
    <row r="332" ht="13.5" customHeight="1">
      <c r="B332" s="85"/>
      <c r="P332" s="87"/>
      <c r="Q332" s="87"/>
      <c r="R332" s="87"/>
      <c r="S332" s="87"/>
      <c r="T332" s="87"/>
    </row>
    <row r="333" ht="13.5" customHeight="1">
      <c r="B333" s="85"/>
      <c r="P333" s="87"/>
      <c r="Q333" s="87"/>
      <c r="R333" s="87"/>
      <c r="S333" s="87"/>
      <c r="T333" s="87"/>
    </row>
    <row r="334" ht="13.5" customHeight="1">
      <c r="B334" s="85"/>
      <c r="P334" s="87"/>
      <c r="Q334" s="87"/>
      <c r="R334" s="87"/>
      <c r="S334" s="87"/>
      <c r="T334" s="87"/>
    </row>
    <row r="335" ht="13.5" customHeight="1">
      <c r="B335" s="85"/>
      <c r="P335" s="87"/>
      <c r="Q335" s="87"/>
      <c r="R335" s="87"/>
      <c r="S335" s="87"/>
      <c r="T335" s="87"/>
    </row>
    <row r="336" ht="13.5" customHeight="1">
      <c r="B336" s="85"/>
      <c r="P336" s="87"/>
      <c r="Q336" s="87"/>
      <c r="R336" s="87"/>
      <c r="S336" s="87"/>
      <c r="T336" s="87"/>
    </row>
    <row r="337" ht="13.5" customHeight="1">
      <c r="B337" s="85"/>
      <c r="P337" s="87"/>
      <c r="Q337" s="87"/>
      <c r="R337" s="87"/>
      <c r="S337" s="87"/>
      <c r="T337" s="87"/>
    </row>
    <row r="338" ht="13.5" customHeight="1">
      <c r="B338" s="85"/>
      <c r="P338" s="87"/>
      <c r="Q338" s="87"/>
      <c r="R338" s="87"/>
      <c r="S338" s="87"/>
      <c r="T338" s="87"/>
    </row>
    <row r="339" ht="13.5" customHeight="1">
      <c r="B339" s="85"/>
      <c r="P339" s="87"/>
      <c r="Q339" s="87"/>
      <c r="R339" s="87"/>
      <c r="S339" s="87"/>
      <c r="T339" s="87"/>
    </row>
    <row r="340" ht="13.5" customHeight="1">
      <c r="B340" s="85"/>
      <c r="P340" s="87"/>
      <c r="Q340" s="87"/>
      <c r="R340" s="87"/>
      <c r="S340" s="87"/>
      <c r="T340" s="87"/>
    </row>
    <row r="341" ht="13.5" customHeight="1">
      <c r="B341" s="85"/>
      <c r="P341" s="87"/>
      <c r="Q341" s="87"/>
      <c r="R341" s="87"/>
      <c r="S341" s="87"/>
      <c r="T341" s="87"/>
    </row>
    <row r="342" ht="13.5" customHeight="1">
      <c r="B342" s="85"/>
      <c r="P342" s="87"/>
      <c r="Q342" s="87"/>
      <c r="R342" s="87"/>
      <c r="S342" s="87"/>
      <c r="T342" s="87"/>
    </row>
    <row r="343" ht="13.5" customHeight="1">
      <c r="B343" s="85"/>
      <c r="P343" s="87"/>
      <c r="Q343" s="87"/>
      <c r="R343" s="87"/>
      <c r="S343" s="87"/>
      <c r="T343" s="87"/>
    </row>
    <row r="344" ht="13.5" customHeight="1">
      <c r="B344" s="85"/>
      <c r="P344" s="87"/>
      <c r="Q344" s="87"/>
      <c r="R344" s="87"/>
      <c r="S344" s="87"/>
      <c r="T344" s="87"/>
    </row>
    <row r="345" ht="13.5" customHeight="1">
      <c r="B345" s="85"/>
      <c r="P345" s="87"/>
      <c r="Q345" s="87"/>
      <c r="R345" s="87"/>
      <c r="S345" s="87"/>
      <c r="T345" s="87"/>
    </row>
    <row r="346" ht="13.5" customHeight="1">
      <c r="B346" s="85"/>
      <c r="P346" s="87"/>
      <c r="Q346" s="87"/>
      <c r="R346" s="87"/>
      <c r="S346" s="87"/>
      <c r="T346" s="87"/>
    </row>
    <row r="347" ht="13.5" customHeight="1">
      <c r="B347" s="85"/>
      <c r="P347" s="87"/>
      <c r="Q347" s="87"/>
      <c r="R347" s="87"/>
      <c r="S347" s="87"/>
      <c r="T347" s="87"/>
    </row>
    <row r="348" ht="13.5" customHeight="1">
      <c r="B348" s="85"/>
      <c r="P348" s="87"/>
      <c r="Q348" s="87"/>
      <c r="R348" s="87"/>
      <c r="S348" s="87"/>
      <c r="T348" s="87"/>
    </row>
    <row r="349" ht="13.5" customHeight="1">
      <c r="B349" s="85"/>
      <c r="P349" s="87"/>
      <c r="Q349" s="87"/>
      <c r="R349" s="87"/>
      <c r="S349" s="87"/>
      <c r="T349" s="87"/>
    </row>
    <row r="350" ht="13.5" customHeight="1">
      <c r="B350" s="85"/>
      <c r="P350" s="87"/>
      <c r="Q350" s="87"/>
      <c r="R350" s="87"/>
      <c r="S350" s="87"/>
      <c r="T350" s="87"/>
    </row>
    <row r="351" ht="13.5" customHeight="1">
      <c r="B351" s="85"/>
      <c r="P351" s="87"/>
      <c r="Q351" s="87"/>
      <c r="R351" s="87"/>
      <c r="S351" s="87"/>
      <c r="T351" s="87"/>
    </row>
    <row r="352" ht="13.5" customHeight="1">
      <c r="B352" s="85"/>
      <c r="P352" s="87"/>
      <c r="Q352" s="87"/>
      <c r="R352" s="87"/>
      <c r="S352" s="87"/>
      <c r="T352" s="87"/>
    </row>
    <row r="353" ht="13.5" customHeight="1">
      <c r="B353" s="85"/>
      <c r="P353" s="87"/>
      <c r="Q353" s="87"/>
      <c r="R353" s="87"/>
      <c r="S353" s="87"/>
      <c r="T353" s="87"/>
    </row>
    <row r="354" ht="13.5" customHeight="1">
      <c r="B354" s="85"/>
      <c r="P354" s="87"/>
      <c r="Q354" s="87"/>
      <c r="R354" s="87"/>
      <c r="S354" s="87"/>
      <c r="T354" s="87"/>
    </row>
    <row r="355" ht="13.5" customHeight="1">
      <c r="B355" s="85"/>
      <c r="P355" s="87"/>
      <c r="Q355" s="87"/>
      <c r="R355" s="87"/>
      <c r="S355" s="87"/>
      <c r="T355" s="87"/>
    </row>
    <row r="356" ht="13.5" customHeight="1">
      <c r="B356" s="85"/>
      <c r="P356" s="87"/>
      <c r="Q356" s="87"/>
      <c r="R356" s="87"/>
      <c r="S356" s="87"/>
      <c r="T356" s="87"/>
    </row>
    <row r="357" ht="13.5" customHeight="1">
      <c r="B357" s="85"/>
      <c r="P357" s="87"/>
      <c r="Q357" s="87"/>
      <c r="R357" s="87"/>
      <c r="S357" s="87"/>
      <c r="T357" s="87"/>
    </row>
    <row r="358" ht="13.5" customHeight="1">
      <c r="B358" s="85"/>
      <c r="P358" s="87"/>
      <c r="Q358" s="87"/>
      <c r="R358" s="87"/>
      <c r="S358" s="87"/>
      <c r="T358" s="87"/>
    </row>
    <row r="359" ht="13.5" customHeight="1">
      <c r="B359" s="85"/>
      <c r="P359" s="87"/>
      <c r="Q359" s="87"/>
      <c r="R359" s="87"/>
      <c r="S359" s="87"/>
      <c r="T359" s="87"/>
    </row>
    <row r="360" ht="13.5" customHeight="1">
      <c r="B360" s="85"/>
      <c r="P360" s="87"/>
      <c r="Q360" s="87"/>
      <c r="R360" s="87"/>
      <c r="S360" s="87"/>
      <c r="T360" s="87"/>
    </row>
    <row r="361" ht="13.5" customHeight="1">
      <c r="B361" s="85"/>
      <c r="P361" s="87"/>
      <c r="Q361" s="87"/>
      <c r="R361" s="87"/>
      <c r="S361" s="87"/>
      <c r="T361" s="87"/>
    </row>
    <row r="362" ht="13.5" customHeight="1">
      <c r="B362" s="85"/>
      <c r="P362" s="87"/>
      <c r="Q362" s="87"/>
      <c r="R362" s="87"/>
      <c r="S362" s="87"/>
      <c r="T362" s="87"/>
    </row>
    <row r="363" ht="13.5" customHeight="1">
      <c r="B363" s="85"/>
      <c r="P363" s="87"/>
      <c r="Q363" s="87"/>
      <c r="R363" s="87"/>
      <c r="S363" s="87"/>
      <c r="T363" s="87"/>
    </row>
    <row r="364" ht="13.5" customHeight="1">
      <c r="B364" s="85"/>
      <c r="P364" s="87"/>
      <c r="Q364" s="87"/>
      <c r="R364" s="87"/>
      <c r="S364" s="87"/>
      <c r="T364" s="87"/>
    </row>
    <row r="365" ht="13.5" customHeight="1">
      <c r="B365" s="85"/>
      <c r="P365" s="87"/>
      <c r="Q365" s="87"/>
      <c r="R365" s="87"/>
      <c r="S365" s="87"/>
      <c r="T365" s="87"/>
    </row>
    <row r="366" ht="13.5" customHeight="1">
      <c r="B366" s="85"/>
      <c r="P366" s="87"/>
      <c r="Q366" s="87"/>
      <c r="R366" s="87"/>
      <c r="S366" s="87"/>
      <c r="T366" s="87"/>
    </row>
    <row r="367" ht="13.5" customHeight="1">
      <c r="B367" s="85"/>
      <c r="P367" s="87"/>
      <c r="Q367" s="87"/>
      <c r="R367" s="87"/>
      <c r="S367" s="87"/>
      <c r="T367" s="87"/>
    </row>
    <row r="368" ht="13.5" customHeight="1">
      <c r="B368" s="85"/>
      <c r="P368" s="87"/>
      <c r="Q368" s="87"/>
      <c r="R368" s="87"/>
      <c r="S368" s="87"/>
      <c r="T368" s="87"/>
    </row>
    <row r="369" ht="13.5" customHeight="1">
      <c r="B369" s="85"/>
      <c r="P369" s="87"/>
      <c r="Q369" s="87"/>
      <c r="R369" s="87"/>
      <c r="S369" s="87"/>
      <c r="T369" s="87"/>
    </row>
    <row r="370" ht="13.5" customHeight="1">
      <c r="B370" s="85"/>
      <c r="P370" s="87"/>
      <c r="Q370" s="87"/>
      <c r="R370" s="87"/>
      <c r="S370" s="87"/>
      <c r="T370" s="87"/>
    </row>
    <row r="371" ht="13.5" customHeight="1">
      <c r="B371" s="85"/>
      <c r="P371" s="87"/>
      <c r="Q371" s="87"/>
      <c r="R371" s="87"/>
      <c r="S371" s="87"/>
      <c r="T371" s="87"/>
    </row>
    <row r="372" ht="13.5" customHeight="1">
      <c r="B372" s="85"/>
      <c r="P372" s="87"/>
      <c r="Q372" s="87"/>
      <c r="R372" s="87"/>
      <c r="S372" s="87"/>
      <c r="T372" s="87"/>
    </row>
    <row r="373" ht="13.5" customHeight="1">
      <c r="B373" s="85"/>
      <c r="P373" s="87"/>
      <c r="Q373" s="87"/>
      <c r="R373" s="87"/>
      <c r="S373" s="87"/>
      <c r="T373" s="87"/>
    </row>
    <row r="374" ht="13.5" customHeight="1">
      <c r="B374" s="85"/>
      <c r="P374" s="87"/>
      <c r="Q374" s="87"/>
      <c r="R374" s="87"/>
      <c r="S374" s="87"/>
      <c r="T374" s="87"/>
    </row>
    <row r="375" ht="13.5" customHeight="1">
      <c r="B375" s="85"/>
      <c r="P375" s="87"/>
      <c r="Q375" s="87"/>
      <c r="R375" s="87"/>
      <c r="S375" s="87"/>
      <c r="T375" s="87"/>
    </row>
    <row r="376" ht="13.5" customHeight="1">
      <c r="B376" s="85"/>
      <c r="P376" s="87"/>
      <c r="Q376" s="87"/>
      <c r="R376" s="87"/>
      <c r="S376" s="87"/>
      <c r="T376" s="87"/>
    </row>
    <row r="377" ht="13.5" customHeight="1">
      <c r="B377" s="85"/>
      <c r="P377" s="87"/>
      <c r="Q377" s="87"/>
      <c r="R377" s="87"/>
      <c r="S377" s="87"/>
      <c r="T377" s="87"/>
    </row>
    <row r="378" ht="13.5" customHeight="1">
      <c r="B378" s="85"/>
      <c r="P378" s="87"/>
      <c r="Q378" s="87"/>
      <c r="R378" s="87"/>
      <c r="S378" s="87"/>
      <c r="T378" s="87"/>
    </row>
    <row r="379" ht="13.5" customHeight="1">
      <c r="B379" s="85"/>
      <c r="P379" s="87"/>
      <c r="Q379" s="87"/>
      <c r="R379" s="87"/>
      <c r="S379" s="87"/>
      <c r="T379" s="87"/>
    </row>
    <row r="380" ht="13.5" customHeight="1">
      <c r="B380" s="85"/>
      <c r="P380" s="87"/>
      <c r="Q380" s="87"/>
      <c r="R380" s="87"/>
      <c r="S380" s="87"/>
      <c r="T380" s="87"/>
    </row>
    <row r="381" ht="13.5" customHeight="1">
      <c r="B381" s="85"/>
      <c r="P381" s="87"/>
      <c r="Q381" s="87"/>
      <c r="R381" s="87"/>
      <c r="S381" s="87"/>
      <c r="T381" s="87"/>
    </row>
    <row r="382" ht="13.5" customHeight="1">
      <c r="B382" s="85"/>
      <c r="P382" s="87"/>
      <c r="Q382" s="87"/>
      <c r="R382" s="87"/>
      <c r="S382" s="87"/>
      <c r="T382" s="87"/>
    </row>
    <row r="383" ht="13.5" customHeight="1">
      <c r="B383" s="85"/>
      <c r="P383" s="87"/>
      <c r="Q383" s="87"/>
      <c r="R383" s="87"/>
      <c r="S383" s="87"/>
      <c r="T383" s="87"/>
    </row>
    <row r="384" ht="13.5" customHeight="1">
      <c r="B384" s="85"/>
      <c r="P384" s="87"/>
      <c r="Q384" s="87"/>
      <c r="R384" s="87"/>
      <c r="S384" s="87"/>
      <c r="T384" s="87"/>
    </row>
    <row r="385" ht="13.5" customHeight="1">
      <c r="B385" s="85"/>
      <c r="P385" s="87"/>
      <c r="Q385" s="87"/>
      <c r="R385" s="87"/>
      <c r="S385" s="87"/>
      <c r="T385" s="87"/>
    </row>
    <row r="386" ht="13.5" customHeight="1">
      <c r="B386" s="85"/>
      <c r="P386" s="87"/>
      <c r="Q386" s="87"/>
      <c r="R386" s="87"/>
      <c r="S386" s="87"/>
      <c r="T386" s="87"/>
    </row>
    <row r="387" ht="13.5" customHeight="1">
      <c r="B387" s="85"/>
      <c r="P387" s="87"/>
      <c r="Q387" s="87"/>
      <c r="R387" s="87"/>
      <c r="S387" s="87"/>
      <c r="T387" s="87"/>
    </row>
    <row r="388" ht="13.5" customHeight="1">
      <c r="B388" s="85"/>
      <c r="P388" s="87"/>
      <c r="Q388" s="87"/>
      <c r="R388" s="87"/>
      <c r="S388" s="87"/>
      <c r="T388" s="87"/>
    </row>
    <row r="389" ht="13.5" customHeight="1">
      <c r="B389" s="85"/>
      <c r="P389" s="87"/>
      <c r="Q389" s="87"/>
      <c r="R389" s="87"/>
      <c r="S389" s="87"/>
      <c r="T389" s="87"/>
    </row>
    <row r="390" ht="13.5" customHeight="1">
      <c r="B390" s="85"/>
      <c r="P390" s="87"/>
      <c r="Q390" s="87"/>
      <c r="R390" s="87"/>
      <c r="S390" s="87"/>
      <c r="T390" s="87"/>
    </row>
    <row r="391" ht="13.5" customHeight="1">
      <c r="B391" s="85"/>
      <c r="P391" s="87"/>
      <c r="Q391" s="87"/>
      <c r="R391" s="87"/>
      <c r="S391" s="87"/>
      <c r="T391" s="87"/>
    </row>
    <row r="392" ht="13.5" customHeight="1">
      <c r="B392" s="85"/>
      <c r="P392" s="87"/>
      <c r="Q392" s="87"/>
      <c r="R392" s="87"/>
      <c r="S392" s="87"/>
      <c r="T392" s="87"/>
    </row>
    <row r="393" ht="13.5" customHeight="1">
      <c r="B393" s="85"/>
      <c r="P393" s="87"/>
      <c r="Q393" s="87"/>
      <c r="R393" s="87"/>
      <c r="S393" s="87"/>
      <c r="T393" s="87"/>
    </row>
    <row r="394" ht="13.5" customHeight="1">
      <c r="B394" s="85"/>
      <c r="P394" s="87"/>
      <c r="Q394" s="87"/>
      <c r="R394" s="87"/>
      <c r="S394" s="87"/>
      <c r="T394" s="87"/>
    </row>
    <row r="395" ht="13.5" customHeight="1">
      <c r="B395" s="85"/>
      <c r="P395" s="87"/>
      <c r="Q395" s="87"/>
      <c r="R395" s="87"/>
      <c r="S395" s="87"/>
      <c r="T395" s="87"/>
    </row>
    <row r="396" ht="13.5" customHeight="1">
      <c r="B396" s="85"/>
      <c r="P396" s="87"/>
      <c r="Q396" s="87"/>
      <c r="R396" s="87"/>
      <c r="S396" s="87"/>
      <c r="T396" s="87"/>
    </row>
    <row r="397" ht="13.5" customHeight="1">
      <c r="B397" s="85"/>
      <c r="P397" s="87"/>
      <c r="Q397" s="87"/>
      <c r="R397" s="87"/>
      <c r="S397" s="87"/>
      <c r="T397" s="87"/>
    </row>
    <row r="398" ht="13.5" customHeight="1">
      <c r="B398" s="85"/>
      <c r="P398" s="87"/>
      <c r="Q398" s="87"/>
      <c r="R398" s="87"/>
      <c r="S398" s="87"/>
      <c r="T398" s="87"/>
    </row>
    <row r="399" ht="13.5" customHeight="1">
      <c r="B399" s="85"/>
      <c r="P399" s="87"/>
      <c r="Q399" s="87"/>
      <c r="R399" s="87"/>
      <c r="S399" s="87"/>
      <c r="T399" s="87"/>
    </row>
    <row r="400" ht="13.5" customHeight="1">
      <c r="B400" s="85"/>
      <c r="P400" s="87"/>
      <c r="Q400" s="87"/>
      <c r="R400" s="87"/>
      <c r="S400" s="87"/>
      <c r="T400" s="87"/>
    </row>
    <row r="401" ht="13.5" customHeight="1">
      <c r="B401" s="85"/>
      <c r="P401" s="87"/>
      <c r="Q401" s="87"/>
      <c r="R401" s="87"/>
      <c r="S401" s="87"/>
      <c r="T401" s="87"/>
    </row>
    <row r="402" ht="13.5" customHeight="1">
      <c r="B402" s="85"/>
      <c r="P402" s="87"/>
      <c r="Q402" s="87"/>
      <c r="R402" s="87"/>
      <c r="S402" s="87"/>
      <c r="T402" s="87"/>
    </row>
    <row r="403" ht="13.5" customHeight="1">
      <c r="B403" s="85"/>
      <c r="P403" s="87"/>
      <c r="Q403" s="87"/>
      <c r="R403" s="87"/>
      <c r="S403" s="87"/>
      <c r="T403" s="87"/>
    </row>
    <row r="404" ht="13.5" customHeight="1">
      <c r="B404" s="85"/>
      <c r="P404" s="87"/>
      <c r="Q404" s="87"/>
      <c r="R404" s="87"/>
      <c r="S404" s="87"/>
      <c r="T404" s="87"/>
    </row>
    <row r="405" ht="13.5" customHeight="1">
      <c r="B405" s="85"/>
      <c r="P405" s="87"/>
      <c r="Q405" s="87"/>
      <c r="R405" s="87"/>
      <c r="S405" s="87"/>
      <c r="T405" s="87"/>
    </row>
    <row r="406" ht="13.5" customHeight="1">
      <c r="B406" s="85"/>
      <c r="P406" s="87"/>
      <c r="Q406" s="87"/>
      <c r="R406" s="87"/>
      <c r="S406" s="87"/>
      <c r="T406" s="87"/>
    </row>
    <row r="407" ht="13.5" customHeight="1">
      <c r="B407" s="85"/>
      <c r="P407" s="87"/>
      <c r="Q407" s="87"/>
      <c r="R407" s="87"/>
      <c r="S407" s="87"/>
      <c r="T407" s="87"/>
    </row>
    <row r="408" ht="13.5" customHeight="1">
      <c r="B408" s="85"/>
      <c r="P408" s="87"/>
      <c r="Q408" s="87"/>
      <c r="R408" s="87"/>
      <c r="S408" s="87"/>
      <c r="T408" s="87"/>
    </row>
    <row r="409" ht="13.5" customHeight="1">
      <c r="B409" s="85"/>
      <c r="P409" s="87"/>
      <c r="Q409" s="87"/>
      <c r="R409" s="87"/>
      <c r="S409" s="87"/>
      <c r="T409" s="87"/>
    </row>
    <row r="410" ht="13.5" customHeight="1">
      <c r="B410" s="85"/>
      <c r="P410" s="87"/>
      <c r="Q410" s="87"/>
      <c r="R410" s="87"/>
      <c r="S410" s="87"/>
      <c r="T410" s="87"/>
    </row>
    <row r="411" ht="13.5" customHeight="1">
      <c r="B411" s="85"/>
      <c r="P411" s="87"/>
      <c r="Q411" s="87"/>
      <c r="R411" s="87"/>
      <c r="S411" s="87"/>
      <c r="T411" s="87"/>
    </row>
    <row r="412" ht="13.5" customHeight="1">
      <c r="B412" s="85"/>
      <c r="P412" s="87"/>
      <c r="Q412" s="87"/>
      <c r="R412" s="87"/>
      <c r="S412" s="87"/>
      <c r="T412" s="87"/>
    </row>
    <row r="413" ht="13.5" customHeight="1">
      <c r="B413" s="85"/>
      <c r="P413" s="87"/>
      <c r="Q413" s="87"/>
      <c r="R413" s="87"/>
      <c r="S413" s="87"/>
      <c r="T413" s="87"/>
    </row>
    <row r="414" ht="13.5" customHeight="1">
      <c r="B414" s="85"/>
      <c r="P414" s="87"/>
      <c r="Q414" s="87"/>
      <c r="R414" s="87"/>
      <c r="S414" s="87"/>
      <c r="T414" s="87"/>
    </row>
    <row r="415" ht="13.5" customHeight="1">
      <c r="B415" s="85"/>
      <c r="P415" s="87"/>
      <c r="Q415" s="87"/>
      <c r="R415" s="87"/>
      <c r="S415" s="87"/>
      <c r="T415" s="87"/>
    </row>
    <row r="416" ht="13.5" customHeight="1">
      <c r="B416" s="85"/>
      <c r="P416" s="87"/>
      <c r="Q416" s="87"/>
      <c r="R416" s="87"/>
      <c r="S416" s="87"/>
      <c r="T416" s="87"/>
    </row>
    <row r="417" ht="13.5" customHeight="1">
      <c r="B417" s="85"/>
      <c r="P417" s="87"/>
      <c r="Q417" s="87"/>
      <c r="R417" s="87"/>
      <c r="S417" s="87"/>
      <c r="T417" s="87"/>
    </row>
    <row r="418" ht="13.5" customHeight="1">
      <c r="B418" s="85"/>
      <c r="P418" s="87"/>
      <c r="Q418" s="87"/>
      <c r="R418" s="87"/>
      <c r="S418" s="87"/>
      <c r="T418" s="87"/>
    </row>
    <row r="419" ht="13.5" customHeight="1">
      <c r="B419" s="85"/>
      <c r="P419" s="87"/>
      <c r="Q419" s="87"/>
      <c r="R419" s="87"/>
      <c r="S419" s="87"/>
      <c r="T419" s="87"/>
    </row>
    <row r="420" ht="13.5" customHeight="1">
      <c r="B420" s="85"/>
      <c r="P420" s="87"/>
      <c r="Q420" s="87"/>
      <c r="R420" s="87"/>
      <c r="S420" s="87"/>
      <c r="T420" s="87"/>
    </row>
    <row r="421" ht="13.5" customHeight="1">
      <c r="B421" s="85"/>
      <c r="P421" s="87"/>
      <c r="Q421" s="87"/>
      <c r="R421" s="87"/>
      <c r="S421" s="87"/>
      <c r="T421" s="87"/>
    </row>
    <row r="422" ht="13.5" customHeight="1">
      <c r="B422" s="85"/>
      <c r="P422" s="87"/>
      <c r="Q422" s="87"/>
      <c r="R422" s="87"/>
      <c r="S422" s="87"/>
      <c r="T422" s="87"/>
    </row>
    <row r="423" ht="13.5" customHeight="1">
      <c r="B423" s="85"/>
      <c r="P423" s="87"/>
      <c r="Q423" s="87"/>
      <c r="R423" s="87"/>
      <c r="S423" s="87"/>
      <c r="T423" s="87"/>
    </row>
    <row r="424" ht="13.5" customHeight="1">
      <c r="B424" s="85"/>
      <c r="P424" s="87"/>
      <c r="Q424" s="87"/>
      <c r="R424" s="87"/>
      <c r="S424" s="87"/>
      <c r="T424" s="87"/>
    </row>
    <row r="425" ht="13.5" customHeight="1">
      <c r="B425" s="85"/>
      <c r="P425" s="87"/>
      <c r="Q425" s="87"/>
      <c r="R425" s="87"/>
      <c r="S425" s="87"/>
      <c r="T425" s="87"/>
    </row>
    <row r="426" ht="13.5" customHeight="1">
      <c r="B426" s="85"/>
      <c r="P426" s="87"/>
      <c r="Q426" s="87"/>
      <c r="R426" s="87"/>
      <c r="S426" s="87"/>
      <c r="T426" s="87"/>
    </row>
    <row r="427" ht="13.5" customHeight="1">
      <c r="B427" s="85"/>
      <c r="P427" s="87"/>
      <c r="Q427" s="87"/>
      <c r="R427" s="87"/>
      <c r="S427" s="87"/>
      <c r="T427" s="87"/>
    </row>
    <row r="428" ht="13.5" customHeight="1">
      <c r="B428" s="85"/>
      <c r="P428" s="87"/>
      <c r="Q428" s="87"/>
      <c r="R428" s="87"/>
      <c r="S428" s="87"/>
      <c r="T428" s="87"/>
    </row>
    <row r="429" ht="13.5" customHeight="1">
      <c r="B429" s="85"/>
      <c r="P429" s="87"/>
      <c r="Q429" s="87"/>
      <c r="R429" s="87"/>
      <c r="S429" s="87"/>
      <c r="T429" s="87"/>
    </row>
    <row r="430" ht="13.5" customHeight="1">
      <c r="B430" s="85"/>
      <c r="P430" s="87"/>
      <c r="Q430" s="87"/>
      <c r="R430" s="87"/>
      <c r="S430" s="87"/>
      <c r="T430" s="87"/>
    </row>
    <row r="431" ht="13.5" customHeight="1">
      <c r="B431" s="85"/>
      <c r="P431" s="87"/>
      <c r="Q431" s="87"/>
      <c r="R431" s="87"/>
      <c r="S431" s="87"/>
      <c r="T431" s="87"/>
    </row>
    <row r="432" ht="13.5" customHeight="1">
      <c r="B432" s="85"/>
      <c r="P432" s="87"/>
      <c r="Q432" s="87"/>
      <c r="R432" s="87"/>
      <c r="S432" s="87"/>
      <c r="T432" s="87"/>
    </row>
    <row r="433" ht="13.5" customHeight="1">
      <c r="B433" s="85"/>
      <c r="P433" s="87"/>
      <c r="Q433" s="87"/>
      <c r="R433" s="87"/>
      <c r="S433" s="87"/>
      <c r="T433" s="87"/>
    </row>
    <row r="434" ht="13.5" customHeight="1">
      <c r="B434" s="85"/>
      <c r="P434" s="87"/>
      <c r="Q434" s="87"/>
      <c r="R434" s="87"/>
      <c r="S434" s="87"/>
      <c r="T434" s="87"/>
    </row>
    <row r="435" ht="13.5" customHeight="1">
      <c r="B435" s="85"/>
      <c r="P435" s="87"/>
      <c r="Q435" s="87"/>
      <c r="R435" s="87"/>
      <c r="S435" s="87"/>
      <c r="T435" s="87"/>
    </row>
    <row r="436" ht="13.5" customHeight="1">
      <c r="B436" s="85"/>
      <c r="P436" s="87"/>
      <c r="Q436" s="87"/>
      <c r="R436" s="87"/>
      <c r="S436" s="87"/>
      <c r="T436" s="87"/>
    </row>
    <row r="437" ht="13.5" customHeight="1">
      <c r="B437" s="85"/>
      <c r="P437" s="87"/>
      <c r="Q437" s="87"/>
      <c r="R437" s="87"/>
      <c r="S437" s="87"/>
      <c r="T437" s="87"/>
    </row>
    <row r="438" ht="13.5" customHeight="1">
      <c r="B438" s="85"/>
      <c r="P438" s="87"/>
      <c r="Q438" s="87"/>
      <c r="R438" s="87"/>
      <c r="S438" s="87"/>
      <c r="T438" s="87"/>
    </row>
    <row r="439" ht="13.5" customHeight="1">
      <c r="B439" s="85"/>
      <c r="P439" s="87"/>
      <c r="Q439" s="87"/>
      <c r="R439" s="87"/>
      <c r="S439" s="87"/>
      <c r="T439" s="87"/>
    </row>
    <row r="440" ht="13.5" customHeight="1">
      <c r="B440" s="85"/>
      <c r="P440" s="87"/>
      <c r="Q440" s="87"/>
      <c r="R440" s="87"/>
      <c r="S440" s="87"/>
      <c r="T440" s="87"/>
    </row>
    <row r="441" ht="13.5" customHeight="1">
      <c r="B441" s="85"/>
      <c r="P441" s="87"/>
      <c r="Q441" s="87"/>
      <c r="R441" s="87"/>
      <c r="S441" s="87"/>
      <c r="T441" s="87"/>
    </row>
    <row r="442" ht="13.5" customHeight="1">
      <c r="B442" s="85"/>
      <c r="P442" s="87"/>
      <c r="Q442" s="87"/>
      <c r="R442" s="87"/>
      <c r="S442" s="87"/>
      <c r="T442" s="87"/>
    </row>
    <row r="443" ht="13.5" customHeight="1">
      <c r="B443" s="85"/>
      <c r="P443" s="87"/>
      <c r="Q443" s="87"/>
      <c r="R443" s="87"/>
      <c r="S443" s="87"/>
      <c r="T443" s="87"/>
    </row>
    <row r="444" ht="13.5" customHeight="1">
      <c r="B444" s="85"/>
      <c r="P444" s="87"/>
      <c r="Q444" s="87"/>
      <c r="R444" s="87"/>
      <c r="S444" s="87"/>
      <c r="T444" s="87"/>
    </row>
    <row r="445" ht="13.5" customHeight="1">
      <c r="B445" s="85"/>
      <c r="P445" s="87"/>
      <c r="Q445" s="87"/>
      <c r="R445" s="87"/>
      <c r="S445" s="87"/>
      <c r="T445" s="87"/>
    </row>
    <row r="446" ht="13.5" customHeight="1">
      <c r="B446" s="85"/>
      <c r="P446" s="87"/>
      <c r="Q446" s="87"/>
      <c r="R446" s="87"/>
      <c r="S446" s="87"/>
      <c r="T446" s="87"/>
    </row>
    <row r="447" ht="13.5" customHeight="1">
      <c r="B447" s="85"/>
      <c r="P447" s="87"/>
      <c r="Q447" s="87"/>
      <c r="R447" s="87"/>
      <c r="S447" s="87"/>
      <c r="T447" s="87"/>
    </row>
    <row r="448" ht="13.5" customHeight="1">
      <c r="B448" s="85"/>
      <c r="P448" s="87"/>
      <c r="Q448" s="87"/>
      <c r="R448" s="87"/>
      <c r="S448" s="87"/>
      <c r="T448" s="87"/>
    </row>
    <row r="449" ht="13.5" customHeight="1">
      <c r="B449" s="85"/>
      <c r="P449" s="87"/>
      <c r="Q449" s="87"/>
      <c r="R449" s="87"/>
      <c r="S449" s="87"/>
      <c r="T449" s="87"/>
    </row>
    <row r="450" ht="13.5" customHeight="1">
      <c r="B450" s="85"/>
      <c r="P450" s="87"/>
      <c r="Q450" s="87"/>
      <c r="R450" s="87"/>
      <c r="S450" s="87"/>
      <c r="T450" s="87"/>
    </row>
    <row r="451" ht="13.5" customHeight="1">
      <c r="B451" s="85"/>
      <c r="P451" s="87"/>
      <c r="Q451" s="87"/>
      <c r="R451" s="87"/>
      <c r="S451" s="87"/>
      <c r="T451" s="87"/>
    </row>
    <row r="452" ht="13.5" customHeight="1">
      <c r="B452" s="85"/>
      <c r="P452" s="87"/>
      <c r="Q452" s="87"/>
      <c r="R452" s="87"/>
      <c r="S452" s="87"/>
      <c r="T452" s="87"/>
    </row>
    <row r="453" ht="13.5" customHeight="1">
      <c r="B453" s="85"/>
      <c r="P453" s="87"/>
      <c r="Q453" s="87"/>
      <c r="R453" s="87"/>
      <c r="S453" s="87"/>
      <c r="T453" s="87"/>
    </row>
    <row r="454" ht="13.5" customHeight="1">
      <c r="B454" s="85"/>
      <c r="P454" s="87"/>
      <c r="Q454" s="87"/>
      <c r="R454" s="87"/>
      <c r="S454" s="87"/>
      <c r="T454" s="87"/>
    </row>
    <row r="455" ht="13.5" customHeight="1">
      <c r="B455" s="85"/>
      <c r="P455" s="87"/>
      <c r="Q455" s="87"/>
      <c r="R455" s="87"/>
      <c r="S455" s="87"/>
      <c r="T455" s="87"/>
    </row>
    <row r="456" ht="13.5" customHeight="1">
      <c r="B456" s="85"/>
      <c r="P456" s="87"/>
      <c r="Q456" s="87"/>
      <c r="R456" s="87"/>
      <c r="S456" s="87"/>
      <c r="T456" s="87"/>
    </row>
    <row r="457" ht="13.5" customHeight="1">
      <c r="B457" s="85"/>
      <c r="P457" s="87"/>
      <c r="Q457" s="87"/>
      <c r="R457" s="87"/>
      <c r="S457" s="87"/>
      <c r="T457" s="87"/>
    </row>
    <row r="458" ht="13.5" customHeight="1">
      <c r="B458" s="85"/>
      <c r="P458" s="87"/>
      <c r="Q458" s="87"/>
      <c r="R458" s="87"/>
      <c r="S458" s="87"/>
      <c r="T458" s="87"/>
    </row>
    <row r="459" ht="13.5" customHeight="1">
      <c r="B459" s="85"/>
      <c r="P459" s="87"/>
      <c r="Q459" s="87"/>
      <c r="R459" s="87"/>
      <c r="S459" s="87"/>
      <c r="T459" s="87"/>
    </row>
    <row r="460" ht="13.5" customHeight="1">
      <c r="B460" s="85"/>
      <c r="P460" s="87"/>
      <c r="Q460" s="87"/>
      <c r="R460" s="87"/>
      <c r="S460" s="87"/>
      <c r="T460" s="87"/>
    </row>
    <row r="461" ht="13.5" customHeight="1">
      <c r="B461" s="85"/>
      <c r="P461" s="87"/>
      <c r="Q461" s="87"/>
      <c r="R461" s="87"/>
      <c r="S461" s="87"/>
      <c r="T461" s="87"/>
    </row>
    <row r="462" ht="13.5" customHeight="1">
      <c r="B462" s="85"/>
      <c r="P462" s="87"/>
      <c r="Q462" s="87"/>
      <c r="R462" s="87"/>
      <c r="S462" s="87"/>
      <c r="T462" s="87"/>
    </row>
    <row r="463" ht="13.5" customHeight="1">
      <c r="B463" s="85"/>
      <c r="P463" s="87"/>
      <c r="Q463" s="87"/>
      <c r="R463" s="87"/>
      <c r="S463" s="87"/>
      <c r="T463" s="87"/>
    </row>
    <row r="464" ht="13.5" customHeight="1">
      <c r="B464" s="85"/>
      <c r="P464" s="87"/>
      <c r="Q464" s="87"/>
      <c r="R464" s="87"/>
      <c r="S464" s="87"/>
      <c r="T464" s="87"/>
    </row>
    <row r="465" ht="13.5" customHeight="1">
      <c r="B465" s="85"/>
      <c r="P465" s="87"/>
      <c r="Q465" s="87"/>
      <c r="R465" s="87"/>
      <c r="S465" s="87"/>
      <c r="T465" s="87"/>
    </row>
    <row r="466" ht="13.5" customHeight="1">
      <c r="B466" s="85"/>
      <c r="P466" s="87"/>
      <c r="Q466" s="87"/>
      <c r="R466" s="87"/>
      <c r="S466" s="87"/>
      <c r="T466" s="87"/>
    </row>
    <row r="467" ht="13.5" customHeight="1">
      <c r="B467" s="85"/>
      <c r="P467" s="87"/>
      <c r="Q467" s="87"/>
      <c r="R467" s="87"/>
      <c r="S467" s="87"/>
      <c r="T467" s="87"/>
    </row>
    <row r="468" ht="13.5" customHeight="1">
      <c r="B468" s="85"/>
      <c r="P468" s="87"/>
      <c r="Q468" s="87"/>
      <c r="R468" s="87"/>
      <c r="S468" s="87"/>
      <c r="T468" s="87"/>
    </row>
    <row r="469" ht="13.5" customHeight="1">
      <c r="B469" s="85"/>
      <c r="P469" s="87"/>
      <c r="Q469" s="87"/>
      <c r="R469" s="87"/>
      <c r="S469" s="87"/>
      <c r="T469" s="87"/>
    </row>
    <row r="470" ht="13.5" customHeight="1">
      <c r="B470" s="85"/>
      <c r="P470" s="87"/>
      <c r="Q470" s="87"/>
      <c r="R470" s="87"/>
      <c r="S470" s="87"/>
      <c r="T470" s="87"/>
    </row>
    <row r="471" ht="13.5" customHeight="1">
      <c r="B471" s="85"/>
      <c r="P471" s="87"/>
      <c r="Q471" s="87"/>
      <c r="R471" s="87"/>
      <c r="S471" s="87"/>
      <c r="T471" s="87"/>
    </row>
    <row r="472" ht="13.5" customHeight="1">
      <c r="B472" s="85"/>
      <c r="P472" s="87"/>
      <c r="Q472" s="87"/>
      <c r="R472" s="87"/>
      <c r="S472" s="87"/>
      <c r="T472" s="87"/>
    </row>
    <row r="473" ht="13.5" customHeight="1">
      <c r="B473" s="85"/>
      <c r="P473" s="87"/>
      <c r="Q473" s="87"/>
      <c r="R473" s="87"/>
      <c r="S473" s="87"/>
      <c r="T473" s="87"/>
    </row>
    <row r="474" ht="13.5" customHeight="1">
      <c r="B474" s="85"/>
      <c r="P474" s="87"/>
      <c r="Q474" s="87"/>
      <c r="R474" s="87"/>
      <c r="S474" s="87"/>
      <c r="T474" s="87"/>
    </row>
    <row r="475" ht="13.5" customHeight="1">
      <c r="B475" s="85"/>
      <c r="P475" s="87"/>
      <c r="Q475" s="87"/>
      <c r="R475" s="87"/>
      <c r="S475" s="87"/>
      <c r="T475" s="87"/>
    </row>
    <row r="476" ht="13.5" customHeight="1">
      <c r="B476" s="85"/>
      <c r="P476" s="87"/>
      <c r="Q476" s="87"/>
      <c r="R476" s="87"/>
      <c r="S476" s="87"/>
      <c r="T476" s="87"/>
    </row>
    <row r="477" ht="13.5" customHeight="1">
      <c r="B477" s="85"/>
      <c r="P477" s="87"/>
      <c r="Q477" s="87"/>
      <c r="R477" s="87"/>
      <c r="S477" s="87"/>
      <c r="T477" s="87"/>
    </row>
    <row r="478" ht="13.5" customHeight="1">
      <c r="B478" s="85"/>
      <c r="P478" s="87"/>
      <c r="Q478" s="87"/>
      <c r="R478" s="87"/>
      <c r="S478" s="87"/>
      <c r="T478" s="87"/>
    </row>
    <row r="479" ht="13.5" customHeight="1">
      <c r="B479" s="85"/>
      <c r="P479" s="87"/>
      <c r="Q479" s="87"/>
      <c r="R479" s="87"/>
      <c r="S479" s="87"/>
      <c r="T479" s="87"/>
    </row>
    <row r="480" ht="13.5" customHeight="1">
      <c r="B480" s="85"/>
      <c r="P480" s="87"/>
      <c r="Q480" s="87"/>
      <c r="R480" s="87"/>
      <c r="S480" s="87"/>
      <c r="T480" s="87"/>
    </row>
    <row r="481" ht="13.5" customHeight="1">
      <c r="B481" s="85"/>
      <c r="P481" s="87"/>
      <c r="Q481" s="87"/>
      <c r="R481" s="87"/>
      <c r="S481" s="87"/>
      <c r="T481" s="87"/>
    </row>
    <row r="482" ht="13.5" customHeight="1">
      <c r="B482" s="85"/>
      <c r="P482" s="87"/>
      <c r="Q482" s="87"/>
      <c r="R482" s="87"/>
      <c r="S482" s="87"/>
      <c r="T482" s="87"/>
    </row>
    <row r="483" ht="13.5" customHeight="1">
      <c r="B483" s="85"/>
      <c r="P483" s="87"/>
      <c r="Q483" s="87"/>
      <c r="R483" s="87"/>
      <c r="S483" s="87"/>
      <c r="T483" s="87"/>
    </row>
    <row r="484" ht="13.5" customHeight="1">
      <c r="B484" s="85"/>
      <c r="P484" s="87"/>
      <c r="Q484" s="87"/>
      <c r="R484" s="87"/>
      <c r="S484" s="87"/>
      <c r="T484" s="87"/>
    </row>
    <row r="485" ht="13.5" customHeight="1">
      <c r="B485" s="85"/>
      <c r="P485" s="87"/>
      <c r="Q485" s="87"/>
      <c r="R485" s="87"/>
      <c r="S485" s="87"/>
      <c r="T485" s="87"/>
    </row>
    <row r="486" ht="13.5" customHeight="1">
      <c r="B486" s="85"/>
      <c r="P486" s="87"/>
      <c r="Q486" s="87"/>
      <c r="R486" s="87"/>
      <c r="S486" s="87"/>
      <c r="T486" s="87"/>
    </row>
    <row r="487" ht="13.5" customHeight="1">
      <c r="B487" s="85"/>
      <c r="P487" s="87"/>
      <c r="Q487" s="87"/>
      <c r="R487" s="87"/>
      <c r="S487" s="87"/>
      <c r="T487" s="87"/>
    </row>
    <row r="488" ht="13.5" customHeight="1">
      <c r="B488" s="85"/>
      <c r="P488" s="87"/>
      <c r="Q488" s="87"/>
      <c r="R488" s="87"/>
      <c r="S488" s="87"/>
      <c r="T488" s="87"/>
    </row>
    <row r="489" ht="13.5" customHeight="1">
      <c r="B489" s="85"/>
      <c r="P489" s="87"/>
      <c r="Q489" s="87"/>
      <c r="R489" s="87"/>
      <c r="S489" s="87"/>
      <c r="T489" s="87"/>
    </row>
    <row r="490" ht="13.5" customHeight="1">
      <c r="B490" s="85"/>
      <c r="P490" s="87"/>
      <c r="Q490" s="87"/>
      <c r="R490" s="87"/>
      <c r="S490" s="87"/>
      <c r="T490" s="87"/>
    </row>
    <row r="491" ht="13.5" customHeight="1">
      <c r="B491" s="85"/>
      <c r="P491" s="87"/>
      <c r="Q491" s="87"/>
      <c r="R491" s="87"/>
      <c r="S491" s="87"/>
      <c r="T491" s="87"/>
    </row>
    <row r="492" ht="13.5" customHeight="1">
      <c r="B492" s="85"/>
      <c r="P492" s="87"/>
      <c r="Q492" s="87"/>
      <c r="R492" s="87"/>
      <c r="S492" s="87"/>
      <c r="T492" s="87"/>
    </row>
    <row r="493" ht="13.5" customHeight="1">
      <c r="B493" s="85"/>
      <c r="P493" s="87"/>
      <c r="Q493" s="87"/>
      <c r="R493" s="87"/>
      <c r="S493" s="87"/>
      <c r="T493" s="87"/>
    </row>
    <row r="494" ht="13.5" customHeight="1">
      <c r="B494" s="85"/>
      <c r="P494" s="87"/>
      <c r="Q494" s="87"/>
      <c r="R494" s="87"/>
      <c r="S494" s="87"/>
      <c r="T494" s="87"/>
    </row>
    <row r="495" ht="13.5" customHeight="1">
      <c r="B495" s="85"/>
      <c r="P495" s="87"/>
      <c r="Q495" s="87"/>
      <c r="R495" s="87"/>
      <c r="S495" s="87"/>
      <c r="T495" s="87"/>
    </row>
    <row r="496" ht="13.5" customHeight="1">
      <c r="B496" s="85"/>
      <c r="P496" s="87"/>
      <c r="Q496" s="87"/>
      <c r="R496" s="87"/>
      <c r="S496" s="87"/>
      <c r="T496" s="87"/>
    </row>
    <row r="497" ht="13.5" customHeight="1">
      <c r="B497" s="85"/>
      <c r="P497" s="87"/>
      <c r="Q497" s="87"/>
      <c r="R497" s="87"/>
      <c r="S497" s="87"/>
      <c r="T497" s="87"/>
    </row>
    <row r="498" ht="13.5" customHeight="1">
      <c r="B498" s="85"/>
      <c r="P498" s="87"/>
      <c r="Q498" s="87"/>
      <c r="R498" s="87"/>
      <c r="S498" s="87"/>
      <c r="T498" s="87"/>
    </row>
    <row r="499" ht="13.5" customHeight="1">
      <c r="B499" s="85"/>
      <c r="P499" s="87"/>
      <c r="Q499" s="87"/>
      <c r="R499" s="87"/>
      <c r="S499" s="87"/>
      <c r="T499" s="87"/>
    </row>
    <row r="500" ht="13.5" customHeight="1">
      <c r="B500" s="85"/>
      <c r="P500" s="87"/>
      <c r="Q500" s="87"/>
      <c r="R500" s="87"/>
      <c r="S500" s="87"/>
      <c r="T500" s="87"/>
    </row>
    <row r="501" ht="13.5" customHeight="1">
      <c r="B501" s="85"/>
      <c r="P501" s="87"/>
      <c r="Q501" s="87"/>
      <c r="R501" s="87"/>
      <c r="S501" s="87"/>
      <c r="T501" s="87"/>
    </row>
    <row r="502" ht="13.5" customHeight="1">
      <c r="B502" s="85"/>
      <c r="P502" s="87"/>
      <c r="Q502" s="87"/>
      <c r="R502" s="87"/>
      <c r="S502" s="87"/>
      <c r="T502" s="87"/>
    </row>
    <row r="503" ht="13.5" customHeight="1">
      <c r="B503" s="85"/>
      <c r="P503" s="87"/>
      <c r="Q503" s="87"/>
      <c r="R503" s="87"/>
      <c r="S503" s="87"/>
      <c r="T503" s="87"/>
    </row>
    <row r="504" ht="13.5" customHeight="1">
      <c r="B504" s="85"/>
      <c r="P504" s="87"/>
      <c r="Q504" s="87"/>
      <c r="R504" s="87"/>
      <c r="S504" s="87"/>
      <c r="T504" s="87"/>
    </row>
    <row r="505" ht="13.5" customHeight="1">
      <c r="B505" s="85"/>
      <c r="P505" s="87"/>
      <c r="Q505" s="87"/>
      <c r="R505" s="87"/>
      <c r="S505" s="87"/>
      <c r="T505" s="87"/>
    </row>
    <row r="506" ht="13.5" customHeight="1">
      <c r="B506" s="85"/>
      <c r="P506" s="87"/>
      <c r="Q506" s="87"/>
      <c r="R506" s="87"/>
      <c r="S506" s="87"/>
      <c r="T506" s="87"/>
    </row>
    <row r="507" ht="13.5" customHeight="1">
      <c r="B507" s="85"/>
      <c r="P507" s="87"/>
      <c r="Q507" s="87"/>
      <c r="R507" s="87"/>
      <c r="S507" s="87"/>
      <c r="T507" s="87"/>
    </row>
    <row r="508" ht="13.5" customHeight="1">
      <c r="B508" s="85"/>
      <c r="P508" s="87"/>
      <c r="Q508" s="87"/>
      <c r="R508" s="87"/>
      <c r="S508" s="87"/>
      <c r="T508" s="87"/>
    </row>
    <row r="509" ht="13.5" customHeight="1">
      <c r="B509" s="85"/>
      <c r="P509" s="87"/>
      <c r="Q509" s="87"/>
      <c r="R509" s="87"/>
      <c r="S509" s="87"/>
      <c r="T509" s="87"/>
    </row>
    <row r="510" ht="13.5" customHeight="1">
      <c r="B510" s="85"/>
      <c r="P510" s="87"/>
      <c r="Q510" s="87"/>
      <c r="R510" s="87"/>
      <c r="S510" s="87"/>
      <c r="T510" s="87"/>
    </row>
    <row r="511" ht="13.5" customHeight="1">
      <c r="B511" s="85"/>
      <c r="P511" s="87"/>
      <c r="Q511" s="87"/>
      <c r="R511" s="87"/>
      <c r="S511" s="87"/>
      <c r="T511" s="87"/>
    </row>
    <row r="512" ht="13.5" customHeight="1">
      <c r="B512" s="85"/>
      <c r="P512" s="87"/>
      <c r="Q512" s="87"/>
      <c r="R512" s="87"/>
      <c r="S512" s="87"/>
      <c r="T512" s="87"/>
    </row>
    <row r="513" ht="13.5" customHeight="1">
      <c r="B513" s="85"/>
      <c r="P513" s="87"/>
      <c r="Q513" s="87"/>
      <c r="R513" s="87"/>
      <c r="S513" s="87"/>
      <c r="T513" s="87"/>
    </row>
    <row r="514" ht="13.5" customHeight="1">
      <c r="B514" s="85"/>
      <c r="P514" s="87"/>
      <c r="Q514" s="87"/>
      <c r="R514" s="87"/>
      <c r="S514" s="87"/>
      <c r="T514" s="87"/>
    </row>
    <row r="515" ht="13.5" customHeight="1">
      <c r="B515" s="85"/>
      <c r="P515" s="87"/>
      <c r="Q515" s="87"/>
      <c r="R515" s="87"/>
      <c r="S515" s="87"/>
      <c r="T515" s="87"/>
    </row>
    <row r="516" ht="13.5" customHeight="1">
      <c r="B516" s="85"/>
      <c r="P516" s="87"/>
      <c r="Q516" s="87"/>
      <c r="R516" s="87"/>
      <c r="S516" s="87"/>
      <c r="T516" s="87"/>
    </row>
    <row r="517" ht="13.5" customHeight="1">
      <c r="B517" s="85"/>
      <c r="P517" s="87"/>
      <c r="Q517" s="87"/>
      <c r="R517" s="87"/>
      <c r="S517" s="87"/>
      <c r="T517" s="87"/>
    </row>
    <row r="518" ht="13.5" customHeight="1">
      <c r="B518" s="85"/>
      <c r="P518" s="87"/>
      <c r="Q518" s="87"/>
      <c r="R518" s="87"/>
      <c r="S518" s="87"/>
      <c r="T518" s="87"/>
    </row>
    <row r="519" ht="13.5" customHeight="1">
      <c r="B519" s="85"/>
      <c r="P519" s="87"/>
      <c r="Q519" s="87"/>
      <c r="R519" s="87"/>
      <c r="S519" s="87"/>
      <c r="T519" s="87"/>
    </row>
    <row r="520" ht="13.5" customHeight="1">
      <c r="B520" s="85"/>
      <c r="P520" s="87"/>
      <c r="Q520" s="87"/>
      <c r="R520" s="87"/>
      <c r="S520" s="87"/>
      <c r="T520" s="87"/>
    </row>
    <row r="521" ht="13.5" customHeight="1">
      <c r="B521" s="85"/>
      <c r="P521" s="87"/>
      <c r="Q521" s="87"/>
      <c r="R521" s="87"/>
      <c r="S521" s="87"/>
      <c r="T521" s="87"/>
    </row>
    <row r="522" ht="13.5" customHeight="1">
      <c r="B522" s="85"/>
      <c r="P522" s="87"/>
      <c r="Q522" s="87"/>
      <c r="R522" s="87"/>
      <c r="S522" s="87"/>
      <c r="T522" s="87"/>
    </row>
    <row r="523" ht="13.5" customHeight="1">
      <c r="B523" s="85"/>
      <c r="P523" s="87"/>
      <c r="Q523" s="87"/>
      <c r="R523" s="87"/>
      <c r="S523" s="87"/>
      <c r="T523" s="87"/>
    </row>
    <row r="524" ht="13.5" customHeight="1">
      <c r="B524" s="85"/>
      <c r="P524" s="87"/>
      <c r="Q524" s="87"/>
      <c r="R524" s="87"/>
      <c r="S524" s="87"/>
      <c r="T524" s="87"/>
    </row>
    <row r="525" ht="13.5" customHeight="1">
      <c r="B525" s="85"/>
      <c r="P525" s="87"/>
      <c r="Q525" s="87"/>
      <c r="R525" s="87"/>
      <c r="S525" s="87"/>
      <c r="T525" s="87"/>
    </row>
    <row r="526" ht="13.5" customHeight="1">
      <c r="B526" s="85"/>
      <c r="P526" s="87"/>
      <c r="Q526" s="87"/>
      <c r="R526" s="87"/>
      <c r="S526" s="87"/>
      <c r="T526" s="87"/>
    </row>
    <row r="527" ht="13.5" customHeight="1">
      <c r="B527" s="85"/>
      <c r="P527" s="87"/>
      <c r="Q527" s="87"/>
      <c r="R527" s="87"/>
      <c r="S527" s="87"/>
      <c r="T527" s="87"/>
    </row>
    <row r="528" ht="13.5" customHeight="1">
      <c r="B528" s="85"/>
      <c r="P528" s="87"/>
      <c r="Q528" s="87"/>
      <c r="R528" s="87"/>
      <c r="S528" s="87"/>
      <c r="T528" s="87"/>
    </row>
    <row r="529" ht="13.5" customHeight="1">
      <c r="B529" s="85"/>
      <c r="P529" s="87"/>
      <c r="Q529" s="87"/>
      <c r="R529" s="87"/>
      <c r="S529" s="87"/>
      <c r="T529" s="87"/>
    </row>
    <row r="530" ht="13.5" customHeight="1">
      <c r="B530" s="85"/>
      <c r="P530" s="87"/>
      <c r="Q530" s="87"/>
      <c r="R530" s="87"/>
      <c r="S530" s="87"/>
      <c r="T530" s="87"/>
    </row>
    <row r="531" ht="13.5" customHeight="1">
      <c r="B531" s="85"/>
      <c r="P531" s="87"/>
      <c r="Q531" s="87"/>
      <c r="R531" s="87"/>
      <c r="S531" s="87"/>
      <c r="T531" s="87"/>
    </row>
    <row r="532" ht="13.5" customHeight="1">
      <c r="B532" s="85"/>
      <c r="P532" s="87"/>
      <c r="Q532" s="87"/>
      <c r="R532" s="87"/>
      <c r="S532" s="87"/>
      <c r="T532" s="87"/>
    </row>
    <row r="533" ht="13.5" customHeight="1">
      <c r="B533" s="85"/>
      <c r="P533" s="87"/>
      <c r="Q533" s="87"/>
      <c r="R533" s="87"/>
      <c r="S533" s="87"/>
      <c r="T533" s="87"/>
    </row>
    <row r="534" ht="13.5" customHeight="1">
      <c r="B534" s="85"/>
      <c r="P534" s="87"/>
      <c r="Q534" s="87"/>
      <c r="R534" s="87"/>
      <c r="S534" s="87"/>
      <c r="T534" s="87"/>
    </row>
    <row r="535" ht="13.5" customHeight="1">
      <c r="B535" s="85"/>
      <c r="P535" s="87"/>
      <c r="Q535" s="87"/>
      <c r="R535" s="87"/>
      <c r="S535" s="87"/>
      <c r="T535" s="87"/>
    </row>
    <row r="536" ht="13.5" customHeight="1">
      <c r="B536" s="85"/>
      <c r="P536" s="87"/>
      <c r="Q536" s="87"/>
      <c r="R536" s="87"/>
      <c r="S536" s="87"/>
      <c r="T536" s="87"/>
    </row>
    <row r="537" ht="13.5" customHeight="1">
      <c r="B537" s="85"/>
      <c r="P537" s="87"/>
      <c r="Q537" s="87"/>
      <c r="R537" s="87"/>
      <c r="S537" s="87"/>
      <c r="T537" s="87"/>
    </row>
    <row r="538" ht="13.5" customHeight="1">
      <c r="B538" s="85"/>
      <c r="P538" s="87"/>
      <c r="Q538" s="87"/>
      <c r="R538" s="87"/>
      <c r="S538" s="87"/>
      <c r="T538" s="87"/>
    </row>
    <row r="539" ht="13.5" customHeight="1">
      <c r="B539" s="85"/>
      <c r="P539" s="87"/>
      <c r="Q539" s="87"/>
      <c r="R539" s="87"/>
      <c r="S539" s="87"/>
      <c r="T539" s="87"/>
    </row>
    <row r="540" ht="13.5" customHeight="1">
      <c r="B540" s="85"/>
      <c r="P540" s="87"/>
      <c r="Q540" s="87"/>
      <c r="R540" s="87"/>
      <c r="S540" s="87"/>
      <c r="T540" s="87"/>
    </row>
    <row r="541" ht="13.5" customHeight="1">
      <c r="B541" s="85"/>
      <c r="P541" s="87"/>
      <c r="Q541" s="87"/>
      <c r="R541" s="87"/>
      <c r="S541" s="87"/>
      <c r="T541" s="87"/>
    </row>
    <row r="542" ht="13.5" customHeight="1">
      <c r="B542" s="85"/>
      <c r="P542" s="87"/>
      <c r="Q542" s="87"/>
      <c r="R542" s="87"/>
      <c r="S542" s="87"/>
      <c r="T542" s="87"/>
    </row>
    <row r="543" ht="13.5" customHeight="1">
      <c r="B543" s="85"/>
      <c r="P543" s="87"/>
      <c r="Q543" s="87"/>
      <c r="R543" s="87"/>
      <c r="S543" s="87"/>
      <c r="T543" s="87"/>
    </row>
    <row r="544" ht="13.5" customHeight="1">
      <c r="B544" s="85"/>
      <c r="P544" s="87"/>
      <c r="Q544" s="87"/>
      <c r="R544" s="87"/>
      <c r="S544" s="87"/>
      <c r="T544" s="87"/>
    </row>
    <row r="545" ht="13.5" customHeight="1">
      <c r="B545" s="85"/>
      <c r="P545" s="87"/>
      <c r="Q545" s="87"/>
      <c r="R545" s="87"/>
      <c r="S545" s="87"/>
      <c r="T545" s="87"/>
    </row>
    <row r="546" ht="13.5" customHeight="1">
      <c r="B546" s="85"/>
      <c r="P546" s="87"/>
      <c r="Q546" s="87"/>
      <c r="R546" s="87"/>
      <c r="S546" s="87"/>
      <c r="T546" s="87"/>
    </row>
    <row r="547" ht="13.5" customHeight="1">
      <c r="B547" s="85"/>
      <c r="P547" s="87"/>
      <c r="Q547" s="87"/>
      <c r="R547" s="87"/>
      <c r="S547" s="87"/>
      <c r="T547" s="87"/>
    </row>
    <row r="548" ht="13.5" customHeight="1">
      <c r="B548" s="85"/>
      <c r="P548" s="87"/>
      <c r="Q548" s="87"/>
      <c r="R548" s="87"/>
      <c r="S548" s="87"/>
      <c r="T548" s="87"/>
    </row>
    <row r="549" ht="13.5" customHeight="1">
      <c r="B549" s="85"/>
      <c r="P549" s="87"/>
      <c r="Q549" s="87"/>
      <c r="R549" s="87"/>
      <c r="S549" s="87"/>
      <c r="T549" s="87"/>
    </row>
    <row r="550" ht="13.5" customHeight="1">
      <c r="B550" s="85"/>
      <c r="P550" s="87"/>
      <c r="Q550" s="87"/>
      <c r="R550" s="87"/>
      <c r="S550" s="87"/>
      <c r="T550" s="87"/>
    </row>
    <row r="551" ht="13.5" customHeight="1">
      <c r="B551" s="85"/>
      <c r="P551" s="87"/>
      <c r="Q551" s="87"/>
      <c r="R551" s="87"/>
      <c r="S551" s="87"/>
      <c r="T551" s="87"/>
    </row>
    <row r="552" ht="13.5" customHeight="1">
      <c r="B552" s="85"/>
      <c r="P552" s="87"/>
      <c r="Q552" s="87"/>
      <c r="R552" s="87"/>
      <c r="S552" s="87"/>
      <c r="T552" s="87"/>
    </row>
    <row r="553" ht="13.5" customHeight="1">
      <c r="B553" s="85"/>
      <c r="P553" s="87"/>
      <c r="Q553" s="87"/>
      <c r="R553" s="87"/>
      <c r="S553" s="87"/>
      <c r="T553" s="87"/>
    </row>
    <row r="554" ht="13.5" customHeight="1">
      <c r="B554" s="85"/>
      <c r="P554" s="87"/>
      <c r="Q554" s="87"/>
      <c r="R554" s="87"/>
      <c r="S554" s="87"/>
      <c r="T554" s="87"/>
    </row>
    <row r="555" ht="13.5" customHeight="1">
      <c r="B555" s="85"/>
      <c r="P555" s="87"/>
      <c r="Q555" s="87"/>
      <c r="R555" s="87"/>
      <c r="S555" s="87"/>
      <c r="T555" s="87"/>
    </row>
    <row r="556" ht="13.5" customHeight="1">
      <c r="B556" s="85"/>
      <c r="P556" s="87"/>
      <c r="Q556" s="87"/>
      <c r="R556" s="87"/>
      <c r="S556" s="87"/>
      <c r="T556" s="87"/>
    </row>
    <row r="557" ht="13.5" customHeight="1">
      <c r="B557" s="85"/>
      <c r="P557" s="87"/>
      <c r="Q557" s="87"/>
      <c r="R557" s="87"/>
      <c r="S557" s="87"/>
      <c r="T557" s="87"/>
    </row>
    <row r="558" ht="13.5" customHeight="1">
      <c r="B558" s="85"/>
      <c r="P558" s="87"/>
      <c r="Q558" s="87"/>
      <c r="R558" s="87"/>
      <c r="S558" s="87"/>
      <c r="T558" s="87"/>
    </row>
    <row r="559" ht="13.5" customHeight="1">
      <c r="B559" s="85"/>
      <c r="P559" s="87"/>
      <c r="Q559" s="87"/>
      <c r="R559" s="87"/>
      <c r="S559" s="87"/>
      <c r="T559" s="87"/>
    </row>
    <row r="560" ht="13.5" customHeight="1">
      <c r="B560" s="85"/>
      <c r="P560" s="87"/>
      <c r="Q560" s="87"/>
      <c r="R560" s="87"/>
      <c r="S560" s="87"/>
      <c r="T560" s="87"/>
    </row>
    <row r="561" ht="13.5" customHeight="1">
      <c r="B561" s="85"/>
      <c r="P561" s="87"/>
      <c r="Q561" s="87"/>
      <c r="R561" s="87"/>
      <c r="S561" s="87"/>
      <c r="T561" s="87"/>
    </row>
    <row r="562" ht="13.5" customHeight="1">
      <c r="B562" s="85"/>
      <c r="P562" s="87"/>
      <c r="Q562" s="87"/>
      <c r="R562" s="87"/>
      <c r="S562" s="87"/>
      <c r="T562" s="87"/>
    </row>
    <row r="563" ht="13.5" customHeight="1">
      <c r="B563" s="85"/>
      <c r="P563" s="87"/>
      <c r="Q563" s="87"/>
      <c r="R563" s="87"/>
      <c r="S563" s="87"/>
      <c r="T563" s="87"/>
    </row>
    <row r="564" ht="13.5" customHeight="1">
      <c r="B564" s="85"/>
      <c r="P564" s="87"/>
      <c r="Q564" s="87"/>
      <c r="R564" s="87"/>
      <c r="S564" s="87"/>
      <c r="T564" s="87"/>
    </row>
    <row r="565" ht="13.5" customHeight="1">
      <c r="B565" s="85"/>
      <c r="P565" s="87"/>
      <c r="Q565" s="87"/>
      <c r="R565" s="87"/>
      <c r="S565" s="87"/>
      <c r="T565" s="87"/>
    </row>
    <row r="566" ht="13.5" customHeight="1">
      <c r="B566" s="85"/>
      <c r="P566" s="87"/>
      <c r="Q566" s="87"/>
      <c r="R566" s="87"/>
      <c r="S566" s="87"/>
      <c r="T566" s="87"/>
    </row>
    <row r="567" ht="13.5" customHeight="1">
      <c r="B567" s="85"/>
      <c r="P567" s="87"/>
      <c r="Q567" s="87"/>
      <c r="R567" s="87"/>
      <c r="S567" s="87"/>
      <c r="T567" s="87"/>
    </row>
    <row r="568" ht="13.5" customHeight="1">
      <c r="B568" s="85"/>
      <c r="P568" s="87"/>
      <c r="Q568" s="87"/>
      <c r="R568" s="87"/>
      <c r="S568" s="87"/>
      <c r="T568" s="87"/>
    </row>
    <row r="569" ht="13.5" customHeight="1">
      <c r="B569" s="85"/>
      <c r="P569" s="87"/>
      <c r="Q569" s="87"/>
      <c r="R569" s="87"/>
      <c r="S569" s="87"/>
      <c r="T569" s="87"/>
    </row>
    <row r="570" ht="13.5" customHeight="1">
      <c r="B570" s="85"/>
      <c r="P570" s="87"/>
      <c r="Q570" s="87"/>
      <c r="R570" s="87"/>
      <c r="S570" s="87"/>
      <c r="T570" s="87"/>
    </row>
    <row r="571" ht="13.5" customHeight="1">
      <c r="B571" s="85"/>
      <c r="P571" s="87"/>
      <c r="Q571" s="87"/>
      <c r="R571" s="87"/>
      <c r="S571" s="87"/>
      <c r="T571" s="87"/>
    </row>
    <row r="572" ht="13.5" customHeight="1">
      <c r="B572" s="85"/>
      <c r="P572" s="87"/>
      <c r="Q572" s="87"/>
      <c r="R572" s="87"/>
      <c r="S572" s="87"/>
      <c r="T572" s="87"/>
    </row>
    <row r="573" ht="13.5" customHeight="1">
      <c r="B573" s="85"/>
      <c r="P573" s="87"/>
      <c r="Q573" s="87"/>
      <c r="R573" s="87"/>
      <c r="S573" s="87"/>
      <c r="T573" s="87"/>
    </row>
    <row r="574" ht="13.5" customHeight="1">
      <c r="B574" s="85"/>
      <c r="P574" s="87"/>
      <c r="Q574" s="87"/>
      <c r="R574" s="87"/>
      <c r="S574" s="87"/>
      <c r="T574" s="87"/>
    </row>
    <row r="575" ht="13.5" customHeight="1">
      <c r="B575" s="85"/>
      <c r="P575" s="87"/>
      <c r="Q575" s="87"/>
      <c r="R575" s="87"/>
      <c r="S575" s="87"/>
      <c r="T575" s="87"/>
    </row>
    <row r="576" ht="13.5" customHeight="1">
      <c r="B576" s="85"/>
      <c r="P576" s="87"/>
      <c r="Q576" s="87"/>
      <c r="R576" s="87"/>
      <c r="S576" s="87"/>
      <c r="T576" s="87"/>
    </row>
    <row r="577" ht="13.5" customHeight="1">
      <c r="B577" s="85"/>
      <c r="P577" s="87"/>
      <c r="Q577" s="87"/>
      <c r="R577" s="87"/>
      <c r="S577" s="87"/>
      <c r="T577" s="87"/>
    </row>
    <row r="578" ht="13.5" customHeight="1">
      <c r="B578" s="85"/>
      <c r="P578" s="87"/>
      <c r="Q578" s="87"/>
      <c r="R578" s="87"/>
      <c r="S578" s="87"/>
      <c r="T578" s="87"/>
    </row>
    <row r="579" ht="13.5" customHeight="1">
      <c r="B579" s="85"/>
      <c r="P579" s="87"/>
      <c r="Q579" s="87"/>
      <c r="R579" s="87"/>
      <c r="S579" s="87"/>
      <c r="T579" s="87"/>
    </row>
    <row r="580" ht="13.5" customHeight="1">
      <c r="B580" s="85"/>
      <c r="P580" s="87"/>
      <c r="Q580" s="87"/>
      <c r="R580" s="87"/>
      <c r="S580" s="87"/>
      <c r="T580" s="87"/>
    </row>
    <row r="581" ht="13.5" customHeight="1">
      <c r="B581" s="85"/>
      <c r="P581" s="87"/>
      <c r="Q581" s="87"/>
      <c r="R581" s="87"/>
      <c r="S581" s="87"/>
      <c r="T581" s="87"/>
    </row>
    <row r="582" ht="13.5" customHeight="1">
      <c r="B582" s="85"/>
      <c r="P582" s="87"/>
      <c r="Q582" s="87"/>
      <c r="R582" s="87"/>
      <c r="S582" s="87"/>
      <c r="T582" s="87"/>
    </row>
    <row r="583" ht="13.5" customHeight="1">
      <c r="B583" s="85"/>
      <c r="P583" s="87"/>
      <c r="Q583" s="87"/>
      <c r="R583" s="87"/>
      <c r="S583" s="87"/>
      <c r="T583" s="87"/>
    </row>
    <row r="584" ht="13.5" customHeight="1">
      <c r="B584" s="85"/>
      <c r="P584" s="87"/>
      <c r="Q584" s="87"/>
      <c r="R584" s="87"/>
      <c r="S584" s="87"/>
      <c r="T584" s="87"/>
    </row>
    <row r="585" ht="13.5" customHeight="1">
      <c r="B585" s="85"/>
      <c r="P585" s="87"/>
      <c r="Q585" s="87"/>
      <c r="R585" s="87"/>
      <c r="S585" s="87"/>
      <c r="T585" s="87"/>
    </row>
    <row r="586" ht="13.5" customHeight="1">
      <c r="B586" s="85"/>
      <c r="P586" s="87"/>
      <c r="Q586" s="87"/>
      <c r="R586" s="87"/>
      <c r="S586" s="87"/>
      <c r="T586" s="87"/>
    </row>
    <row r="587" ht="13.5" customHeight="1">
      <c r="B587" s="85"/>
      <c r="P587" s="87"/>
      <c r="Q587" s="87"/>
      <c r="R587" s="87"/>
      <c r="S587" s="87"/>
      <c r="T587" s="87"/>
    </row>
    <row r="588" ht="13.5" customHeight="1">
      <c r="B588" s="85"/>
      <c r="P588" s="87"/>
      <c r="Q588" s="87"/>
      <c r="R588" s="87"/>
      <c r="S588" s="87"/>
      <c r="T588" s="87"/>
    </row>
    <row r="589" ht="13.5" customHeight="1">
      <c r="B589" s="85"/>
      <c r="P589" s="87"/>
      <c r="Q589" s="87"/>
      <c r="R589" s="87"/>
      <c r="S589" s="87"/>
      <c r="T589" s="87"/>
    </row>
    <row r="590" ht="13.5" customHeight="1">
      <c r="B590" s="85"/>
      <c r="P590" s="87"/>
      <c r="Q590" s="87"/>
      <c r="R590" s="87"/>
      <c r="S590" s="87"/>
      <c r="T590" s="87"/>
    </row>
    <row r="591" ht="13.5" customHeight="1">
      <c r="B591" s="85"/>
      <c r="P591" s="87"/>
      <c r="Q591" s="87"/>
      <c r="R591" s="87"/>
      <c r="S591" s="87"/>
      <c r="T591" s="87"/>
    </row>
    <row r="592" ht="13.5" customHeight="1">
      <c r="B592" s="85"/>
      <c r="P592" s="87"/>
      <c r="Q592" s="87"/>
      <c r="R592" s="87"/>
      <c r="S592" s="87"/>
      <c r="T592" s="87"/>
    </row>
    <row r="593" ht="13.5" customHeight="1">
      <c r="B593" s="85"/>
      <c r="P593" s="87"/>
      <c r="Q593" s="87"/>
      <c r="R593" s="87"/>
      <c r="S593" s="87"/>
      <c r="T593" s="87"/>
    </row>
    <row r="594" ht="13.5" customHeight="1">
      <c r="B594" s="85"/>
      <c r="P594" s="87"/>
      <c r="Q594" s="87"/>
      <c r="R594" s="87"/>
      <c r="S594" s="87"/>
      <c r="T594" s="87"/>
    </row>
    <row r="595" ht="13.5" customHeight="1">
      <c r="B595" s="85"/>
      <c r="P595" s="87"/>
      <c r="Q595" s="87"/>
      <c r="R595" s="87"/>
      <c r="S595" s="87"/>
      <c r="T595" s="87"/>
    </row>
    <row r="596" ht="13.5" customHeight="1">
      <c r="B596" s="85"/>
      <c r="P596" s="87"/>
      <c r="Q596" s="87"/>
      <c r="R596" s="87"/>
      <c r="S596" s="87"/>
      <c r="T596" s="87"/>
    </row>
    <row r="597" ht="13.5" customHeight="1">
      <c r="B597" s="85"/>
      <c r="P597" s="87"/>
      <c r="Q597" s="87"/>
      <c r="R597" s="87"/>
      <c r="S597" s="87"/>
      <c r="T597" s="87"/>
    </row>
    <row r="598" ht="13.5" customHeight="1">
      <c r="B598" s="85"/>
      <c r="P598" s="87"/>
      <c r="Q598" s="87"/>
      <c r="R598" s="87"/>
      <c r="S598" s="87"/>
      <c r="T598" s="87"/>
    </row>
    <row r="599" ht="13.5" customHeight="1">
      <c r="B599" s="85"/>
      <c r="P599" s="87"/>
      <c r="Q599" s="87"/>
      <c r="R599" s="87"/>
      <c r="S599" s="87"/>
      <c r="T599" s="87"/>
    </row>
    <row r="600" ht="13.5" customHeight="1">
      <c r="B600" s="85"/>
      <c r="P600" s="87"/>
      <c r="Q600" s="87"/>
      <c r="R600" s="87"/>
      <c r="S600" s="87"/>
      <c r="T600" s="87"/>
    </row>
    <row r="601" ht="13.5" customHeight="1">
      <c r="B601" s="85"/>
      <c r="P601" s="87"/>
      <c r="Q601" s="87"/>
      <c r="R601" s="87"/>
      <c r="S601" s="87"/>
      <c r="T601" s="87"/>
    </row>
    <row r="602" ht="13.5" customHeight="1">
      <c r="B602" s="85"/>
      <c r="P602" s="87"/>
      <c r="Q602" s="87"/>
      <c r="R602" s="87"/>
      <c r="S602" s="87"/>
      <c r="T602" s="87"/>
    </row>
    <row r="603" ht="13.5" customHeight="1">
      <c r="B603" s="85"/>
      <c r="P603" s="87"/>
      <c r="Q603" s="87"/>
      <c r="R603" s="87"/>
      <c r="S603" s="87"/>
      <c r="T603" s="87"/>
    </row>
    <row r="604" ht="13.5" customHeight="1">
      <c r="B604" s="85"/>
      <c r="P604" s="87"/>
      <c r="Q604" s="87"/>
      <c r="R604" s="87"/>
      <c r="S604" s="87"/>
      <c r="T604" s="87"/>
    </row>
    <row r="605" ht="13.5" customHeight="1">
      <c r="B605" s="85"/>
      <c r="P605" s="87"/>
      <c r="Q605" s="87"/>
      <c r="R605" s="87"/>
      <c r="S605" s="87"/>
      <c r="T605" s="87"/>
    </row>
    <row r="606" ht="13.5" customHeight="1">
      <c r="B606" s="85"/>
      <c r="P606" s="87"/>
      <c r="Q606" s="87"/>
      <c r="R606" s="87"/>
      <c r="S606" s="87"/>
      <c r="T606" s="87"/>
    </row>
    <row r="607" ht="13.5" customHeight="1">
      <c r="B607" s="85"/>
      <c r="P607" s="87"/>
      <c r="Q607" s="87"/>
      <c r="R607" s="87"/>
      <c r="S607" s="87"/>
      <c r="T607" s="87"/>
    </row>
    <row r="608" ht="13.5" customHeight="1">
      <c r="B608" s="85"/>
      <c r="P608" s="87"/>
      <c r="Q608" s="87"/>
      <c r="R608" s="87"/>
      <c r="S608" s="87"/>
      <c r="T608" s="87"/>
    </row>
    <row r="609" ht="13.5" customHeight="1">
      <c r="B609" s="85"/>
      <c r="P609" s="87"/>
      <c r="Q609" s="87"/>
      <c r="R609" s="87"/>
      <c r="S609" s="87"/>
      <c r="T609" s="87"/>
    </row>
    <row r="610" ht="13.5" customHeight="1">
      <c r="B610" s="85"/>
      <c r="P610" s="87"/>
      <c r="Q610" s="87"/>
      <c r="R610" s="87"/>
      <c r="S610" s="87"/>
      <c r="T610" s="87"/>
    </row>
    <row r="611" ht="13.5" customHeight="1">
      <c r="B611" s="85"/>
      <c r="P611" s="87"/>
      <c r="Q611" s="87"/>
      <c r="R611" s="87"/>
      <c r="S611" s="87"/>
      <c r="T611" s="87"/>
    </row>
    <row r="612" ht="13.5" customHeight="1">
      <c r="B612" s="85"/>
      <c r="P612" s="87"/>
      <c r="Q612" s="87"/>
      <c r="R612" s="87"/>
      <c r="S612" s="87"/>
      <c r="T612" s="87"/>
    </row>
    <row r="613" ht="13.5" customHeight="1">
      <c r="B613" s="85"/>
      <c r="P613" s="87"/>
      <c r="Q613" s="87"/>
      <c r="R613" s="87"/>
      <c r="S613" s="87"/>
      <c r="T613" s="87"/>
    </row>
    <row r="614" ht="13.5" customHeight="1">
      <c r="B614" s="85"/>
      <c r="P614" s="87"/>
      <c r="Q614" s="87"/>
      <c r="R614" s="87"/>
      <c r="S614" s="87"/>
      <c r="T614" s="87"/>
    </row>
    <row r="615" ht="13.5" customHeight="1">
      <c r="B615" s="85"/>
      <c r="P615" s="87"/>
      <c r="Q615" s="87"/>
      <c r="R615" s="87"/>
      <c r="S615" s="87"/>
      <c r="T615" s="87"/>
    </row>
    <row r="616" ht="13.5" customHeight="1">
      <c r="B616" s="85"/>
      <c r="P616" s="87"/>
      <c r="Q616" s="87"/>
      <c r="R616" s="87"/>
      <c r="S616" s="87"/>
      <c r="T616" s="87"/>
    </row>
    <row r="617" ht="13.5" customHeight="1">
      <c r="B617" s="85"/>
      <c r="P617" s="87"/>
      <c r="Q617" s="87"/>
      <c r="R617" s="87"/>
      <c r="S617" s="87"/>
      <c r="T617" s="87"/>
    </row>
    <row r="618" ht="13.5" customHeight="1">
      <c r="B618" s="85"/>
      <c r="P618" s="87"/>
      <c r="Q618" s="87"/>
      <c r="R618" s="87"/>
      <c r="S618" s="87"/>
      <c r="T618" s="87"/>
    </row>
    <row r="619" ht="13.5" customHeight="1">
      <c r="B619" s="85"/>
      <c r="P619" s="87"/>
      <c r="Q619" s="87"/>
      <c r="R619" s="87"/>
      <c r="S619" s="87"/>
      <c r="T619" s="87"/>
    </row>
    <row r="620" ht="13.5" customHeight="1">
      <c r="B620" s="85"/>
      <c r="P620" s="87"/>
      <c r="Q620" s="87"/>
      <c r="R620" s="87"/>
      <c r="S620" s="87"/>
      <c r="T620" s="87"/>
    </row>
    <row r="621" ht="13.5" customHeight="1">
      <c r="B621" s="85"/>
      <c r="P621" s="87"/>
      <c r="Q621" s="87"/>
      <c r="R621" s="87"/>
      <c r="S621" s="87"/>
      <c r="T621" s="87"/>
    </row>
    <row r="622" ht="13.5" customHeight="1">
      <c r="B622" s="85"/>
      <c r="P622" s="87"/>
      <c r="Q622" s="87"/>
      <c r="R622" s="87"/>
      <c r="S622" s="87"/>
      <c r="T622" s="87"/>
    </row>
    <row r="623" ht="13.5" customHeight="1">
      <c r="B623" s="85"/>
      <c r="P623" s="87"/>
      <c r="Q623" s="87"/>
      <c r="R623" s="87"/>
      <c r="S623" s="87"/>
      <c r="T623" s="87"/>
    </row>
    <row r="624" ht="13.5" customHeight="1">
      <c r="B624" s="85"/>
      <c r="P624" s="87"/>
      <c r="Q624" s="87"/>
      <c r="R624" s="87"/>
      <c r="S624" s="87"/>
      <c r="T624" s="87"/>
    </row>
    <row r="625" ht="13.5" customHeight="1">
      <c r="B625" s="85"/>
      <c r="P625" s="87"/>
      <c r="Q625" s="87"/>
      <c r="R625" s="87"/>
      <c r="S625" s="87"/>
      <c r="T625" s="87"/>
    </row>
    <row r="626" ht="13.5" customHeight="1">
      <c r="B626" s="85"/>
      <c r="P626" s="87"/>
      <c r="Q626" s="87"/>
      <c r="R626" s="87"/>
      <c r="S626" s="87"/>
      <c r="T626" s="87"/>
    </row>
    <row r="627" ht="13.5" customHeight="1">
      <c r="B627" s="85"/>
      <c r="P627" s="87"/>
      <c r="Q627" s="87"/>
      <c r="R627" s="87"/>
      <c r="S627" s="87"/>
      <c r="T627" s="87"/>
    </row>
    <row r="628" ht="13.5" customHeight="1">
      <c r="B628" s="85"/>
      <c r="P628" s="87"/>
      <c r="Q628" s="87"/>
      <c r="R628" s="87"/>
      <c r="S628" s="87"/>
      <c r="T628" s="87"/>
    </row>
    <row r="629" ht="13.5" customHeight="1">
      <c r="B629" s="85"/>
      <c r="P629" s="87"/>
      <c r="Q629" s="87"/>
      <c r="R629" s="87"/>
      <c r="S629" s="87"/>
      <c r="T629" s="87"/>
    </row>
    <row r="630" ht="13.5" customHeight="1">
      <c r="B630" s="85"/>
      <c r="P630" s="87"/>
      <c r="Q630" s="87"/>
      <c r="R630" s="87"/>
      <c r="S630" s="87"/>
      <c r="T630" s="87"/>
    </row>
    <row r="631" ht="13.5" customHeight="1">
      <c r="B631" s="85"/>
      <c r="P631" s="87"/>
      <c r="Q631" s="87"/>
      <c r="R631" s="87"/>
      <c r="S631" s="87"/>
      <c r="T631" s="87"/>
    </row>
    <row r="632" ht="13.5" customHeight="1">
      <c r="B632" s="85"/>
      <c r="P632" s="87"/>
      <c r="Q632" s="87"/>
      <c r="R632" s="87"/>
      <c r="S632" s="87"/>
      <c r="T632" s="87"/>
    </row>
    <row r="633" ht="13.5" customHeight="1">
      <c r="B633" s="85"/>
      <c r="P633" s="87"/>
      <c r="Q633" s="87"/>
      <c r="R633" s="87"/>
      <c r="S633" s="87"/>
      <c r="T633" s="87"/>
    </row>
    <row r="634" ht="13.5" customHeight="1">
      <c r="B634" s="85"/>
      <c r="P634" s="87"/>
      <c r="Q634" s="87"/>
      <c r="R634" s="87"/>
      <c r="S634" s="87"/>
      <c r="T634" s="87"/>
    </row>
    <row r="635" ht="13.5" customHeight="1">
      <c r="B635" s="85"/>
      <c r="P635" s="87"/>
      <c r="Q635" s="87"/>
      <c r="R635" s="87"/>
      <c r="S635" s="87"/>
      <c r="T635" s="87"/>
    </row>
    <row r="636" ht="13.5" customHeight="1">
      <c r="B636" s="85"/>
      <c r="P636" s="87"/>
      <c r="Q636" s="87"/>
      <c r="R636" s="87"/>
      <c r="S636" s="87"/>
      <c r="T636" s="87"/>
    </row>
    <row r="637" ht="13.5" customHeight="1">
      <c r="B637" s="85"/>
      <c r="P637" s="87"/>
      <c r="Q637" s="87"/>
      <c r="R637" s="87"/>
      <c r="S637" s="87"/>
      <c r="T637" s="87"/>
    </row>
    <row r="638" ht="13.5" customHeight="1">
      <c r="B638" s="85"/>
      <c r="P638" s="87"/>
      <c r="Q638" s="87"/>
      <c r="R638" s="87"/>
      <c r="S638" s="87"/>
      <c r="T638" s="87"/>
    </row>
    <row r="639" ht="13.5" customHeight="1">
      <c r="B639" s="85"/>
      <c r="P639" s="87"/>
      <c r="Q639" s="87"/>
      <c r="R639" s="87"/>
      <c r="S639" s="87"/>
      <c r="T639" s="87"/>
    </row>
    <row r="640" ht="13.5" customHeight="1">
      <c r="B640" s="85"/>
      <c r="P640" s="87"/>
      <c r="Q640" s="87"/>
      <c r="R640" s="87"/>
      <c r="S640" s="87"/>
      <c r="T640" s="87"/>
    </row>
    <row r="641" ht="13.5" customHeight="1">
      <c r="B641" s="85"/>
      <c r="P641" s="87"/>
      <c r="Q641" s="87"/>
      <c r="R641" s="87"/>
      <c r="S641" s="87"/>
      <c r="T641" s="87"/>
    </row>
    <row r="642" ht="13.5" customHeight="1">
      <c r="B642" s="85"/>
      <c r="P642" s="87"/>
      <c r="Q642" s="87"/>
      <c r="R642" s="87"/>
      <c r="S642" s="87"/>
      <c r="T642" s="87"/>
    </row>
    <row r="643" ht="13.5" customHeight="1">
      <c r="B643" s="85"/>
      <c r="P643" s="87"/>
      <c r="Q643" s="87"/>
      <c r="R643" s="87"/>
      <c r="S643" s="87"/>
      <c r="T643" s="87"/>
    </row>
    <row r="644" ht="13.5" customHeight="1">
      <c r="B644" s="85"/>
      <c r="P644" s="87"/>
      <c r="Q644" s="87"/>
      <c r="R644" s="87"/>
      <c r="S644" s="87"/>
      <c r="T644" s="87"/>
    </row>
    <row r="645" ht="13.5" customHeight="1">
      <c r="B645" s="85"/>
      <c r="P645" s="87"/>
      <c r="Q645" s="87"/>
      <c r="R645" s="87"/>
      <c r="S645" s="87"/>
      <c r="T645" s="87"/>
    </row>
    <row r="646" ht="13.5" customHeight="1">
      <c r="B646" s="85"/>
      <c r="P646" s="87"/>
      <c r="Q646" s="87"/>
      <c r="R646" s="87"/>
      <c r="S646" s="87"/>
      <c r="T646" s="87"/>
    </row>
    <row r="647" ht="13.5" customHeight="1">
      <c r="B647" s="85"/>
      <c r="P647" s="87"/>
      <c r="Q647" s="87"/>
      <c r="R647" s="87"/>
      <c r="S647" s="87"/>
      <c r="T647" s="87"/>
    </row>
    <row r="648" ht="13.5" customHeight="1">
      <c r="B648" s="85"/>
      <c r="P648" s="87"/>
      <c r="Q648" s="87"/>
      <c r="R648" s="87"/>
      <c r="S648" s="87"/>
      <c r="T648" s="87"/>
    </row>
    <row r="649" ht="13.5" customHeight="1">
      <c r="B649" s="85"/>
      <c r="P649" s="87"/>
      <c r="Q649" s="87"/>
      <c r="R649" s="87"/>
      <c r="S649" s="87"/>
      <c r="T649" s="87"/>
    </row>
    <row r="650" ht="13.5" customHeight="1">
      <c r="B650" s="85"/>
      <c r="P650" s="87"/>
      <c r="Q650" s="87"/>
      <c r="R650" s="87"/>
      <c r="S650" s="87"/>
      <c r="T650" s="87"/>
    </row>
    <row r="651" ht="13.5" customHeight="1">
      <c r="B651" s="85"/>
      <c r="P651" s="87"/>
      <c r="Q651" s="87"/>
      <c r="R651" s="87"/>
      <c r="S651" s="87"/>
      <c r="T651" s="87"/>
    </row>
    <row r="652" ht="13.5" customHeight="1">
      <c r="B652" s="85"/>
      <c r="P652" s="87"/>
      <c r="Q652" s="87"/>
      <c r="R652" s="87"/>
      <c r="S652" s="87"/>
      <c r="T652" s="87"/>
    </row>
    <row r="653" ht="13.5" customHeight="1">
      <c r="B653" s="85"/>
      <c r="P653" s="87"/>
      <c r="Q653" s="87"/>
      <c r="R653" s="87"/>
      <c r="S653" s="87"/>
      <c r="T653" s="87"/>
    </row>
    <row r="654" ht="13.5" customHeight="1">
      <c r="B654" s="85"/>
      <c r="P654" s="87"/>
      <c r="Q654" s="87"/>
      <c r="R654" s="87"/>
      <c r="S654" s="87"/>
      <c r="T654" s="87"/>
    </row>
    <row r="655" ht="13.5" customHeight="1">
      <c r="B655" s="85"/>
      <c r="P655" s="87"/>
      <c r="Q655" s="87"/>
      <c r="R655" s="87"/>
      <c r="S655" s="87"/>
      <c r="T655" s="87"/>
    </row>
    <row r="656" ht="13.5" customHeight="1">
      <c r="B656" s="85"/>
      <c r="P656" s="87"/>
      <c r="Q656" s="87"/>
      <c r="R656" s="87"/>
      <c r="S656" s="87"/>
      <c r="T656" s="87"/>
    </row>
    <row r="657" ht="13.5" customHeight="1">
      <c r="B657" s="85"/>
      <c r="P657" s="87"/>
      <c r="Q657" s="87"/>
      <c r="R657" s="87"/>
      <c r="S657" s="87"/>
      <c r="T657" s="87"/>
    </row>
    <row r="658" ht="13.5" customHeight="1">
      <c r="B658" s="85"/>
      <c r="P658" s="87"/>
      <c r="Q658" s="87"/>
      <c r="R658" s="87"/>
      <c r="S658" s="87"/>
      <c r="T658" s="87"/>
    </row>
    <row r="659" ht="13.5" customHeight="1">
      <c r="B659" s="85"/>
      <c r="P659" s="87"/>
      <c r="Q659" s="87"/>
      <c r="R659" s="87"/>
      <c r="S659" s="87"/>
      <c r="T659" s="87"/>
    </row>
    <row r="660" ht="13.5" customHeight="1">
      <c r="B660" s="85"/>
      <c r="P660" s="87"/>
      <c r="Q660" s="87"/>
      <c r="R660" s="87"/>
      <c r="S660" s="87"/>
      <c r="T660" s="87"/>
    </row>
    <row r="661" ht="13.5" customHeight="1">
      <c r="B661" s="85"/>
      <c r="P661" s="87"/>
      <c r="Q661" s="87"/>
      <c r="R661" s="87"/>
      <c r="S661" s="87"/>
      <c r="T661" s="87"/>
    </row>
    <row r="662" ht="13.5" customHeight="1">
      <c r="B662" s="85"/>
      <c r="P662" s="87"/>
      <c r="Q662" s="87"/>
      <c r="R662" s="87"/>
      <c r="S662" s="87"/>
      <c r="T662" s="87"/>
    </row>
    <row r="663" ht="13.5" customHeight="1">
      <c r="B663" s="85"/>
      <c r="P663" s="87"/>
      <c r="Q663" s="87"/>
      <c r="R663" s="87"/>
      <c r="S663" s="87"/>
      <c r="T663" s="87"/>
    </row>
    <row r="664" ht="13.5" customHeight="1">
      <c r="B664" s="85"/>
      <c r="P664" s="87"/>
      <c r="Q664" s="87"/>
      <c r="R664" s="87"/>
      <c r="S664" s="87"/>
      <c r="T664" s="87"/>
    </row>
    <row r="665" ht="13.5" customHeight="1">
      <c r="B665" s="85"/>
      <c r="P665" s="87"/>
      <c r="Q665" s="87"/>
      <c r="R665" s="87"/>
      <c r="S665" s="87"/>
      <c r="T665" s="87"/>
    </row>
    <row r="666" ht="13.5" customHeight="1">
      <c r="B666" s="85"/>
      <c r="P666" s="87"/>
      <c r="Q666" s="87"/>
      <c r="R666" s="87"/>
      <c r="S666" s="87"/>
      <c r="T666" s="87"/>
    </row>
    <row r="667" ht="13.5" customHeight="1">
      <c r="B667" s="85"/>
      <c r="P667" s="87"/>
      <c r="Q667" s="87"/>
      <c r="R667" s="87"/>
      <c r="S667" s="87"/>
      <c r="T667" s="87"/>
    </row>
    <row r="668" ht="13.5" customHeight="1">
      <c r="B668" s="85"/>
      <c r="P668" s="87"/>
      <c r="Q668" s="87"/>
      <c r="R668" s="87"/>
      <c r="S668" s="87"/>
      <c r="T668" s="87"/>
    </row>
    <row r="669" ht="13.5" customHeight="1">
      <c r="B669" s="85"/>
      <c r="P669" s="87"/>
      <c r="Q669" s="87"/>
      <c r="R669" s="87"/>
      <c r="S669" s="87"/>
      <c r="T669" s="87"/>
    </row>
    <row r="670" ht="13.5" customHeight="1">
      <c r="B670" s="85"/>
      <c r="P670" s="87"/>
      <c r="Q670" s="87"/>
      <c r="R670" s="87"/>
      <c r="S670" s="87"/>
      <c r="T670" s="87"/>
    </row>
    <row r="671" ht="13.5" customHeight="1">
      <c r="B671" s="85"/>
      <c r="P671" s="87"/>
      <c r="Q671" s="87"/>
      <c r="R671" s="87"/>
      <c r="S671" s="87"/>
      <c r="T671" s="87"/>
    </row>
    <row r="672" ht="13.5" customHeight="1">
      <c r="B672" s="85"/>
      <c r="P672" s="87"/>
      <c r="Q672" s="87"/>
      <c r="R672" s="87"/>
      <c r="S672" s="87"/>
      <c r="T672" s="87"/>
    </row>
    <row r="673" ht="13.5" customHeight="1">
      <c r="B673" s="85"/>
      <c r="P673" s="87"/>
      <c r="Q673" s="87"/>
      <c r="R673" s="87"/>
      <c r="S673" s="87"/>
      <c r="T673" s="87"/>
    </row>
    <row r="674" ht="13.5" customHeight="1">
      <c r="B674" s="85"/>
      <c r="P674" s="87"/>
      <c r="Q674" s="87"/>
      <c r="R674" s="87"/>
      <c r="S674" s="87"/>
      <c r="T674" s="87"/>
    </row>
    <row r="675" ht="13.5" customHeight="1">
      <c r="B675" s="85"/>
      <c r="P675" s="87"/>
      <c r="Q675" s="87"/>
      <c r="R675" s="87"/>
      <c r="S675" s="87"/>
      <c r="T675" s="87"/>
    </row>
    <row r="676" ht="13.5" customHeight="1">
      <c r="B676" s="85"/>
      <c r="P676" s="87"/>
      <c r="Q676" s="87"/>
      <c r="R676" s="87"/>
      <c r="S676" s="87"/>
      <c r="T676" s="87"/>
    </row>
    <row r="677" ht="13.5" customHeight="1">
      <c r="B677" s="85"/>
      <c r="P677" s="87"/>
      <c r="Q677" s="87"/>
      <c r="R677" s="87"/>
      <c r="S677" s="87"/>
      <c r="T677" s="87"/>
    </row>
    <row r="678" ht="13.5" customHeight="1">
      <c r="B678" s="85"/>
      <c r="P678" s="87"/>
      <c r="Q678" s="87"/>
      <c r="R678" s="87"/>
      <c r="S678" s="87"/>
      <c r="T678" s="87"/>
    </row>
    <row r="679" ht="13.5" customHeight="1">
      <c r="B679" s="85"/>
      <c r="P679" s="87"/>
      <c r="Q679" s="87"/>
      <c r="R679" s="87"/>
      <c r="S679" s="87"/>
      <c r="T679" s="87"/>
    </row>
    <row r="680" ht="13.5" customHeight="1">
      <c r="B680" s="85"/>
      <c r="P680" s="87"/>
      <c r="Q680" s="87"/>
      <c r="R680" s="87"/>
      <c r="S680" s="87"/>
      <c r="T680" s="87"/>
    </row>
    <row r="681" ht="13.5" customHeight="1">
      <c r="B681" s="85"/>
      <c r="P681" s="87"/>
      <c r="Q681" s="87"/>
      <c r="R681" s="87"/>
      <c r="S681" s="87"/>
      <c r="T681" s="87"/>
    </row>
    <row r="682" ht="13.5" customHeight="1">
      <c r="B682" s="85"/>
      <c r="P682" s="87"/>
      <c r="Q682" s="87"/>
      <c r="R682" s="87"/>
      <c r="S682" s="87"/>
      <c r="T682" s="87"/>
    </row>
    <row r="683" ht="13.5" customHeight="1">
      <c r="B683" s="85"/>
      <c r="P683" s="87"/>
      <c r="Q683" s="87"/>
      <c r="R683" s="87"/>
      <c r="S683" s="87"/>
      <c r="T683" s="87"/>
    </row>
    <row r="684" ht="13.5" customHeight="1">
      <c r="B684" s="85"/>
      <c r="P684" s="87"/>
      <c r="Q684" s="87"/>
      <c r="R684" s="87"/>
      <c r="S684" s="87"/>
      <c r="T684" s="87"/>
    </row>
    <row r="685" ht="13.5" customHeight="1">
      <c r="B685" s="85"/>
      <c r="P685" s="87"/>
      <c r="Q685" s="87"/>
      <c r="R685" s="87"/>
      <c r="S685" s="87"/>
      <c r="T685" s="87"/>
    </row>
    <row r="686" ht="13.5" customHeight="1">
      <c r="B686" s="85"/>
      <c r="P686" s="87"/>
      <c r="Q686" s="87"/>
      <c r="R686" s="87"/>
      <c r="S686" s="87"/>
      <c r="T686" s="87"/>
    </row>
    <row r="687" ht="13.5" customHeight="1">
      <c r="B687" s="85"/>
      <c r="P687" s="87"/>
      <c r="Q687" s="87"/>
      <c r="R687" s="87"/>
      <c r="S687" s="87"/>
      <c r="T687" s="87"/>
    </row>
    <row r="688" ht="13.5" customHeight="1">
      <c r="B688" s="85"/>
      <c r="P688" s="87"/>
      <c r="Q688" s="87"/>
      <c r="R688" s="87"/>
      <c r="S688" s="87"/>
      <c r="T688" s="87"/>
    </row>
    <row r="689" ht="13.5" customHeight="1">
      <c r="B689" s="85"/>
      <c r="P689" s="87"/>
      <c r="Q689" s="87"/>
      <c r="R689" s="87"/>
      <c r="S689" s="87"/>
      <c r="T689" s="87"/>
    </row>
    <row r="690" ht="13.5" customHeight="1">
      <c r="B690" s="85"/>
      <c r="P690" s="87"/>
      <c r="Q690" s="87"/>
      <c r="R690" s="87"/>
      <c r="S690" s="87"/>
      <c r="T690" s="87"/>
    </row>
    <row r="691" ht="13.5" customHeight="1">
      <c r="B691" s="85"/>
      <c r="P691" s="87"/>
      <c r="Q691" s="87"/>
      <c r="R691" s="87"/>
      <c r="S691" s="87"/>
      <c r="T691" s="87"/>
    </row>
    <row r="692" ht="13.5" customHeight="1">
      <c r="B692" s="85"/>
      <c r="P692" s="87"/>
      <c r="Q692" s="87"/>
      <c r="R692" s="87"/>
      <c r="S692" s="87"/>
      <c r="T692" s="87"/>
    </row>
    <row r="693" ht="13.5" customHeight="1">
      <c r="B693" s="85"/>
      <c r="P693" s="87"/>
      <c r="Q693" s="87"/>
      <c r="R693" s="87"/>
      <c r="S693" s="87"/>
      <c r="T693" s="87"/>
    </row>
    <row r="694" ht="13.5" customHeight="1">
      <c r="B694" s="85"/>
      <c r="P694" s="87"/>
      <c r="Q694" s="87"/>
      <c r="R694" s="87"/>
      <c r="S694" s="87"/>
      <c r="T694" s="87"/>
    </row>
    <row r="695" ht="13.5" customHeight="1">
      <c r="B695" s="85"/>
      <c r="P695" s="87"/>
      <c r="Q695" s="87"/>
      <c r="R695" s="87"/>
      <c r="S695" s="87"/>
      <c r="T695" s="87"/>
    </row>
    <row r="696" ht="13.5" customHeight="1">
      <c r="B696" s="85"/>
      <c r="P696" s="87"/>
      <c r="Q696" s="87"/>
      <c r="R696" s="87"/>
      <c r="S696" s="87"/>
      <c r="T696" s="87"/>
    </row>
    <row r="697" ht="13.5" customHeight="1">
      <c r="B697" s="85"/>
      <c r="P697" s="87"/>
      <c r="Q697" s="87"/>
      <c r="R697" s="87"/>
      <c r="S697" s="87"/>
      <c r="T697" s="87"/>
    </row>
    <row r="698" ht="13.5" customHeight="1">
      <c r="B698" s="85"/>
      <c r="P698" s="87"/>
      <c r="Q698" s="87"/>
      <c r="R698" s="87"/>
      <c r="S698" s="87"/>
      <c r="T698" s="87"/>
    </row>
    <row r="699" ht="13.5" customHeight="1">
      <c r="B699" s="85"/>
      <c r="P699" s="87"/>
      <c r="Q699" s="87"/>
      <c r="R699" s="87"/>
      <c r="S699" s="87"/>
      <c r="T699" s="87"/>
    </row>
    <row r="700" ht="13.5" customHeight="1">
      <c r="B700" s="85"/>
      <c r="P700" s="87"/>
      <c r="Q700" s="87"/>
      <c r="R700" s="87"/>
      <c r="S700" s="87"/>
      <c r="T700" s="87"/>
    </row>
    <row r="701" ht="13.5" customHeight="1">
      <c r="B701" s="85"/>
      <c r="P701" s="87"/>
      <c r="Q701" s="87"/>
      <c r="R701" s="87"/>
      <c r="S701" s="87"/>
      <c r="T701" s="87"/>
    </row>
    <row r="702" ht="13.5" customHeight="1">
      <c r="B702" s="85"/>
      <c r="P702" s="87"/>
      <c r="Q702" s="87"/>
      <c r="R702" s="87"/>
      <c r="S702" s="87"/>
      <c r="T702" s="87"/>
    </row>
    <row r="703" ht="13.5" customHeight="1">
      <c r="B703" s="85"/>
      <c r="P703" s="87"/>
      <c r="Q703" s="87"/>
      <c r="R703" s="87"/>
      <c r="S703" s="87"/>
      <c r="T703" s="87"/>
    </row>
    <row r="704" ht="13.5" customHeight="1">
      <c r="B704" s="85"/>
      <c r="P704" s="87"/>
      <c r="Q704" s="87"/>
      <c r="R704" s="87"/>
      <c r="S704" s="87"/>
      <c r="T704" s="87"/>
    </row>
    <row r="705" ht="13.5" customHeight="1">
      <c r="B705" s="85"/>
      <c r="P705" s="87"/>
      <c r="Q705" s="87"/>
      <c r="R705" s="87"/>
      <c r="S705" s="87"/>
      <c r="T705" s="87"/>
    </row>
    <row r="706" ht="13.5" customHeight="1">
      <c r="B706" s="85"/>
      <c r="P706" s="87"/>
      <c r="Q706" s="87"/>
      <c r="R706" s="87"/>
      <c r="S706" s="87"/>
      <c r="T706" s="87"/>
    </row>
    <row r="707" ht="13.5" customHeight="1">
      <c r="B707" s="85"/>
      <c r="P707" s="87"/>
      <c r="Q707" s="87"/>
      <c r="R707" s="87"/>
      <c r="S707" s="87"/>
      <c r="T707" s="87"/>
    </row>
    <row r="708" ht="13.5" customHeight="1">
      <c r="B708" s="85"/>
      <c r="P708" s="87"/>
      <c r="Q708" s="87"/>
      <c r="R708" s="87"/>
      <c r="S708" s="87"/>
      <c r="T708" s="87"/>
    </row>
    <row r="709" ht="13.5" customHeight="1">
      <c r="B709" s="85"/>
      <c r="P709" s="87"/>
      <c r="Q709" s="87"/>
      <c r="R709" s="87"/>
      <c r="S709" s="87"/>
      <c r="T709" s="87"/>
    </row>
    <row r="710" ht="13.5" customHeight="1">
      <c r="B710" s="85"/>
      <c r="P710" s="87"/>
      <c r="Q710" s="87"/>
      <c r="R710" s="87"/>
      <c r="S710" s="87"/>
      <c r="T710" s="87"/>
    </row>
    <row r="711" ht="13.5" customHeight="1">
      <c r="B711" s="85"/>
      <c r="P711" s="87"/>
      <c r="Q711" s="87"/>
      <c r="R711" s="87"/>
      <c r="S711" s="87"/>
      <c r="T711" s="87"/>
    </row>
    <row r="712" ht="13.5" customHeight="1">
      <c r="B712" s="85"/>
      <c r="P712" s="87"/>
      <c r="Q712" s="87"/>
      <c r="R712" s="87"/>
      <c r="S712" s="87"/>
      <c r="T712" s="87"/>
    </row>
    <row r="713" ht="13.5" customHeight="1">
      <c r="B713" s="85"/>
      <c r="P713" s="87"/>
      <c r="Q713" s="87"/>
      <c r="R713" s="87"/>
      <c r="S713" s="87"/>
      <c r="T713" s="87"/>
    </row>
    <row r="714" ht="13.5" customHeight="1">
      <c r="B714" s="85"/>
      <c r="P714" s="87"/>
      <c r="Q714" s="87"/>
      <c r="R714" s="87"/>
      <c r="S714" s="87"/>
      <c r="T714" s="87"/>
    </row>
    <row r="715" ht="13.5" customHeight="1">
      <c r="B715" s="85"/>
      <c r="P715" s="87"/>
      <c r="Q715" s="87"/>
      <c r="R715" s="87"/>
      <c r="S715" s="87"/>
      <c r="T715" s="87"/>
    </row>
    <row r="716" ht="13.5" customHeight="1">
      <c r="B716" s="85"/>
      <c r="P716" s="87"/>
      <c r="Q716" s="87"/>
      <c r="R716" s="87"/>
      <c r="S716" s="87"/>
      <c r="T716" s="87"/>
    </row>
    <row r="717" ht="13.5" customHeight="1">
      <c r="B717" s="85"/>
      <c r="P717" s="87"/>
      <c r="Q717" s="87"/>
      <c r="R717" s="87"/>
      <c r="S717" s="87"/>
      <c r="T717" s="87"/>
    </row>
    <row r="718" ht="13.5" customHeight="1">
      <c r="B718" s="85"/>
      <c r="P718" s="87"/>
      <c r="Q718" s="87"/>
      <c r="R718" s="87"/>
      <c r="S718" s="87"/>
      <c r="T718" s="87"/>
    </row>
    <row r="719" ht="13.5" customHeight="1">
      <c r="B719" s="85"/>
      <c r="P719" s="87"/>
      <c r="Q719" s="87"/>
      <c r="R719" s="87"/>
      <c r="S719" s="87"/>
      <c r="T719" s="87"/>
    </row>
    <row r="720" ht="13.5" customHeight="1">
      <c r="B720" s="85"/>
      <c r="P720" s="87"/>
      <c r="Q720" s="87"/>
      <c r="R720" s="87"/>
      <c r="S720" s="87"/>
      <c r="T720" s="87"/>
    </row>
    <row r="721" ht="13.5" customHeight="1">
      <c r="B721" s="85"/>
      <c r="P721" s="87"/>
      <c r="Q721" s="87"/>
      <c r="R721" s="87"/>
      <c r="S721" s="87"/>
      <c r="T721" s="87"/>
    </row>
    <row r="722" ht="13.5" customHeight="1">
      <c r="B722" s="85"/>
      <c r="P722" s="87"/>
      <c r="Q722" s="87"/>
      <c r="R722" s="87"/>
      <c r="S722" s="87"/>
      <c r="T722" s="87"/>
    </row>
    <row r="723" ht="13.5" customHeight="1">
      <c r="B723" s="85"/>
      <c r="P723" s="87"/>
      <c r="Q723" s="87"/>
      <c r="R723" s="87"/>
      <c r="S723" s="87"/>
      <c r="T723" s="87"/>
    </row>
    <row r="724" ht="13.5" customHeight="1">
      <c r="B724" s="85"/>
      <c r="P724" s="87"/>
      <c r="Q724" s="87"/>
      <c r="R724" s="87"/>
      <c r="S724" s="87"/>
      <c r="T724" s="87"/>
    </row>
    <row r="725" ht="13.5" customHeight="1">
      <c r="B725" s="85"/>
      <c r="P725" s="87"/>
      <c r="Q725" s="87"/>
      <c r="R725" s="87"/>
      <c r="S725" s="87"/>
      <c r="T725" s="87"/>
    </row>
    <row r="726" ht="13.5" customHeight="1">
      <c r="B726" s="85"/>
      <c r="P726" s="87"/>
      <c r="Q726" s="87"/>
      <c r="R726" s="87"/>
      <c r="S726" s="87"/>
      <c r="T726" s="87"/>
    </row>
    <row r="727" ht="13.5" customHeight="1">
      <c r="B727" s="85"/>
      <c r="P727" s="87"/>
      <c r="Q727" s="87"/>
      <c r="R727" s="87"/>
      <c r="S727" s="87"/>
      <c r="T727" s="87"/>
    </row>
    <row r="728" ht="13.5" customHeight="1">
      <c r="B728" s="85"/>
      <c r="P728" s="87"/>
      <c r="Q728" s="87"/>
      <c r="R728" s="87"/>
      <c r="S728" s="87"/>
      <c r="T728" s="87"/>
    </row>
    <row r="729" ht="13.5" customHeight="1">
      <c r="B729" s="85"/>
      <c r="P729" s="87"/>
      <c r="Q729" s="87"/>
      <c r="R729" s="87"/>
      <c r="S729" s="87"/>
      <c r="T729" s="87"/>
    </row>
    <row r="730" ht="13.5" customHeight="1">
      <c r="B730" s="85"/>
      <c r="P730" s="87"/>
      <c r="Q730" s="87"/>
      <c r="R730" s="87"/>
      <c r="S730" s="87"/>
      <c r="T730" s="87"/>
    </row>
    <row r="731" ht="13.5" customHeight="1">
      <c r="B731" s="85"/>
      <c r="P731" s="87"/>
      <c r="Q731" s="87"/>
      <c r="R731" s="87"/>
      <c r="S731" s="87"/>
      <c r="T731" s="87"/>
    </row>
    <row r="732" ht="13.5" customHeight="1">
      <c r="B732" s="85"/>
      <c r="P732" s="87"/>
      <c r="Q732" s="87"/>
      <c r="R732" s="87"/>
      <c r="S732" s="87"/>
      <c r="T732" s="87"/>
    </row>
    <row r="733" ht="13.5" customHeight="1">
      <c r="B733" s="85"/>
      <c r="P733" s="87"/>
      <c r="Q733" s="87"/>
      <c r="R733" s="87"/>
      <c r="S733" s="87"/>
      <c r="T733" s="87"/>
    </row>
    <row r="734" ht="13.5" customHeight="1">
      <c r="B734" s="85"/>
      <c r="P734" s="87"/>
      <c r="Q734" s="87"/>
      <c r="R734" s="87"/>
      <c r="S734" s="87"/>
      <c r="T734" s="87"/>
    </row>
    <row r="735" ht="13.5" customHeight="1">
      <c r="B735" s="85"/>
      <c r="P735" s="87"/>
      <c r="Q735" s="87"/>
      <c r="R735" s="87"/>
      <c r="S735" s="87"/>
      <c r="T735" s="87"/>
    </row>
    <row r="736" ht="13.5" customHeight="1">
      <c r="B736" s="85"/>
      <c r="P736" s="87"/>
      <c r="Q736" s="87"/>
      <c r="R736" s="87"/>
      <c r="S736" s="87"/>
      <c r="T736" s="87"/>
    </row>
    <row r="737" ht="13.5" customHeight="1">
      <c r="B737" s="85"/>
      <c r="P737" s="87"/>
      <c r="Q737" s="87"/>
      <c r="R737" s="87"/>
      <c r="S737" s="87"/>
      <c r="T737" s="87"/>
    </row>
    <row r="738" ht="13.5" customHeight="1">
      <c r="B738" s="85"/>
      <c r="P738" s="87"/>
      <c r="Q738" s="87"/>
      <c r="R738" s="87"/>
      <c r="S738" s="87"/>
      <c r="T738" s="87"/>
    </row>
    <row r="739" ht="13.5" customHeight="1">
      <c r="B739" s="85"/>
      <c r="P739" s="87"/>
      <c r="Q739" s="87"/>
      <c r="R739" s="87"/>
      <c r="S739" s="87"/>
      <c r="T739" s="87"/>
    </row>
    <row r="740" ht="13.5" customHeight="1">
      <c r="B740" s="85"/>
      <c r="P740" s="87"/>
      <c r="Q740" s="87"/>
      <c r="R740" s="87"/>
      <c r="S740" s="87"/>
      <c r="T740" s="87"/>
    </row>
    <row r="741" ht="13.5" customHeight="1">
      <c r="B741" s="85"/>
      <c r="P741" s="87"/>
      <c r="Q741" s="87"/>
      <c r="R741" s="87"/>
      <c r="S741" s="87"/>
      <c r="T741" s="87"/>
    </row>
    <row r="742" ht="13.5" customHeight="1">
      <c r="B742" s="85"/>
      <c r="P742" s="87"/>
      <c r="Q742" s="87"/>
      <c r="R742" s="87"/>
      <c r="S742" s="87"/>
      <c r="T742" s="87"/>
    </row>
    <row r="743" ht="13.5" customHeight="1">
      <c r="B743" s="85"/>
      <c r="P743" s="87"/>
      <c r="Q743" s="87"/>
      <c r="R743" s="87"/>
      <c r="S743" s="87"/>
      <c r="T743" s="87"/>
    </row>
    <row r="744" ht="13.5" customHeight="1">
      <c r="B744" s="85"/>
      <c r="P744" s="87"/>
      <c r="Q744" s="87"/>
      <c r="R744" s="87"/>
      <c r="S744" s="87"/>
      <c r="T744" s="87"/>
    </row>
    <row r="745" ht="13.5" customHeight="1">
      <c r="B745" s="85"/>
      <c r="P745" s="87"/>
      <c r="Q745" s="87"/>
      <c r="R745" s="87"/>
      <c r="S745" s="87"/>
      <c r="T745" s="87"/>
    </row>
    <row r="746" ht="13.5" customHeight="1">
      <c r="B746" s="85"/>
      <c r="P746" s="87"/>
      <c r="Q746" s="87"/>
      <c r="R746" s="87"/>
      <c r="S746" s="87"/>
      <c r="T746" s="87"/>
    </row>
    <row r="747" ht="13.5" customHeight="1">
      <c r="B747" s="85"/>
      <c r="P747" s="87"/>
      <c r="Q747" s="87"/>
      <c r="R747" s="87"/>
      <c r="S747" s="87"/>
      <c r="T747" s="87"/>
    </row>
    <row r="748" ht="13.5" customHeight="1">
      <c r="B748" s="85"/>
      <c r="P748" s="87"/>
      <c r="Q748" s="87"/>
      <c r="R748" s="87"/>
      <c r="S748" s="87"/>
      <c r="T748" s="87"/>
    </row>
    <row r="749" ht="13.5" customHeight="1">
      <c r="B749" s="85"/>
      <c r="P749" s="87"/>
      <c r="Q749" s="87"/>
      <c r="R749" s="87"/>
      <c r="S749" s="87"/>
      <c r="T749" s="87"/>
    </row>
    <row r="750" ht="13.5" customHeight="1">
      <c r="B750" s="85"/>
      <c r="P750" s="87"/>
      <c r="Q750" s="87"/>
      <c r="R750" s="87"/>
      <c r="S750" s="87"/>
      <c r="T750" s="87"/>
    </row>
    <row r="751" ht="13.5" customHeight="1">
      <c r="B751" s="85"/>
      <c r="P751" s="87"/>
      <c r="Q751" s="87"/>
      <c r="R751" s="87"/>
      <c r="S751" s="87"/>
      <c r="T751" s="87"/>
    </row>
    <row r="752" ht="13.5" customHeight="1">
      <c r="B752" s="85"/>
      <c r="P752" s="87"/>
      <c r="Q752" s="87"/>
      <c r="R752" s="87"/>
      <c r="S752" s="87"/>
      <c r="T752" s="87"/>
    </row>
    <row r="753" ht="13.5" customHeight="1">
      <c r="B753" s="85"/>
      <c r="P753" s="87"/>
      <c r="Q753" s="87"/>
      <c r="R753" s="87"/>
      <c r="S753" s="87"/>
      <c r="T753" s="87"/>
    </row>
    <row r="754" ht="13.5" customHeight="1">
      <c r="B754" s="85"/>
      <c r="P754" s="87"/>
      <c r="Q754" s="87"/>
      <c r="R754" s="87"/>
      <c r="S754" s="87"/>
      <c r="T754" s="87"/>
    </row>
    <row r="755" ht="13.5" customHeight="1">
      <c r="B755" s="85"/>
      <c r="P755" s="87"/>
      <c r="Q755" s="87"/>
      <c r="R755" s="87"/>
      <c r="S755" s="87"/>
      <c r="T755" s="87"/>
    </row>
    <row r="756" ht="13.5" customHeight="1">
      <c r="B756" s="85"/>
      <c r="P756" s="87"/>
      <c r="Q756" s="87"/>
      <c r="R756" s="87"/>
      <c r="S756" s="87"/>
      <c r="T756" s="87"/>
    </row>
    <row r="757" ht="13.5" customHeight="1">
      <c r="B757" s="85"/>
      <c r="P757" s="87"/>
      <c r="Q757" s="87"/>
      <c r="R757" s="87"/>
      <c r="S757" s="87"/>
      <c r="T757" s="87"/>
    </row>
    <row r="758" ht="13.5" customHeight="1">
      <c r="B758" s="85"/>
      <c r="P758" s="87"/>
      <c r="Q758" s="87"/>
      <c r="R758" s="87"/>
      <c r="S758" s="87"/>
      <c r="T758" s="87"/>
    </row>
    <row r="759" ht="13.5" customHeight="1">
      <c r="B759" s="85"/>
      <c r="P759" s="87"/>
      <c r="Q759" s="87"/>
      <c r="R759" s="87"/>
      <c r="S759" s="87"/>
      <c r="T759" s="87"/>
    </row>
    <row r="760" ht="13.5" customHeight="1">
      <c r="B760" s="85"/>
      <c r="P760" s="87"/>
      <c r="Q760" s="87"/>
      <c r="R760" s="87"/>
      <c r="S760" s="87"/>
      <c r="T760" s="87"/>
    </row>
    <row r="761" ht="13.5" customHeight="1">
      <c r="B761" s="85"/>
      <c r="P761" s="87"/>
      <c r="Q761" s="87"/>
      <c r="R761" s="87"/>
      <c r="S761" s="87"/>
      <c r="T761" s="87"/>
    </row>
    <row r="762" ht="13.5" customHeight="1">
      <c r="B762" s="85"/>
      <c r="P762" s="87"/>
      <c r="Q762" s="87"/>
      <c r="R762" s="87"/>
      <c r="S762" s="87"/>
      <c r="T762" s="87"/>
    </row>
    <row r="763" ht="13.5" customHeight="1">
      <c r="B763" s="85"/>
      <c r="P763" s="87"/>
      <c r="Q763" s="87"/>
      <c r="R763" s="87"/>
      <c r="S763" s="87"/>
      <c r="T763" s="87"/>
    </row>
    <row r="764" ht="13.5" customHeight="1">
      <c r="B764" s="85"/>
      <c r="P764" s="87"/>
      <c r="Q764" s="87"/>
      <c r="R764" s="87"/>
      <c r="S764" s="87"/>
      <c r="T764" s="87"/>
    </row>
    <row r="765" ht="13.5" customHeight="1">
      <c r="B765" s="85"/>
      <c r="P765" s="87"/>
      <c r="Q765" s="87"/>
      <c r="R765" s="87"/>
      <c r="S765" s="87"/>
      <c r="T765" s="87"/>
    </row>
    <row r="766" ht="13.5" customHeight="1">
      <c r="B766" s="85"/>
      <c r="P766" s="87"/>
      <c r="Q766" s="87"/>
      <c r="R766" s="87"/>
      <c r="S766" s="87"/>
      <c r="T766" s="87"/>
    </row>
    <row r="767" ht="13.5" customHeight="1">
      <c r="B767" s="85"/>
      <c r="P767" s="87"/>
      <c r="Q767" s="87"/>
      <c r="R767" s="87"/>
      <c r="S767" s="87"/>
      <c r="T767" s="87"/>
    </row>
    <row r="768" ht="13.5" customHeight="1">
      <c r="B768" s="85"/>
      <c r="P768" s="87"/>
      <c r="Q768" s="87"/>
      <c r="R768" s="87"/>
      <c r="S768" s="87"/>
      <c r="T768" s="87"/>
    </row>
    <row r="769" ht="13.5" customHeight="1">
      <c r="B769" s="85"/>
      <c r="P769" s="87"/>
      <c r="Q769" s="87"/>
      <c r="R769" s="87"/>
      <c r="S769" s="87"/>
      <c r="T769" s="87"/>
    </row>
    <row r="770" ht="13.5" customHeight="1">
      <c r="B770" s="85"/>
      <c r="P770" s="87"/>
      <c r="Q770" s="87"/>
      <c r="R770" s="87"/>
      <c r="S770" s="87"/>
      <c r="T770" s="87"/>
    </row>
    <row r="771" ht="13.5" customHeight="1">
      <c r="B771" s="85"/>
      <c r="P771" s="87"/>
      <c r="Q771" s="87"/>
      <c r="R771" s="87"/>
      <c r="S771" s="87"/>
      <c r="T771" s="87"/>
    </row>
    <row r="772" ht="13.5" customHeight="1">
      <c r="B772" s="85"/>
      <c r="P772" s="87"/>
      <c r="Q772" s="87"/>
      <c r="R772" s="87"/>
      <c r="S772" s="87"/>
      <c r="T772" s="87"/>
    </row>
    <row r="773" ht="13.5" customHeight="1">
      <c r="B773" s="85"/>
      <c r="P773" s="87"/>
      <c r="Q773" s="87"/>
      <c r="R773" s="87"/>
      <c r="S773" s="87"/>
      <c r="T773" s="87"/>
    </row>
    <row r="774" ht="13.5" customHeight="1">
      <c r="B774" s="85"/>
      <c r="P774" s="87"/>
      <c r="Q774" s="87"/>
      <c r="R774" s="87"/>
      <c r="S774" s="87"/>
      <c r="T774" s="87"/>
    </row>
    <row r="775" ht="13.5" customHeight="1">
      <c r="B775" s="85"/>
      <c r="P775" s="87"/>
      <c r="Q775" s="87"/>
      <c r="R775" s="87"/>
      <c r="S775" s="87"/>
      <c r="T775" s="87"/>
    </row>
    <row r="776" ht="13.5" customHeight="1">
      <c r="B776" s="85"/>
      <c r="P776" s="87"/>
      <c r="Q776" s="87"/>
      <c r="R776" s="87"/>
      <c r="S776" s="87"/>
      <c r="T776" s="87"/>
    </row>
    <row r="777" ht="13.5" customHeight="1">
      <c r="B777" s="85"/>
      <c r="P777" s="87"/>
      <c r="Q777" s="87"/>
      <c r="R777" s="87"/>
      <c r="S777" s="87"/>
      <c r="T777" s="87"/>
    </row>
    <row r="778" ht="13.5" customHeight="1">
      <c r="B778" s="85"/>
      <c r="P778" s="87"/>
      <c r="Q778" s="87"/>
      <c r="R778" s="87"/>
      <c r="S778" s="87"/>
      <c r="T778" s="87"/>
    </row>
    <row r="779" ht="13.5" customHeight="1">
      <c r="B779" s="85"/>
      <c r="P779" s="87"/>
      <c r="Q779" s="87"/>
      <c r="R779" s="87"/>
      <c r="S779" s="87"/>
      <c r="T779" s="87"/>
    </row>
    <row r="780" ht="13.5" customHeight="1">
      <c r="B780" s="85"/>
      <c r="P780" s="87"/>
      <c r="Q780" s="87"/>
      <c r="R780" s="87"/>
      <c r="S780" s="87"/>
      <c r="T780" s="87"/>
    </row>
    <row r="781" ht="13.5" customHeight="1">
      <c r="B781" s="85"/>
      <c r="P781" s="87"/>
      <c r="Q781" s="87"/>
      <c r="R781" s="87"/>
      <c r="S781" s="87"/>
      <c r="T781" s="87"/>
    </row>
    <row r="782" ht="13.5" customHeight="1">
      <c r="B782" s="85"/>
      <c r="P782" s="87"/>
      <c r="Q782" s="87"/>
      <c r="R782" s="87"/>
      <c r="S782" s="87"/>
      <c r="T782" s="87"/>
    </row>
    <row r="783" ht="13.5" customHeight="1">
      <c r="B783" s="85"/>
      <c r="P783" s="87"/>
      <c r="Q783" s="87"/>
      <c r="R783" s="87"/>
      <c r="S783" s="87"/>
      <c r="T783" s="87"/>
    </row>
    <row r="784" ht="13.5" customHeight="1">
      <c r="B784" s="85"/>
      <c r="P784" s="87"/>
      <c r="Q784" s="87"/>
      <c r="R784" s="87"/>
      <c r="S784" s="87"/>
      <c r="T784" s="87"/>
    </row>
    <row r="785" ht="13.5" customHeight="1">
      <c r="B785" s="85"/>
      <c r="P785" s="87"/>
      <c r="Q785" s="87"/>
      <c r="R785" s="87"/>
      <c r="S785" s="87"/>
      <c r="T785" s="87"/>
    </row>
    <row r="786" ht="13.5" customHeight="1">
      <c r="B786" s="85"/>
      <c r="P786" s="87"/>
      <c r="Q786" s="87"/>
      <c r="R786" s="87"/>
      <c r="S786" s="87"/>
      <c r="T786" s="87"/>
    </row>
    <row r="787" ht="13.5" customHeight="1">
      <c r="B787" s="85"/>
      <c r="P787" s="87"/>
      <c r="Q787" s="87"/>
      <c r="R787" s="87"/>
      <c r="S787" s="87"/>
      <c r="T787" s="87"/>
    </row>
    <row r="788" ht="13.5" customHeight="1">
      <c r="B788" s="85"/>
      <c r="P788" s="87"/>
      <c r="Q788" s="87"/>
      <c r="R788" s="87"/>
      <c r="S788" s="87"/>
      <c r="T788" s="87"/>
    </row>
    <row r="789" ht="13.5" customHeight="1">
      <c r="B789" s="85"/>
      <c r="P789" s="87"/>
      <c r="Q789" s="87"/>
      <c r="R789" s="87"/>
      <c r="S789" s="87"/>
      <c r="T789" s="87"/>
    </row>
    <row r="790" ht="13.5" customHeight="1">
      <c r="B790" s="85"/>
      <c r="P790" s="87"/>
      <c r="Q790" s="87"/>
      <c r="R790" s="87"/>
      <c r="S790" s="87"/>
      <c r="T790" s="87"/>
    </row>
    <row r="791" ht="13.5" customHeight="1">
      <c r="B791" s="85"/>
      <c r="P791" s="87"/>
      <c r="Q791" s="87"/>
      <c r="R791" s="87"/>
      <c r="S791" s="87"/>
      <c r="T791" s="87"/>
    </row>
    <row r="792" ht="13.5" customHeight="1">
      <c r="B792" s="85"/>
      <c r="P792" s="87"/>
      <c r="Q792" s="87"/>
      <c r="R792" s="87"/>
      <c r="S792" s="87"/>
      <c r="T792" s="87"/>
    </row>
    <row r="793" ht="13.5" customHeight="1">
      <c r="B793" s="85"/>
      <c r="P793" s="87"/>
      <c r="Q793" s="87"/>
      <c r="R793" s="87"/>
      <c r="S793" s="87"/>
      <c r="T793" s="87"/>
    </row>
    <row r="794" ht="13.5" customHeight="1">
      <c r="B794" s="85"/>
      <c r="P794" s="87"/>
      <c r="Q794" s="87"/>
      <c r="R794" s="87"/>
      <c r="S794" s="87"/>
      <c r="T794" s="87"/>
    </row>
    <row r="795" ht="13.5" customHeight="1">
      <c r="B795" s="85"/>
      <c r="P795" s="87"/>
      <c r="Q795" s="87"/>
      <c r="R795" s="87"/>
      <c r="S795" s="87"/>
      <c r="T795" s="87"/>
    </row>
    <row r="796" ht="13.5" customHeight="1">
      <c r="B796" s="85"/>
      <c r="P796" s="87"/>
      <c r="Q796" s="87"/>
      <c r="R796" s="87"/>
      <c r="S796" s="87"/>
      <c r="T796" s="87"/>
    </row>
    <row r="797" ht="13.5" customHeight="1">
      <c r="B797" s="85"/>
      <c r="P797" s="87"/>
      <c r="Q797" s="87"/>
      <c r="R797" s="87"/>
      <c r="S797" s="87"/>
      <c r="T797" s="87"/>
    </row>
    <row r="798" ht="13.5" customHeight="1">
      <c r="B798" s="85"/>
      <c r="P798" s="87"/>
      <c r="Q798" s="87"/>
      <c r="R798" s="87"/>
      <c r="S798" s="87"/>
      <c r="T798" s="87"/>
    </row>
    <row r="799" ht="13.5" customHeight="1">
      <c r="B799" s="85"/>
      <c r="P799" s="87"/>
      <c r="Q799" s="87"/>
      <c r="R799" s="87"/>
      <c r="S799" s="87"/>
      <c r="T799" s="87"/>
    </row>
    <row r="800" ht="13.5" customHeight="1">
      <c r="B800" s="85"/>
      <c r="P800" s="87"/>
      <c r="Q800" s="87"/>
      <c r="R800" s="87"/>
      <c r="S800" s="87"/>
      <c r="T800" s="87"/>
    </row>
    <row r="801" ht="13.5" customHeight="1">
      <c r="B801" s="85"/>
      <c r="P801" s="87"/>
      <c r="Q801" s="87"/>
      <c r="R801" s="87"/>
      <c r="S801" s="87"/>
      <c r="T801" s="87"/>
    </row>
    <row r="802" ht="13.5" customHeight="1">
      <c r="B802" s="85"/>
      <c r="P802" s="87"/>
      <c r="Q802" s="87"/>
      <c r="R802" s="87"/>
      <c r="S802" s="87"/>
      <c r="T802" s="87"/>
    </row>
    <row r="803" ht="13.5" customHeight="1">
      <c r="B803" s="85"/>
      <c r="P803" s="87"/>
      <c r="Q803" s="87"/>
      <c r="R803" s="87"/>
      <c r="S803" s="87"/>
      <c r="T803" s="87"/>
    </row>
    <row r="804" ht="13.5" customHeight="1">
      <c r="B804" s="85"/>
      <c r="P804" s="87"/>
      <c r="Q804" s="87"/>
      <c r="R804" s="87"/>
      <c r="S804" s="87"/>
      <c r="T804" s="87"/>
    </row>
    <row r="805" ht="13.5" customHeight="1">
      <c r="B805" s="85"/>
      <c r="P805" s="87"/>
      <c r="Q805" s="87"/>
      <c r="R805" s="87"/>
      <c r="S805" s="87"/>
      <c r="T805" s="87"/>
    </row>
    <row r="806" ht="13.5" customHeight="1">
      <c r="B806" s="85"/>
      <c r="P806" s="87"/>
      <c r="Q806" s="87"/>
      <c r="R806" s="87"/>
      <c r="S806" s="87"/>
      <c r="T806" s="87"/>
    </row>
    <row r="807" ht="13.5" customHeight="1">
      <c r="B807" s="85"/>
      <c r="P807" s="87"/>
      <c r="Q807" s="87"/>
      <c r="R807" s="87"/>
      <c r="S807" s="87"/>
      <c r="T807" s="87"/>
    </row>
    <row r="808" ht="13.5" customHeight="1">
      <c r="B808" s="85"/>
      <c r="P808" s="87"/>
      <c r="Q808" s="87"/>
      <c r="R808" s="87"/>
      <c r="S808" s="87"/>
      <c r="T808" s="87"/>
    </row>
    <row r="809" ht="13.5" customHeight="1">
      <c r="B809" s="85"/>
      <c r="P809" s="87"/>
      <c r="Q809" s="87"/>
      <c r="R809" s="87"/>
      <c r="S809" s="87"/>
      <c r="T809" s="87"/>
    </row>
    <row r="810" ht="13.5" customHeight="1">
      <c r="B810" s="85"/>
      <c r="P810" s="87"/>
      <c r="Q810" s="87"/>
      <c r="R810" s="87"/>
      <c r="S810" s="87"/>
      <c r="T810" s="87"/>
    </row>
    <row r="811" ht="13.5" customHeight="1">
      <c r="B811" s="85"/>
      <c r="P811" s="87"/>
      <c r="Q811" s="87"/>
      <c r="R811" s="87"/>
      <c r="S811" s="87"/>
      <c r="T811" s="87"/>
    </row>
    <row r="812" ht="13.5" customHeight="1">
      <c r="B812" s="85"/>
      <c r="P812" s="87"/>
      <c r="Q812" s="87"/>
      <c r="R812" s="87"/>
      <c r="S812" s="87"/>
      <c r="T812" s="87"/>
    </row>
    <row r="813" ht="13.5" customHeight="1">
      <c r="B813" s="85"/>
      <c r="P813" s="87"/>
      <c r="Q813" s="87"/>
      <c r="R813" s="87"/>
      <c r="S813" s="87"/>
      <c r="T813" s="87"/>
    </row>
    <row r="814" ht="13.5" customHeight="1">
      <c r="B814" s="85"/>
      <c r="P814" s="87"/>
      <c r="Q814" s="87"/>
      <c r="R814" s="87"/>
      <c r="S814" s="87"/>
      <c r="T814" s="87"/>
    </row>
    <row r="815" ht="13.5" customHeight="1">
      <c r="B815" s="85"/>
      <c r="P815" s="87"/>
      <c r="Q815" s="87"/>
      <c r="R815" s="87"/>
      <c r="S815" s="87"/>
      <c r="T815" s="87"/>
    </row>
    <row r="816" ht="13.5" customHeight="1">
      <c r="B816" s="85"/>
      <c r="P816" s="87"/>
      <c r="Q816" s="87"/>
      <c r="R816" s="87"/>
      <c r="S816" s="87"/>
      <c r="T816" s="87"/>
    </row>
    <row r="817" ht="13.5" customHeight="1">
      <c r="B817" s="85"/>
      <c r="P817" s="87"/>
      <c r="Q817" s="87"/>
      <c r="R817" s="87"/>
      <c r="S817" s="87"/>
      <c r="T817" s="87"/>
    </row>
    <row r="818" ht="13.5" customHeight="1">
      <c r="B818" s="85"/>
      <c r="P818" s="87"/>
      <c r="Q818" s="87"/>
      <c r="R818" s="87"/>
      <c r="S818" s="87"/>
      <c r="T818" s="87"/>
    </row>
    <row r="819" ht="13.5" customHeight="1">
      <c r="B819" s="85"/>
      <c r="P819" s="87"/>
      <c r="Q819" s="87"/>
      <c r="R819" s="87"/>
      <c r="S819" s="87"/>
      <c r="T819" s="87"/>
    </row>
    <row r="820" ht="13.5" customHeight="1">
      <c r="B820" s="85"/>
      <c r="P820" s="87"/>
      <c r="Q820" s="87"/>
      <c r="R820" s="87"/>
      <c r="S820" s="87"/>
      <c r="T820" s="87"/>
    </row>
    <row r="821" ht="13.5" customHeight="1">
      <c r="B821" s="85"/>
      <c r="P821" s="87"/>
      <c r="Q821" s="87"/>
      <c r="R821" s="87"/>
      <c r="S821" s="87"/>
      <c r="T821" s="87"/>
    </row>
    <row r="822" ht="13.5" customHeight="1">
      <c r="B822" s="85"/>
      <c r="P822" s="87"/>
      <c r="Q822" s="87"/>
      <c r="R822" s="87"/>
      <c r="S822" s="87"/>
      <c r="T822" s="87"/>
    </row>
    <row r="823" ht="13.5" customHeight="1">
      <c r="B823" s="85"/>
      <c r="P823" s="87"/>
      <c r="Q823" s="87"/>
      <c r="R823" s="87"/>
      <c r="S823" s="87"/>
      <c r="T823" s="87"/>
    </row>
    <row r="824" ht="13.5" customHeight="1">
      <c r="B824" s="85"/>
      <c r="P824" s="87"/>
      <c r="Q824" s="87"/>
      <c r="R824" s="87"/>
      <c r="S824" s="87"/>
      <c r="T824" s="87"/>
    </row>
    <row r="825" ht="13.5" customHeight="1">
      <c r="B825" s="85"/>
      <c r="P825" s="87"/>
      <c r="Q825" s="87"/>
      <c r="R825" s="87"/>
      <c r="S825" s="87"/>
      <c r="T825" s="87"/>
    </row>
    <row r="826" ht="13.5" customHeight="1">
      <c r="B826" s="85"/>
      <c r="P826" s="87"/>
      <c r="Q826" s="87"/>
      <c r="R826" s="87"/>
      <c r="S826" s="87"/>
      <c r="T826" s="87"/>
    </row>
    <row r="827" ht="13.5" customHeight="1">
      <c r="B827" s="85"/>
      <c r="P827" s="87"/>
      <c r="Q827" s="87"/>
      <c r="R827" s="87"/>
      <c r="S827" s="87"/>
      <c r="T827" s="87"/>
    </row>
    <row r="828" ht="13.5" customHeight="1">
      <c r="B828" s="85"/>
      <c r="P828" s="87"/>
      <c r="Q828" s="87"/>
      <c r="R828" s="87"/>
      <c r="S828" s="87"/>
      <c r="T828" s="87"/>
    </row>
    <row r="829" ht="13.5" customHeight="1">
      <c r="B829" s="85"/>
      <c r="P829" s="87"/>
      <c r="Q829" s="87"/>
      <c r="R829" s="87"/>
      <c r="S829" s="87"/>
      <c r="T829" s="87"/>
    </row>
    <row r="830" ht="13.5" customHeight="1">
      <c r="B830" s="85"/>
      <c r="P830" s="87"/>
      <c r="Q830" s="87"/>
      <c r="R830" s="87"/>
      <c r="S830" s="87"/>
      <c r="T830" s="87"/>
    </row>
    <row r="831" ht="13.5" customHeight="1">
      <c r="B831" s="85"/>
      <c r="P831" s="87"/>
      <c r="Q831" s="87"/>
      <c r="R831" s="87"/>
      <c r="S831" s="87"/>
      <c r="T831" s="87"/>
    </row>
    <row r="832" ht="13.5" customHeight="1">
      <c r="B832" s="85"/>
      <c r="P832" s="87"/>
      <c r="Q832" s="87"/>
      <c r="R832" s="87"/>
      <c r="S832" s="87"/>
      <c r="T832" s="87"/>
    </row>
    <row r="833" ht="13.5" customHeight="1">
      <c r="B833" s="85"/>
      <c r="P833" s="87"/>
      <c r="Q833" s="87"/>
      <c r="R833" s="87"/>
      <c r="S833" s="87"/>
      <c r="T833" s="87"/>
    </row>
    <row r="834" ht="13.5" customHeight="1">
      <c r="B834" s="85"/>
      <c r="P834" s="87"/>
      <c r="Q834" s="87"/>
      <c r="R834" s="87"/>
      <c r="S834" s="87"/>
      <c r="T834" s="87"/>
    </row>
    <row r="835" ht="13.5" customHeight="1">
      <c r="B835" s="85"/>
      <c r="P835" s="87"/>
      <c r="Q835" s="87"/>
      <c r="R835" s="87"/>
      <c r="S835" s="87"/>
      <c r="T835" s="87"/>
    </row>
    <row r="836" ht="13.5" customHeight="1">
      <c r="B836" s="85"/>
      <c r="P836" s="87"/>
      <c r="Q836" s="87"/>
      <c r="R836" s="87"/>
      <c r="S836" s="87"/>
      <c r="T836" s="87"/>
    </row>
    <row r="837" ht="13.5" customHeight="1">
      <c r="B837" s="85"/>
      <c r="P837" s="87"/>
      <c r="Q837" s="87"/>
      <c r="R837" s="87"/>
      <c r="S837" s="87"/>
      <c r="T837" s="87"/>
    </row>
    <row r="838" ht="13.5" customHeight="1">
      <c r="B838" s="85"/>
      <c r="P838" s="87"/>
      <c r="Q838" s="87"/>
      <c r="R838" s="87"/>
      <c r="S838" s="87"/>
      <c r="T838" s="87"/>
    </row>
    <row r="839" ht="13.5" customHeight="1">
      <c r="B839" s="85"/>
      <c r="P839" s="87"/>
      <c r="Q839" s="87"/>
      <c r="R839" s="87"/>
      <c r="S839" s="87"/>
      <c r="T839" s="87"/>
    </row>
    <row r="840" ht="13.5" customHeight="1">
      <c r="B840" s="85"/>
      <c r="P840" s="87"/>
      <c r="Q840" s="87"/>
      <c r="R840" s="87"/>
      <c r="S840" s="87"/>
      <c r="T840" s="87"/>
    </row>
    <row r="841" ht="13.5" customHeight="1">
      <c r="B841" s="85"/>
      <c r="P841" s="87"/>
      <c r="Q841" s="87"/>
      <c r="R841" s="87"/>
      <c r="S841" s="87"/>
      <c r="T841" s="87"/>
    </row>
    <row r="842" ht="13.5" customHeight="1">
      <c r="B842" s="85"/>
      <c r="P842" s="87"/>
      <c r="Q842" s="87"/>
      <c r="R842" s="87"/>
      <c r="S842" s="87"/>
      <c r="T842" s="87"/>
    </row>
    <row r="843" ht="13.5" customHeight="1">
      <c r="B843" s="85"/>
      <c r="P843" s="87"/>
      <c r="Q843" s="87"/>
      <c r="R843" s="87"/>
      <c r="S843" s="87"/>
      <c r="T843" s="87"/>
    </row>
    <row r="844" ht="13.5" customHeight="1">
      <c r="B844" s="85"/>
      <c r="P844" s="87"/>
      <c r="Q844" s="87"/>
      <c r="R844" s="87"/>
      <c r="S844" s="87"/>
      <c r="T844" s="87"/>
    </row>
    <row r="845" ht="13.5" customHeight="1">
      <c r="B845" s="85"/>
      <c r="P845" s="87"/>
      <c r="Q845" s="87"/>
      <c r="R845" s="87"/>
      <c r="S845" s="87"/>
      <c r="T845" s="87"/>
    </row>
    <row r="846" ht="13.5" customHeight="1">
      <c r="B846" s="85"/>
      <c r="P846" s="87"/>
      <c r="Q846" s="87"/>
      <c r="R846" s="87"/>
      <c r="S846" s="87"/>
      <c r="T846" s="87"/>
    </row>
    <row r="847" ht="13.5" customHeight="1">
      <c r="B847" s="85"/>
      <c r="P847" s="87"/>
      <c r="Q847" s="87"/>
      <c r="R847" s="87"/>
      <c r="S847" s="87"/>
      <c r="T847" s="87"/>
    </row>
    <row r="848" ht="13.5" customHeight="1">
      <c r="B848" s="85"/>
      <c r="P848" s="87"/>
      <c r="Q848" s="87"/>
      <c r="R848" s="87"/>
      <c r="S848" s="87"/>
      <c r="T848" s="87"/>
    </row>
    <row r="849" ht="13.5" customHeight="1">
      <c r="B849" s="85"/>
      <c r="P849" s="87"/>
      <c r="Q849" s="87"/>
      <c r="R849" s="87"/>
      <c r="S849" s="87"/>
      <c r="T849" s="87"/>
    </row>
    <row r="850" ht="13.5" customHeight="1">
      <c r="B850" s="85"/>
      <c r="P850" s="87"/>
      <c r="Q850" s="87"/>
      <c r="R850" s="87"/>
      <c r="S850" s="87"/>
      <c r="T850" s="87"/>
    </row>
    <row r="851" ht="13.5" customHeight="1">
      <c r="B851" s="85"/>
      <c r="P851" s="87"/>
      <c r="Q851" s="87"/>
      <c r="R851" s="87"/>
      <c r="S851" s="87"/>
      <c r="T851" s="87"/>
    </row>
    <row r="852" ht="13.5" customHeight="1">
      <c r="B852" s="85"/>
      <c r="P852" s="87"/>
      <c r="Q852" s="87"/>
      <c r="R852" s="87"/>
      <c r="S852" s="87"/>
      <c r="T852" s="87"/>
    </row>
    <row r="853" ht="13.5" customHeight="1">
      <c r="B853" s="85"/>
      <c r="P853" s="87"/>
      <c r="Q853" s="87"/>
      <c r="R853" s="87"/>
      <c r="S853" s="87"/>
      <c r="T853" s="87"/>
    </row>
    <row r="854" ht="13.5" customHeight="1">
      <c r="B854" s="85"/>
      <c r="P854" s="87"/>
      <c r="Q854" s="87"/>
      <c r="R854" s="87"/>
      <c r="S854" s="87"/>
      <c r="T854" s="87"/>
    </row>
    <row r="855" ht="13.5" customHeight="1">
      <c r="B855" s="85"/>
      <c r="P855" s="87"/>
      <c r="Q855" s="87"/>
      <c r="R855" s="87"/>
      <c r="S855" s="87"/>
      <c r="T855" s="87"/>
    </row>
    <row r="856" ht="13.5" customHeight="1">
      <c r="B856" s="85"/>
      <c r="P856" s="87"/>
      <c r="Q856" s="87"/>
      <c r="R856" s="87"/>
      <c r="S856" s="87"/>
      <c r="T856" s="87"/>
    </row>
    <row r="857" ht="13.5" customHeight="1">
      <c r="B857" s="85"/>
      <c r="P857" s="87"/>
      <c r="Q857" s="87"/>
      <c r="R857" s="87"/>
      <c r="S857" s="87"/>
      <c r="T857" s="87"/>
    </row>
    <row r="858" ht="13.5" customHeight="1">
      <c r="B858" s="85"/>
      <c r="P858" s="87"/>
      <c r="Q858" s="87"/>
      <c r="R858" s="87"/>
      <c r="S858" s="87"/>
      <c r="T858" s="87"/>
    </row>
    <row r="859" ht="13.5" customHeight="1">
      <c r="B859" s="85"/>
      <c r="P859" s="87"/>
      <c r="Q859" s="87"/>
      <c r="R859" s="87"/>
      <c r="S859" s="87"/>
      <c r="T859" s="87"/>
    </row>
    <row r="860" ht="13.5" customHeight="1">
      <c r="B860" s="85"/>
      <c r="P860" s="87"/>
      <c r="Q860" s="87"/>
      <c r="R860" s="87"/>
      <c r="S860" s="87"/>
      <c r="T860" s="87"/>
    </row>
    <row r="861" ht="13.5" customHeight="1">
      <c r="B861" s="85"/>
      <c r="P861" s="87"/>
      <c r="Q861" s="87"/>
      <c r="R861" s="87"/>
      <c r="S861" s="87"/>
      <c r="T861" s="87"/>
    </row>
    <row r="862" ht="13.5" customHeight="1">
      <c r="B862" s="85"/>
      <c r="P862" s="87"/>
      <c r="Q862" s="87"/>
      <c r="R862" s="87"/>
      <c r="S862" s="87"/>
      <c r="T862" s="87"/>
    </row>
    <row r="863" ht="13.5" customHeight="1">
      <c r="B863" s="85"/>
      <c r="P863" s="87"/>
      <c r="Q863" s="87"/>
      <c r="R863" s="87"/>
      <c r="S863" s="87"/>
      <c r="T863" s="87"/>
    </row>
    <row r="864" ht="13.5" customHeight="1">
      <c r="B864" s="85"/>
      <c r="P864" s="87"/>
      <c r="Q864" s="87"/>
      <c r="R864" s="87"/>
      <c r="S864" s="87"/>
      <c r="T864" s="87"/>
    </row>
    <row r="865" ht="13.5" customHeight="1">
      <c r="B865" s="85"/>
      <c r="P865" s="87"/>
      <c r="Q865" s="87"/>
      <c r="R865" s="87"/>
      <c r="S865" s="87"/>
      <c r="T865" s="87"/>
    </row>
    <row r="866" ht="13.5" customHeight="1">
      <c r="B866" s="85"/>
      <c r="P866" s="87"/>
      <c r="Q866" s="87"/>
      <c r="R866" s="87"/>
      <c r="S866" s="87"/>
      <c r="T866" s="87"/>
    </row>
    <row r="867" ht="13.5" customHeight="1">
      <c r="B867" s="85"/>
      <c r="P867" s="87"/>
      <c r="Q867" s="87"/>
      <c r="R867" s="87"/>
      <c r="S867" s="87"/>
      <c r="T867" s="87"/>
    </row>
    <row r="868" ht="13.5" customHeight="1">
      <c r="B868" s="85"/>
      <c r="P868" s="87"/>
      <c r="Q868" s="87"/>
      <c r="R868" s="87"/>
      <c r="S868" s="87"/>
      <c r="T868" s="87"/>
    </row>
    <row r="869" ht="13.5" customHeight="1">
      <c r="B869" s="85"/>
      <c r="P869" s="87"/>
      <c r="Q869" s="87"/>
      <c r="R869" s="87"/>
      <c r="S869" s="87"/>
      <c r="T869" s="87"/>
    </row>
    <row r="870" ht="13.5" customHeight="1">
      <c r="B870" s="85"/>
      <c r="P870" s="87"/>
      <c r="Q870" s="87"/>
      <c r="R870" s="87"/>
      <c r="S870" s="87"/>
      <c r="T870" s="87"/>
    </row>
    <row r="871" ht="13.5" customHeight="1">
      <c r="B871" s="85"/>
      <c r="P871" s="87"/>
      <c r="Q871" s="87"/>
      <c r="R871" s="87"/>
      <c r="S871" s="87"/>
      <c r="T871" s="87"/>
    </row>
    <row r="872" ht="13.5" customHeight="1">
      <c r="B872" s="85"/>
      <c r="P872" s="87"/>
      <c r="Q872" s="87"/>
      <c r="R872" s="87"/>
      <c r="S872" s="87"/>
      <c r="T872" s="87"/>
    </row>
    <row r="873" ht="13.5" customHeight="1">
      <c r="B873" s="85"/>
      <c r="P873" s="87"/>
      <c r="Q873" s="87"/>
      <c r="R873" s="87"/>
      <c r="S873" s="87"/>
      <c r="T873" s="87"/>
    </row>
    <row r="874" ht="13.5" customHeight="1">
      <c r="B874" s="85"/>
      <c r="P874" s="87"/>
      <c r="Q874" s="87"/>
      <c r="R874" s="87"/>
      <c r="S874" s="87"/>
      <c r="T874" s="87"/>
    </row>
    <row r="875" ht="13.5" customHeight="1">
      <c r="B875" s="85"/>
      <c r="P875" s="87"/>
      <c r="Q875" s="87"/>
      <c r="R875" s="87"/>
      <c r="S875" s="87"/>
      <c r="T875" s="87"/>
    </row>
    <row r="876" ht="13.5" customHeight="1">
      <c r="B876" s="85"/>
      <c r="P876" s="87"/>
      <c r="Q876" s="87"/>
      <c r="R876" s="87"/>
      <c r="S876" s="87"/>
      <c r="T876" s="87"/>
    </row>
    <row r="877" ht="13.5" customHeight="1">
      <c r="B877" s="85"/>
      <c r="P877" s="87"/>
      <c r="Q877" s="87"/>
      <c r="R877" s="87"/>
      <c r="S877" s="87"/>
      <c r="T877" s="87"/>
    </row>
    <row r="878" ht="13.5" customHeight="1">
      <c r="B878" s="85"/>
      <c r="P878" s="87"/>
      <c r="Q878" s="87"/>
      <c r="R878" s="87"/>
      <c r="S878" s="87"/>
      <c r="T878" s="87"/>
    </row>
    <row r="879" ht="13.5" customHeight="1">
      <c r="B879" s="85"/>
      <c r="P879" s="87"/>
      <c r="Q879" s="87"/>
      <c r="R879" s="87"/>
      <c r="S879" s="87"/>
      <c r="T879" s="87"/>
    </row>
    <row r="880" ht="13.5" customHeight="1">
      <c r="B880" s="85"/>
      <c r="P880" s="87"/>
      <c r="Q880" s="87"/>
      <c r="R880" s="87"/>
      <c r="S880" s="87"/>
      <c r="T880" s="87"/>
    </row>
    <row r="881" ht="13.5" customHeight="1">
      <c r="B881" s="85"/>
      <c r="P881" s="87"/>
      <c r="Q881" s="87"/>
      <c r="R881" s="87"/>
      <c r="S881" s="87"/>
      <c r="T881" s="87"/>
    </row>
    <row r="882" ht="13.5" customHeight="1">
      <c r="B882" s="85"/>
      <c r="P882" s="87"/>
      <c r="Q882" s="87"/>
      <c r="R882" s="87"/>
      <c r="S882" s="87"/>
      <c r="T882" s="87"/>
    </row>
    <row r="883" ht="13.5" customHeight="1">
      <c r="B883" s="85"/>
      <c r="P883" s="87"/>
      <c r="Q883" s="87"/>
      <c r="R883" s="87"/>
      <c r="S883" s="87"/>
      <c r="T883" s="87"/>
    </row>
    <row r="884" ht="13.5" customHeight="1">
      <c r="B884" s="85"/>
      <c r="P884" s="87"/>
      <c r="Q884" s="87"/>
      <c r="R884" s="87"/>
      <c r="S884" s="87"/>
      <c r="T884" s="87"/>
    </row>
    <row r="885" ht="13.5" customHeight="1">
      <c r="B885" s="85"/>
      <c r="P885" s="87"/>
      <c r="Q885" s="87"/>
      <c r="R885" s="87"/>
      <c r="S885" s="87"/>
      <c r="T885" s="87"/>
    </row>
    <row r="886" ht="13.5" customHeight="1">
      <c r="B886" s="85"/>
      <c r="P886" s="87"/>
      <c r="Q886" s="87"/>
      <c r="R886" s="87"/>
      <c r="S886" s="87"/>
      <c r="T886" s="87"/>
    </row>
    <row r="887" ht="13.5" customHeight="1">
      <c r="B887" s="85"/>
      <c r="P887" s="87"/>
      <c r="Q887" s="87"/>
      <c r="R887" s="87"/>
      <c r="S887" s="87"/>
      <c r="T887" s="87"/>
    </row>
    <row r="888" ht="13.5" customHeight="1">
      <c r="B888" s="85"/>
      <c r="P888" s="87"/>
      <c r="Q888" s="87"/>
      <c r="R888" s="87"/>
      <c r="S888" s="87"/>
      <c r="T888" s="87"/>
    </row>
    <row r="889" ht="13.5" customHeight="1">
      <c r="B889" s="85"/>
      <c r="P889" s="87"/>
      <c r="Q889" s="87"/>
      <c r="R889" s="87"/>
      <c r="S889" s="87"/>
      <c r="T889" s="87"/>
    </row>
    <row r="890" ht="13.5" customHeight="1">
      <c r="B890" s="85"/>
      <c r="P890" s="87"/>
      <c r="Q890" s="87"/>
      <c r="R890" s="87"/>
      <c r="S890" s="87"/>
      <c r="T890" s="87"/>
    </row>
    <row r="891" ht="13.5" customHeight="1">
      <c r="B891" s="85"/>
      <c r="P891" s="87"/>
      <c r="Q891" s="87"/>
      <c r="R891" s="87"/>
      <c r="S891" s="87"/>
      <c r="T891" s="87"/>
    </row>
    <row r="892" ht="13.5" customHeight="1">
      <c r="B892" s="85"/>
      <c r="P892" s="87"/>
      <c r="Q892" s="87"/>
      <c r="R892" s="87"/>
      <c r="S892" s="87"/>
      <c r="T892" s="87"/>
    </row>
    <row r="893" ht="13.5" customHeight="1">
      <c r="B893" s="85"/>
      <c r="P893" s="87"/>
      <c r="Q893" s="87"/>
      <c r="R893" s="87"/>
      <c r="S893" s="87"/>
      <c r="T893" s="87"/>
    </row>
    <row r="894" ht="13.5" customHeight="1">
      <c r="B894" s="85"/>
      <c r="P894" s="87"/>
      <c r="Q894" s="87"/>
      <c r="R894" s="87"/>
      <c r="S894" s="87"/>
      <c r="T894" s="87"/>
    </row>
    <row r="895" ht="13.5" customHeight="1">
      <c r="B895" s="85"/>
      <c r="P895" s="87"/>
      <c r="Q895" s="87"/>
      <c r="R895" s="87"/>
      <c r="S895" s="87"/>
      <c r="T895" s="87"/>
    </row>
    <row r="896" ht="13.5" customHeight="1">
      <c r="B896" s="85"/>
      <c r="P896" s="87"/>
      <c r="Q896" s="87"/>
      <c r="R896" s="87"/>
      <c r="S896" s="87"/>
      <c r="T896" s="87"/>
    </row>
    <row r="897" ht="13.5" customHeight="1">
      <c r="B897" s="85"/>
      <c r="P897" s="87"/>
      <c r="Q897" s="87"/>
      <c r="R897" s="87"/>
      <c r="S897" s="87"/>
      <c r="T897" s="87"/>
    </row>
    <row r="898" ht="13.5" customHeight="1">
      <c r="B898" s="85"/>
      <c r="P898" s="87"/>
      <c r="Q898" s="87"/>
      <c r="R898" s="87"/>
      <c r="S898" s="87"/>
      <c r="T898" s="87"/>
    </row>
    <row r="899" ht="13.5" customHeight="1">
      <c r="B899" s="85"/>
      <c r="P899" s="87"/>
      <c r="Q899" s="87"/>
      <c r="R899" s="87"/>
      <c r="S899" s="87"/>
      <c r="T899" s="87"/>
    </row>
    <row r="900" ht="13.5" customHeight="1">
      <c r="B900" s="85"/>
      <c r="P900" s="87"/>
      <c r="Q900" s="87"/>
      <c r="R900" s="87"/>
      <c r="S900" s="87"/>
      <c r="T900" s="87"/>
    </row>
    <row r="901" ht="13.5" customHeight="1">
      <c r="B901" s="85"/>
      <c r="P901" s="87"/>
      <c r="Q901" s="87"/>
      <c r="R901" s="87"/>
      <c r="S901" s="87"/>
      <c r="T901" s="87"/>
    </row>
    <row r="902" ht="13.5" customHeight="1">
      <c r="B902" s="85"/>
      <c r="P902" s="87"/>
      <c r="Q902" s="87"/>
      <c r="R902" s="87"/>
      <c r="S902" s="87"/>
      <c r="T902" s="87"/>
    </row>
    <row r="903" ht="13.5" customHeight="1">
      <c r="B903" s="85"/>
      <c r="P903" s="87"/>
      <c r="Q903" s="87"/>
      <c r="R903" s="87"/>
      <c r="S903" s="87"/>
      <c r="T903" s="87"/>
    </row>
    <row r="904" ht="13.5" customHeight="1">
      <c r="B904" s="85"/>
      <c r="P904" s="87"/>
      <c r="Q904" s="87"/>
      <c r="R904" s="87"/>
      <c r="S904" s="87"/>
      <c r="T904" s="87"/>
    </row>
    <row r="905" ht="13.5" customHeight="1">
      <c r="B905" s="85"/>
      <c r="P905" s="87"/>
      <c r="Q905" s="87"/>
      <c r="R905" s="87"/>
      <c r="S905" s="87"/>
      <c r="T905" s="87"/>
    </row>
    <row r="906" ht="13.5" customHeight="1">
      <c r="B906" s="85"/>
      <c r="P906" s="87"/>
      <c r="Q906" s="87"/>
      <c r="R906" s="87"/>
      <c r="S906" s="87"/>
      <c r="T906" s="87"/>
    </row>
    <row r="907" ht="13.5" customHeight="1">
      <c r="B907" s="85"/>
      <c r="P907" s="87"/>
      <c r="Q907" s="87"/>
      <c r="R907" s="87"/>
      <c r="S907" s="87"/>
      <c r="T907" s="87"/>
    </row>
    <row r="908" ht="13.5" customHeight="1">
      <c r="B908" s="85"/>
      <c r="P908" s="87"/>
      <c r="Q908" s="87"/>
      <c r="R908" s="87"/>
      <c r="S908" s="87"/>
      <c r="T908" s="87"/>
    </row>
    <row r="909" ht="13.5" customHeight="1">
      <c r="B909" s="85"/>
      <c r="P909" s="87"/>
      <c r="Q909" s="87"/>
      <c r="R909" s="87"/>
      <c r="S909" s="87"/>
      <c r="T909" s="87"/>
    </row>
    <row r="910" ht="13.5" customHeight="1">
      <c r="B910" s="85"/>
      <c r="P910" s="87"/>
      <c r="Q910" s="87"/>
      <c r="R910" s="87"/>
      <c r="S910" s="87"/>
      <c r="T910" s="87"/>
    </row>
    <row r="911" ht="13.5" customHeight="1">
      <c r="B911" s="85"/>
      <c r="P911" s="87"/>
      <c r="Q911" s="87"/>
      <c r="R911" s="87"/>
      <c r="S911" s="87"/>
      <c r="T911" s="87"/>
    </row>
    <row r="912" ht="13.5" customHeight="1">
      <c r="B912" s="85"/>
      <c r="P912" s="87"/>
      <c r="Q912" s="87"/>
      <c r="R912" s="87"/>
      <c r="S912" s="87"/>
      <c r="T912" s="87"/>
    </row>
    <row r="913" ht="13.5" customHeight="1">
      <c r="B913" s="85"/>
      <c r="P913" s="87"/>
      <c r="Q913" s="87"/>
      <c r="R913" s="87"/>
      <c r="S913" s="87"/>
      <c r="T913" s="87"/>
    </row>
    <row r="914" ht="13.5" customHeight="1">
      <c r="B914" s="85"/>
      <c r="P914" s="87"/>
      <c r="Q914" s="87"/>
      <c r="R914" s="87"/>
      <c r="S914" s="87"/>
      <c r="T914" s="87"/>
    </row>
    <row r="915" ht="13.5" customHeight="1">
      <c r="B915" s="85"/>
      <c r="P915" s="87"/>
      <c r="Q915" s="87"/>
      <c r="R915" s="87"/>
      <c r="S915" s="87"/>
      <c r="T915" s="87"/>
    </row>
    <row r="916" ht="13.5" customHeight="1">
      <c r="B916" s="85"/>
      <c r="P916" s="87"/>
      <c r="Q916" s="87"/>
      <c r="R916" s="87"/>
      <c r="S916" s="87"/>
      <c r="T916" s="87"/>
    </row>
    <row r="917" ht="13.5" customHeight="1">
      <c r="B917" s="85"/>
      <c r="P917" s="87"/>
      <c r="Q917" s="87"/>
      <c r="R917" s="87"/>
      <c r="S917" s="87"/>
      <c r="T917" s="87"/>
    </row>
    <row r="918" ht="13.5" customHeight="1">
      <c r="B918" s="85"/>
      <c r="P918" s="87"/>
      <c r="Q918" s="87"/>
      <c r="R918" s="87"/>
      <c r="S918" s="87"/>
      <c r="T918" s="87"/>
    </row>
    <row r="919" ht="13.5" customHeight="1">
      <c r="B919" s="85"/>
      <c r="P919" s="87"/>
      <c r="Q919" s="87"/>
      <c r="R919" s="87"/>
      <c r="S919" s="87"/>
      <c r="T919" s="87"/>
    </row>
    <row r="920" ht="13.5" customHeight="1">
      <c r="B920" s="85"/>
      <c r="P920" s="87"/>
      <c r="Q920" s="87"/>
      <c r="R920" s="87"/>
      <c r="S920" s="87"/>
      <c r="T920" s="87"/>
    </row>
    <row r="921" ht="13.5" customHeight="1">
      <c r="B921" s="85"/>
      <c r="P921" s="87"/>
      <c r="Q921" s="87"/>
      <c r="R921" s="87"/>
      <c r="S921" s="87"/>
      <c r="T921" s="87"/>
    </row>
    <row r="922" ht="13.5" customHeight="1">
      <c r="B922" s="85"/>
      <c r="P922" s="87"/>
      <c r="Q922" s="87"/>
      <c r="R922" s="87"/>
      <c r="S922" s="87"/>
      <c r="T922" s="87"/>
    </row>
    <row r="923" ht="13.5" customHeight="1">
      <c r="B923" s="85"/>
      <c r="P923" s="87"/>
      <c r="Q923" s="87"/>
      <c r="R923" s="87"/>
      <c r="S923" s="87"/>
      <c r="T923" s="87"/>
    </row>
    <row r="924" ht="13.5" customHeight="1">
      <c r="B924" s="85"/>
      <c r="P924" s="87"/>
      <c r="Q924" s="87"/>
      <c r="R924" s="87"/>
      <c r="S924" s="87"/>
      <c r="T924" s="87"/>
    </row>
    <row r="925" ht="13.5" customHeight="1">
      <c r="B925" s="85"/>
      <c r="P925" s="87"/>
      <c r="Q925" s="87"/>
      <c r="R925" s="87"/>
      <c r="S925" s="87"/>
      <c r="T925" s="87"/>
    </row>
    <row r="926" ht="13.5" customHeight="1">
      <c r="B926" s="85"/>
      <c r="P926" s="87"/>
      <c r="Q926" s="87"/>
      <c r="R926" s="87"/>
      <c r="S926" s="87"/>
      <c r="T926" s="87"/>
    </row>
    <row r="927" ht="13.5" customHeight="1">
      <c r="B927" s="85"/>
      <c r="P927" s="87"/>
      <c r="Q927" s="87"/>
      <c r="R927" s="87"/>
      <c r="S927" s="87"/>
      <c r="T927" s="87"/>
    </row>
    <row r="928" ht="13.5" customHeight="1">
      <c r="B928" s="85"/>
      <c r="P928" s="87"/>
      <c r="Q928" s="87"/>
      <c r="R928" s="87"/>
      <c r="S928" s="87"/>
      <c r="T928" s="87"/>
    </row>
    <row r="929" ht="13.5" customHeight="1">
      <c r="B929" s="85"/>
      <c r="P929" s="87"/>
      <c r="Q929" s="87"/>
      <c r="R929" s="87"/>
      <c r="S929" s="87"/>
      <c r="T929" s="87"/>
    </row>
    <row r="930" ht="13.5" customHeight="1">
      <c r="B930" s="85"/>
      <c r="P930" s="87"/>
      <c r="Q930" s="87"/>
      <c r="R930" s="87"/>
      <c r="S930" s="87"/>
      <c r="T930" s="87"/>
    </row>
    <row r="931" ht="13.5" customHeight="1">
      <c r="B931" s="85"/>
      <c r="P931" s="87"/>
      <c r="Q931" s="87"/>
      <c r="R931" s="87"/>
      <c r="S931" s="87"/>
      <c r="T931" s="87"/>
    </row>
    <row r="932" ht="13.5" customHeight="1">
      <c r="B932" s="85"/>
      <c r="P932" s="87"/>
      <c r="Q932" s="87"/>
      <c r="R932" s="87"/>
      <c r="S932" s="87"/>
      <c r="T932" s="87"/>
    </row>
    <row r="933" ht="13.5" customHeight="1">
      <c r="B933" s="85"/>
      <c r="P933" s="87"/>
      <c r="Q933" s="87"/>
      <c r="R933" s="87"/>
      <c r="S933" s="87"/>
      <c r="T933" s="87"/>
    </row>
    <row r="934" ht="13.5" customHeight="1">
      <c r="B934" s="85"/>
      <c r="P934" s="87"/>
      <c r="Q934" s="87"/>
      <c r="R934" s="87"/>
      <c r="S934" s="87"/>
      <c r="T934" s="87"/>
    </row>
    <row r="935" ht="13.5" customHeight="1">
      <c r="B935" s="85"/>
      <c r="P935" s="87"/>
      <c r="Q935" s="87"/>
      <c r="R935" s="87"/>
      <c r="S935" s="87"/>
      <c r="T935" s="87"/>
    </row>
    <row r="936" ht="13.5" customHeight="1">
      <c r="B936" s="85"/>
      <c r="P936" s="87"/>
      <c r="Q936" s="87"/>
      <c r="R936" s="87"/>
      <c r="S936" s="87"/>
      <c r="T936" s="87"/>
    </row>
    <row r="937" ht="13.5" customHeight="1">
      <c r="B937" s="85"/>
      <c r="P937" s="87"/>
      <c r="Q937" s="87"/>
      <c r="R937" s="87"/>
      <c r="S937" s="87"/>
      <c r="T937" s="87"/>
    </row>
    <row r="938" ht="13.5" customHeight="1">
      <c r="B938" s="85"/>
      <c r="P938" s="87"/>
      <c r="Q938" s="87"/>
      <c r="R938" s="87"/>
      <c r="S938" s="87"/>
      <c r="T938" s="87"/>
    </row>
    <row r="939" ht="13.5" customHeight="1">
      <c r="B939" s="85"/>
      <c r="P939" s="87"/>
      <c r="Q939" s="87"/>
      <c r="R939" s="87"/>
      <c r="S939" s="87"/>
      <c r="T939" s="87"/>
    </row>
    <row r="940" ht="13.5" customHeight="1">
      <c r="B940" s="85"/>
      <c r="P940" s="87"/>
      <c r="Q940" s="87"/>
      <c r="R940" s="87"/>
      <c r="S940" s="87"/>
      <c r="T940" s="87"/>
    </row>
    <row r="941" ht="13.5" customHeight="1">
      <c r="B941" s="85"/>
      <c r="P941" s="87"/>
      <c r="Q941" s="87"/>
      <c r="R941" s="87"/>
      <c r="S941" s="87"/>
      <c r="T941" s="87"/>
    </row>
    <row r="942" ht="13.5" customHeight="1">
      <c r="B942" s="85"/>
      <c r="P942" s="87"/>
      <c r="Q942" s="87"/>
      <c r="R942" s="87"/>
      <c r="S942" s="87"/>
      <c r="T942" s="87"/>
    </row>
    <row r="943" ht="13.5" customHeight="1">
      <c r="B943" s="85"/>
      <c r="P943" s="87"/>
      <c r="Q943" s="87"/>
      <c r="R943" s="87"/>
      <c r="S943" s="87"/>
      <c r="T943" s="87"/>
    </row>
    <row r="944" ht="13.5" customHeight="1">
      <c r="B944" s="85"/>
      <c r="P944" s="87"/>
      <c r="Q944" s="87"/>
      <c r="R944" s="87"/>
      <c r="S944" s="87"/>
      <c r="T944" s="87"/>
    </row>
    <row r="945" ht="13.5" customHeight="1">
      <c r="B945" s="85"/>
      <c r="P945" s="87"/>
      <c r="Q945" s="87"/>
      <c r="R945" s="87"/>
      <c r="S945" s="87"/>
      <c r="T945" s="87"/>
    </row>
    <row r="946" ht="13.5" customHeight="1">
      <c r="B946" s="85"/>
      <c r="P946" s="87"/>
      <c r="Q946" s="87"/>
      <c r="R946" s="87"/>
      <c r="S946" s="87"/>
      <c r="T946" s="87"/>
    </row>
    <row r="947" ht="13.5" customHeight="1">
      <c r="B947" s="85"/>
      <c r="P947" s="87"/>
      <c r="Q947" s="87"/>
      <c r="R947" s="87"/>
      <c r="S947" s="87"/>
      <c r="T947" s="87"/>
    </row>
    <row r="948" ht="13.5" customHeight="1">
      <c r="B948" s="85"/>
      <c r="P948" s="87"/>
      <c r="Q948" s="87"/>
      <c r="R948" s="87"/>
      <c r="S948" s="87"/>
      <c r="T948" s="87"/>
    </row>
    <row r="949" ht="13.5" customHeight="1">
      <c r="B949" s="85"/>
      <c r="P949" s="87"/>
      <c r="Q949" s="87"/>
      <c r="R949" s="87"/>
      <c r="S949" s="87"/>
      <c r="T949" s="87"/>
    </row>
    <row r="950" ht="13.5" customHeight="1">
      <c r="B950" s="85"/>
      <c r="P950" s="87"/>
      <c r="Q950" s="87"/>
      <c r="R950" s="87"/>
      <c r="S950" s="87"/>
      <c r="T950" s="87"/>
    </row>
    <row r="951" ht="13.5" customHeight="1">
      <c r="B951" s="85"/>
      <c r="P951" s="87"/>
      <c r="Q951" s="87"/>
      <c r="R951" s="87"/>
      <c r="S951" s="87"/>
      <c r="T951" s="87"/>
    </row>
    <row r="952" ht="13.5" customHeight="1">
      <c r="B952" s="85"/>
      <c r="P952" s="87"/>
      <c r="Q952" s="87"/>
      <c r="R952" s="87"/>
      <c r="S952" s="87"/>
      <c r="T952" s="87"/>
    </row>
    <row r="953" ht="13.5" customHeight="1">
      <c r="B953" s="85"/>
      <c r="P953" s="87"/>
      <c r="Q953" s="87"/>
      <c r="R953" s="87"/>
      <c r="S953" s="87"/>
      <c r="T953" s="87"/>
    </row>
    <row r="954" ht="13.5" customHeight="1">
      <c r="B954" s="85"/>
      <c r="P954" s="87"/>
      <c r="Q954" s="87"/>
      <c r="R954" s="87"/>
      <c r="S954" s="87"/>
      <c r="T954" s="87"/>
    </row>
    <row r="955" ht="13.5" customHeight="1">
      <c r="B955" s="85"/>
      <c r="P955" s="87"/>
      <c r="Q955" s="87"/>
      <c r="R955" s="87"/>
      <c r="S955" s="87"/>
      <c r="T955" s="87"/>
    </row>
    <row r="956" ht="13.5" customHeight="1">
      <c r="B956" s="85"/>
      <c r="P956" s="87"/>
      <c r="Q956" s="87"/>
      <c r="R956" s="87"/>
      <c r="S956" s="87"/>
      <c r="T956" s="87"/>
    </row>
    <row r="957" ht="13.5" customHeight="1">
      <c r="B957" s="85"/>
      <c r="P957" s="87"/>
      <c r="Q957" s="87"/>
      <c r="R957" s="87"/>
      <c r="S957" s="87"/>
      <c r="T957" s="87"/>
    </row>
    <row r="958" ht="13.5" customHeight="1">
      <c r="B958" s="85"/>
      <c r="P958" s="87"/>
      <c r="Q958" s="87"/>
      <c r="R958" s="87"/>
      <c r="S958" s="87"/>
      <c r="T958" s="87"/>
    </row>
    <row r="959" ht="13.5" customHeight="1">
      <c r="B959" s="85"/>
      <c r="P959" s="87"/>
      <c r="Q959" s="87"/>
      <c r="R959" s="87"/>
      <c r="S959" s="87"/>
      <c r="T959" s="87"/>
    </row>
    <row r="960" ht="13.5" customHeight="1">
      <c r="B960" s="85"/>
      <c r="P960" s="87"/>
      <c r="Q960" s="87"/>
      <c r="R960" s="87"/>
      <c r="S960" s="87"/>
      <c r="T960" s="87"/>
    </row>
    <row r="961" ht="13.5" customHeight="1">
      <c r="B961" s="85"/>
      <c r="P961" s="87"/>
      <c r="Q961" s="87"/>
      <c r="R961" s="87"/>
      <c r="S961" s="87"/>
      <c r="T961" s="87"/>
    </row>
    <row r="962" ht="13.5" customHeight="1">
      <c r="B962" s="85"/>
      <c r="P962" s="87"/>
      <c r="Q962" s="87"/>
      <c r="R962" s="87"/>
      <c r="S962" s="87"/>
      <c r="T962" s="87"/>
    </row>
    <row r="963" ht="13.5" customHeight="1">
      <c r="B963" s="85"/>
      <c r="P963" s="87"/>
      <c r="Q963" s="87"/>
      <c r="R963" s="87"/>
      <c r="S963" s="87"/>
      <c r="T963" s="87"/>
    </row>
    <row r="964" ht="13.5" customHeight="1">
      <c r="B964" s="85"/>
      <c r="P964" s="87"/>
      <c r="Q964" s="87"/>
      <c r="R964" s="87"/>
      <c r="S964" s="87"/>
      <c r="T964" s="87"/>
    </row>
    <row r="965" ht="13.5" customHeight="1">
      <c r="B965" s="85"/>
      <c r="P965" s="87"/>
      <c r="Q965" s="87"/>
      <c r="R965" s="87"/>
      <c r="S965" s="87"/>
      <c r="T965" s="87"/>
    </row>
    <row r="966" ht="13.5" customHeight="1">
      <c r="B966" s="85"/>
      <c r="P966" s="87"/>
      <c r="Q966" s="87"/>
      <c r="R966" s="87"/>
      <c r="S966" s="87"/>
      <c r="T966" s="87"/>
    </row>
    <row r="967" ht="13.5" customHeight="1">
      <c r="B967" s="85"/>
      <c r="P967" s="87"/>
      <c r="Q967" s="87"/>
      <c r="R967" s="87"/>
      <c r="S967" s="87"/>
      <c r="T967" s="87"/>
    </row>
    <row r="968" ht="13.5" customHeight="1">
      <c r="B968" s="85"/>
      <c r="P968" s="87"/>
      <c r="Q968" s="87"/>
      <c r="R968" s="87"/>
      <c r="S968" s="87"/>
      <c r="T968" s="87"/>
    </row>
    <row r="969" ht="13.5" customHeight="1">
      <c r="B969" s="85"/>
      <c r="P969" s="87"/>
      <c r="Q969" s="87"/>
      <c r="R969" s="87"/>
      <c r="S969" s="87"/>
      <c r="T969" s="87"/>
    </row>
    <row r="970" ht="13.5" customHeight="1">
      <c r="B970" s="85"/>
      <c r="P970" s="87"/>
      <c r="Q970" s="87"/>
      <c r="R970" s="87"/>
      <c r="S970" s="87"/>
      <c r="T970" s="87"/>
    </row>
    <row r="971" ht="13.5" customHeight="1">
      <c r="B971" s="85"/>
      <c r="P971" s="87"/>
      <c r="Q971" s="87"/>
      <c r="R971" s="87"/>
      <c r="S971" s="87"/>
      <c r="T971" s="87"/>
    </row>
    <row r="972" ht="13.5" customHeight="1">
      <c r="B972" s="85"/>
      <c r="P972" s="87"/>
      <c r="Q972" s="87"/>
      <c r="R972" s="87"/>
      <c r="S972" s="87"/>
      <c r="T972" s="87"/>
    </row>
    <row r="973" ht="13.5" customHeight="1">
      <c r="B973" s="85"/>
      <c r="P973" s="87"/>
      <c r="Q973" s="87"/>
      <c r="R973" s="87"/>
      <c r="S973" s="87"/>
      <c r="T973" s="87"/>
    </row>
    <row r="974" ht="13.5" customHeight="1">
      <c r="B974" s="85"/>
      <c r="P974" s="87"/>
      <c r="Q974" s="87"/>
      <c r="R974" s="87"/>
      <c r="S974" s="87"/>
      <c r="T974" s="87"/>
    </row>
    <row r="975" ht="13.5" customHeight="1">
      <c r="B975" s="85"/>
      <c r="P975" s="87"/>
      <c r="Q975" s="87"/>
      <c r="R975" s="87"/>
      <c r="S975" s="87"/>
      <c r="T975" s="87"/>
    </row>
    <row r="976" ht="13.5" customHeight="1">
      <c r="B976" s="85"/>
      <c r="P976" s="87"/>
      <c r="Q976" s="87"/>
      <c r="R976" s="87"/>
      <c r="S976" s="87"/>
      <c r="T976" s="87"/>
    </row>
    <row r="977" ht="13.5" customHeight="1">
      <c r="B977" s="85"/>
      <c r="P977" s="87"/>
      <c r="Q977" s="87"/>
      <c r="R977" s="87"/>
      <c r="S977" s="87"/>
      <c r="T977" s="87"/>
    </row>
    <row r="978" ht="13.5" customHeight="1">
      <c r="B978" s="85"/>
      <c r="P978" s="87"/>
      <c r="Q978" s="87"/>
      <c r="R978" s="87"/>
      <c r="S978" s="87"/>
      <c r="T978" s="87"/>
    </row>
    <row r="979" ht="13.5" customHeight="1">
      <c r="B979" s="85"/>
      <c r="P979" s="87"/>
      <c r="Q979" s="87"/>
      <c r="R979" s="87"/>
      <c r="S979" s="87"/>
      <c r="T979" s="87"/>
    </row>
    <row r="980" ht="13.5" customHeight="1">
      <c r="B980" s="85"/>
      <c r="P980" s="87"/>
      <c r="Q980" s="87"/>
      <c r="R980" s="87"/>
      <c r="S980" s="87"/>
      <c r="T980" s="87"/>
    </row>
    <row r="981" ht="13.5" customHeight="1">
      <c r="B981" s="85"/>
      <c r="P981" s="87"/>
      <c r="Q981" s="87"/>
      <c r="R981" s="87"/>
      <c r="S981" s="87"/>
      <c r="T981" s="87"/>
    </row>
    <row r="982" ht="13.5" customHeight="1">
      <c r="B982" s="85"/>
      <c r="P982" s="87"/>
      <c r="Q982" s="87"/>
      <c r="R982" s="87"/>
      <c r="S982" s="87"/>
      <c r="T982" s="87"/>
    </row>
    <row r="983" ht="13.5" customHeight="1">
      <c r="B983" s="85"/>
      <c r="P983" s="87"/>
      <c r="Q983" s="87"/>
      <c r="R983" s="87"/>
      <c r="S983" s="87"/>
      <c r="T983" s="87"/>
    </row>
    <row r="984" ht="13.5" customHeight="1">
      <c r="B984" s="85"/>
      <c r="P984" s="87"/>
      <c r="Q984" s="87"/>
      <c r="R984" s="87"/>
      <c r="S984" s="87"/>
      <c r="T984" s="87"/>
    </row>
    <row r="985" ht="13.5" customHeight="1">
      <c r="B985" s="85"/>
      <c r="P985" s="87"/>
      <c r="Q985" s="87"/>
      <c r="R985" s="87"/>
      <c r="S985" s="87"/>
      <c r="T985" s="87"/>
    </row>
    <row r="986" ht="13.5" customHeight="1">
      <c r="B986" s="85"/>
      <c r="P986" s="87"/>
      <c r="Q986" s="87"/>
      <c r="R986" s="87"/>
      <c r="S986" s="87"/>
      <c r="T986" s="87"/>
    </row>
    <row r="987" ht="13.5" customHeight="1">
      <c r="B987" s="85"/>
      <c r="P987" s="87"/>
      <c r="Q987" s="87"/>
      <c r="R987" s="87"/>
      <c r="S987" s="87"/>
      <c r="T987" s="87"/>
    </row>
    <row r="988" ht="13.5" customHeight="1">
      <c r="B988" s="85"/>
      <c r="P988" s="87"/>
      <c r="Q988" s="87"/>
      <c r="R988" s="87"/>
      <c r="S988" s="87"/>
      <c r="T988" s="87"/>
    </row>
    <row r="989" ht="13.5" customHeight="1">
      <c r="B989" s="85"/>
      <c r="P989" s="87"/>
      <c r="Q989" s="87"/>
      <c r="R989" s="87"/>
      <c r="S989" s="87"/>
      <c r="T989" s="87"/>
    </row>
    <row r="990" ht="13.5" customHeight="1">
      <c r="B990" s="85"/>
      <c r="P990" s="87"/>
      <c r="Q990" s="87"/>
      <c r="R990" s="87"/>
      <c r="S990" s="87"/>
      <c r="T990" s="87"/>
    </row>
    <row r="991" ht="13.5" customHeight="1">
      <c r="B991" s="85"/>
      <c r="P991" s="87"/>
      <c r="Q991" s="87"/>
      <c r="R991" s="87"/>
      <c r="S991" s="87"/>
      <c r="T991" s="87"/>
    </row>
    <row r="992" ht="13.5" customHeight="1">
      <c r="B992" s="85"/>
      <c r="P992" s="87"/>
      <c r="Q992" s="87"/>
      <c r="R992" s="87"/>
      <c r="S992" s="87"/>
      <c r="T992" s="87"/>
    </row>
    <row r="993" ht="13.5" customHeight="1">
      <c r="B993" s="85"/>
      <c r="P993" s="87"/>
      <c r="Q993" s="87"/>
      <c r="R993" s="87"/>
      <c r="S993" s="87"/>
      <c r="T993" s="87"/>
    </row>
    <row r="994" ht="13.5" customHeight="1">
      <c r="B994" s="85"/>
      <c r="P994" s="87"/>
      <c r="Q994" s="87"/>
      <c r="R994" s="87"/>
      <c r="S994" s="87"/>
      <c r="T994" s="87"/>
    </row>
    <row r="995" ht="13.5" customHeight="1">
      <c r="B995" s="85"/>
      <c r="P995" s="87"/>
      <c r="Q995" s="87"/>
      <c r="R995" s="87"/>
      <c r="S995" s="87"/>
      <c r="T995" s="87"/>
    </row>
    <row r="996" ht="13.5" customHeight="1">
      <c r="B996" s="85"/>
      <c r="P996" s="87"/>
      <c r="Q996" s="87"/>
      <c r="R996" s="87"/>
      <c r="S996" s="87"/>
      <c r="T996" s="87"/>
    </row>
    <row r="997" ht="13.5" customHeight="1">
      <c r="B997" s="85"/>
      <c r="P997" s="87"/>
      <c r="Q997" s="87"/>
      <c r="R997" s="87"/>
      <c r="S997" s="87"/>
      <c r="T997" s="87"/>
    </row>
    <row r="998" ht="13.5" customHeight="1">
      <c r="B998" s="85"/>
      <c r="P998" s="87"/>
      <c r="Q998" s="87"/>
      <c r="R998" s="87"/>
      <c r="S998" s="87"/>
      <c r="T998" s="87"/>
    </row>
    <row r="999" ht="13.5" customHeight="1">
      <c r="B999" s="85"/>
      <c r="P999" s="87"/>
      <c r="Q999" s="87"/>
      <c r="R999" s="87"/>
      <c r="S999" s="87"/>
      <c r="T999" s="87"/>
    </row>
    <row r="1000" ht="13.5" customHeight="1">
      <c r="B1000" s="85"/>
      <c r="P1000" s="87"/>
      <c r="Q1000" s="87"/>
      <c r="R1000" s="87"/>
      <c r="S1000" s="87"/>
      <c r="T1000" s="87"/>
    </row>
  </sheetData>
  <mergeCells count="12">
    <mergeCell ref="N3:N4"/>
    <mergeCell ref="M29:O29"/>
    <mergeCell ref="N33:N34"/>
    <mergeCell ref="M55:O55"/>
    <mergeCell ref="H3:H4"/>
    <mergeCell ref="H33:H34"/>
    <mergeCell ref="C31:H31"/>
    <mergeCell ref="A1:A29"/>
    <mergeCell ref="C1:H1"/>
    <mergeCell ref="I1:N1"/>
    <mergeCell ref="I31:N31"/>
    <mergeCell ref="A31:A54"/>
  </mergeCells>
  <conditionalFormatting sqref="B5:B28">
    <cfRule type="containsText" dxfId="0" priority="1" operator="containsText" text="Early Morning">
      <formula>NOT(ISERROR(SEARCH(("Early Morning"),(B5))))</formula>
    </cfRule>
  </conditionalFormatting>
  <conditionalFormatting sqref="B5:B28">
    <cfRule type="containsText" dxfId="1" priority="2" operator="containsText" text="Midday">
      <formula>NOT(ISERROR(SEARCH(("Midday"),(B5))))</formula>
    </cfRule>
  </conditionalFormatting>
  <conditionalFormatting sqref="B4:B28 B34">
    <cfRule type="containsText" dxfId="2" priority="3" operator="containsText" text="Morning">
      <formula>NOT(ISERROR(SEARCH(("Morning"),(B4))))</formula>
    </cfRule>
  </conditionalFormatting>
  <conditionalFormatting sqref="B4:B28 B34">
    <cfRule type="containsText" dxfId="3" priority="4" operator="containsText" text="Night">
      <formula>NOT(ISERROR(SEARCH(("Night"),(B4))))</formula>
    </cfRule>
  </conditionalFormatting>
  <conditionalFormatting sqref="B4:B28 B34">
    <cfRule type="containsText" dxfId="4" priority="5" operator="containsText" text="Evening">
      <formula>NOT(ISERROR(SEARCH(("Evening"),(B4))))</formula>
    </cfRule>
  </conditionalFormatting>
  <conditionalFormatting sqref="B4:B28 B34">
    <cfRule type="containsText" dxfId="5" priority="6" operator="containsText" text="Peak">
      <formula>NOT(ISERROR(SEARCH(("Peak"),(B4))))</formula>
    </cfRule>
  </conditionalFormatting>
  <conditionalFormatting sqref="B35:B54">
    <cfRule type="containsText" dxfId="0" priority="7" operator="containsText" text="Early Morning">
      <formula>NOT(ISERROR(SEARCH(("Early Morning"),(B35))))</formula>
    </cfRule>
  </conditionalFormatting>
  <conditionalFormatting sqref="B35:B54">
    <cfRule type="containsText" dxfId="1" priority="8" operator="containsText" text="Midday">
      <formula>NOT(ISERROR(SEARCH(("Midday"),(B35))))</formula>
    </cfRule>
  </conditionalFormatting>
  <conditionalFormatting sqref="B35:B54">
    <cfRule type="containsText" dxfId="2" priority="9" operator="containsText" text="Morning">
      <formula>NOT(ISERROR(SEARCH(("Morning"),(B35))))</formula>
    </cfRule>
  </conditionalFormatting>
  <conditionalFormatting sqref="B35:B54">
    <cfRule type="containsText" dxfId="3" priority="10" operator="containsText" text="Night">
      <formula>NOT(ISERROR(SEARCH(("Night"),(B35))))</formula>
    </cfRule>
  </conditionalFormatting>
  <conditionalFormatting sqref="B35:B54">
    <cfRule type="containsText" dxfId="4" priority="11" operator="containsText" text="Evening">
      <formula>NOT(ISERROR(SEARCH(("Evening"),(B35))))</formula>
    </cfRule>
  </conditionalFormatting>
  <conditionalFormatting sqref="B35:B54">
    <cfRule type="containsText" dxfId="5" priority="12" operator="containsText" text="Peak">
      <formula>NOT(ISERROR(SEARCH(("Peak"),(B35))))</formula>
    </cfRule>
  </conditionalFormatting>
  <conditionalFormatting sqref="P3:R3 P30">
    <cfRule type="containsText" dxfId="3" priority="13" operator="containsText" text="Night">
      <formula>NOT(ISERROR(SEARCH(("Night"),(P3))))</formula>
    </cfRule>
  </conditionalFormatting>
  <conditionalFormatting sqref="P3:R3 P30">
    <cfRule type="containsText" dxfId="4" priority="14" operator="containsText" text="Evening">
      <formula>NOT(ISERROR(SEARCH(("Evening"),(P3))))</formula>
    </cfRule>
  </conditionalFormatting>
  <conditionalFormatting sqref="P3:R3 P30">
    <cfRule type="containsText" dxfId="5" priority="15" operator="containsText" text="Peak">
      <formula>NOT(ISERROR(SEARCH(("Peak"),(P3))))</formula>
    </cfRule>
  </conditionalFormatting>
  <conditionalFormatting sqref="P3:R3 B4 P30 B34">
    <cfRule type="containsText" dxfId="1" priority="16" operator="containsText" text="Afternoon">
      <formula>NOT(ISERROR(SEARCH(("Afternoon"),(P3))))</formula>
    </cfRule>
  </conditionalFormatting>
  <conditionalFormatting sqref="P3:R3 P30">
    <cfRule type="containsText" dxfId="2" priority="17" operator="containsText" text="Morning">
      <formula>NOT(ISERROR(SEARCH(("Morning"),(P3))))</formula>
    </cfRule>
  </conditionalFormatting>
  <conditionalFormatting sqref="P33:R33">
    <cfRule type="containsText" dxfId="3" priority="18" operator="containsText" text="Night">
      <formula>NOT(ISERROR(SEARCH(("Night"),(P33))))</formula>
    </cfRule>
  </conditionalFormatting>
  <conditionalFormatting sqref="P33:R33">
    <cfRule type="containsText" dxfId="4" priority="19" operator="containsText" text="Evening">
      <formula>NOT(ISERROR(SEARCH(("Evening"),(P33))))</formula>
    </cfRule>
  </conditionalFormatting>
  <conditionalFormatting sqref="P33:R33">
    <cfRule type="containsText" dxfId="5" priority="20" operator="containsText" text="Peak">
      <formula>NOT(ISERROR(SEARCH(("Peak"),(P33))))</formula>
    </cfRule>
  </conditionalFormatting>
  <conditionalFormatting sqref="P33:R33">
    <cfRule type="containsText" dxfId="1" priority="21" operator="containsText" text="Afternoon">
      <formula>NOT(ISERROR(SEARCH(("Afternoon"),(P33))))</formula>
    </cfRule>
  </conditionalFormatting>
  <conditionalFormatting sqref="P33:R33">
    <cfRule type="containsText" dxfId="2" priority="22" operator="containsText" text="Morning">
      <formula>NOT(ISERROR(SEARCH(("Morning"),(P33))))</formula>
    </cfRule>
  </conditionalFormatting>
  <conditionalFormatting sqref="T5:T28 T30 T35:T54">
    <cfRule type="containsText" dxfId="3" priority="23" operator="containsText" text="Night">
      <formula>NOT(ISERROR(SEARCH(("Night"),(T5))))</formula>
    </cfRule>
  </conditionalFormatting>
  <conditionalFormatting sqref="T5:T28 T30 T35:T54">
    <cfRule type="containsText" dxfId="4" priority="24" operator="containsText" text="Evening">
      <formula>NOT(ISERROR(SEARCH(("Evening"),(T5))))</formula>
    </cfRule>
  </conditionalFormatting>
  <conditionalFormatting sqref="T5:T28 T30 T35:T54">
    <cfRule type="containsText" dxfId="5" priority="25" operator="containsText" text="Peak">
      <formula>NOT(ISERROR(SEARCH(("Peak"),(T5))))</formula>
    </cfRule>
  </conditionalFormatting>
  <conditionalFormatting sqref="T5:T28 T30 T35:T54">
    <cfRule type="containsText" dxfId="1" priority="26" operator="containsText" text="Afternoon">
      <formula>NOT(ISERROR(SEARCH(("Afternoon"),(T5))))</formula>
    </cfRule>
  </conditionalFormatting>
  <conditionalFormatting sqref="T5:T28 T30 T35:T54">
    <cfRule type="containsText" dxfId="2" priority="27" operator="containsText" text="Morning">
      <formula>NOT(ISERROR(SEARCH(("Morning"),(T5))))</formula>
    </cfRule>
  </conditionalFormatting>
  <conditionalFormatting sqref="T5:T28 T30 T35:T54">
    <cfRule type="cellIs" dxfId="6" priority="28" operator="lessThan">
      <formula>20</formula>
    </cfRule>
  </conditionalFormatting>
  <conditionalFormatting sqref="T5:T28 T30 T35:T54">
    <cfRule type="cellIs" dxfId="7" priority="29" operator="equal">
      <formula>30</formula>
    </cfRule>
  </conditionalFormatting>
  <conditionalFormatting sqref="T5:T28 T30 T35:T54">
    <cfRule type="cellIs" dxfId="8" priority="30" operator="greaterThan">
      <formula>31</formula>
    </cfRule>
  </conditionalFormatting>
  <conditionalFormatting sqref="T5:T28 T30 T35:T54">
    <cfRule type="cellIs" dxfId="9" priority="31" operator="between">
      <formula>19</formula>
      <formula>29</formula>
    </cfRule>
  </conditionalFormatting>
  <conditionalFormatting sqref="U5:W25">
    <cfRule type="cellIs" dxfId="6" priority="32" operator="lessThan">
      <formula>20</formula>
    </cfRule>
  </conditionalFormatting>
  <conditionalFormatting sqref="U5:W25">
    <cfRule type="cellIs" dxfId="7" priority="33" operator="equal">
      <formula>30</formula>
    </cfRule>
  </conditionalFormatting>
  <conditionalFormatting sqref="U5:W25">
    <cfRule type="cellIs" dxfId="8" priority="34" operator="greaterThan">
      <formula>31</formula>
    </cfRule>
  </conditionalFormatting>
  <conditionalFormatting sqref="U5:W25">
    <cfRule type="cellIs" dxfId="9" priority="35" operator="between">
      <formula>19</formula>
      <formula>29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75"/>
    <col customWidth="1" min="4" max="5" width="13.25"/>
    <col customWidth="1" min="6" max="6" width="3.25"/>
    <col customWidth="1" min="7" max="8" width="12.75"/>
    <col customWidth="1" min="9" max="9" width="2.75"/>
    <col customWidth="1" min="10" max="11" width="13.0"/>
    <col customWidth="1" min="12" max="12" width="2.63"/>
    <col customWidth="1" min="13" max="14" width="12.63"/>
    <col customWidth="1" min="15" max="15" width="2.75"/>
    <col customWidth="1" min="16" max="17" width="11.25"/>
    <col customWidth="1" min="18" max="18" width="3.75"/>
    <col customWidth="1" min="19" max="19" width="13.0"/>
    <col customWidth="1" min="20" max="26" width="8.63"/>
  </cols>
  <sheetData>
    <row r="1" ht="19.5" customHeight="1">
      <c r="A1" s="123" t="s">
        <v>58</v>
      </c>
      <c r="B1" s="73"/>
      <c r="C1" s="124" t="s">
        <v>83</v>
      </c>
      <c r="D1" s="125" t="s">
        <v>84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126"/>
    </row>
    <row r="2" ht="13.5" customHeight="1">
      <c r="A2" s="127"/>
      <c r="B2" s="73"/>
      <c r="C2" s="128" t="s">
        <v>62</v>
      </c>
      <c r="D2" s="128" t="s">
        <v>85</v>
      </c>
      <c r="E2" s="128" t="s">
        <v>85</v>
      </c>
      <c r="F2" s="85"/>
      <c r="G2" s="128" t="s">
        <v>62</v>
      </c>
      <c r="H2" s="128" t="s">
        <v>85</v>
      </c>
      <c r="I2" s="85"/>
      <c r="J2" s="128" t="s">
        <v>62</v>
      </c>
      <c r="K2" s="128" t="s">
        <v>85</v>
      </c>
      <c r="L2" s="85"/>
      <c r="M2" s="128" t="s">
        <v>62</v>
      </c>
      <c r="N2" s="128" t="s">
        <v>85</v>
      </c>
      <c r="O2" s="85"/>
      <c r="P2" s="128" t="s">
        <v>62</v>
      </c>
      <c r="Q2" s="128" t="s">
        <v>85</v>
      </c>
      <c r="R2" s="85"/>
      <c r="S2" s="128" t="s">
        <v>62</v>
      </c>
      <c r="T2" s="129"/>
      <c r="U2" s="129"/>
      <c r="V2" s="129"/>
      <c r="W2" s="129"/>
    </row>
    <row r="3" ht="13.5" customHeight="1">
      <c r="A3" s="127"/>
      <c r="B3" s="89" t="s">
        <v>63</v>
      </c>
      <c r="C3" s="130" t="s">
        <v>86</v>
      </c>
      <c r="D3" s="130" t="s">
        <v>71</v>
      </c>
      <c r="E3" s="131" t="s">
        <v>87</v>
      </c>
      <c r="F3" s="132"/>
      <c r="G3" s="131" t="s">
        <v>87</v>
      </c>
      <c r="H3" s="130" t="s">
        <v>70</v>
      </c>
      <c r="I3" s="132"/>
      <c r="J3" s="130" t="s">
        <v>70</v>
      </c>
      <c r="K3" s="131" t="s">
        <v>68</v>
      </c>
      <c r="L3" s="132"/>
      <c r="M3" s="131" t="s">
        <v>68</v>
      </c>
      <c r="N3" s="131" t="s">
        <v>88</v>
      </c>
      <c r="O3" s="132"/>
      <c r="P3" s="131" t="s">
        <v>88</v>
      </c>
      <c r="Q3" s="131" t="s">
        <v>86</v>
      </c>
      <c r="R3" s="132"/>
      <c r="S3" s="133" t="s">
        <v>86</v>
      </c>
      <c r="T3" s="134"/>
      <c r="U3" s="134"/>
      <c r="V3" s="134"/>
      <c r="W3" s="134"/>
    </row>
    <row r="4" ht="13.5" customHeight="1">
      <c r="A4" s="127"/>
      <c r="B4" s="93" t="s">
        <v>72</v>
      </c>
      <c r="C4" s="135">
        <v>1.0</v>
      </c>
      <c r="D4" s="128">
        <v>57.0</v>
      </c>
      <c r="E4" s="128">
        <v>441.0</v>
      </c>
      <c r="F4" s="136" t="s">
        <v>69</v>
      </c>
      <c r="G4" s="128">
        <v>441.0</v>
      </c>
      <c r="H4" s="128">
        <v>330.0</v>
      </c>
      <c r="I4" s="137" t="s">
        <v>69</v>
      </c>
      <c r="J4" s="128">
        <v>330.0</v>
      </c>
      <c r="K4" s="128">
        <v>559.0</v>
      </c>
      <c r="L4" s="136" t="s">
        <v>69</v>
      </c>
      <c r="M4" s="128">
        <v>559.0</v>
      </c>
      <c r="N4" s="128">
        <v>399.0</v>
      </c>
      <c r="O4" s="136" t="s">
        <v>69</v>
      </c>
      <c r="P4" s="128">
        <v>399.0</v>
      </c>
      <c r="Q4" s="128">
        <v>1.0</v>
      </c>
      <c r="R4" s="136" t="s">
        <v>69</v>
      </c>
      <c r="S4" s="138">
        <v>1.0</v>
      </c>
      <c r="T4" s="139" t="s">
        <v>73</v>
      </c>
      <c r="U4" s="139" t="s">
        <v>74</v>
      </c>
      <c r="V4" s="139" t="s">
        <v>69</v>
      </c>
      <c r="W4" s="139" t="s">
        <v>75</v>
      </c>
      <c r="X4" s="140" t="s">
        <v>76</v>
      </c>
    </row>
    <row r="5" ht="13.5" customHeight="1">
      <c r="A5" s="127"/>
      <c r="B5" s="141" t="s">
        <v>89</v>
      </c>
      <c r="C5" s="100">
        <v>0.29583333333333334</v>
      </c>
      <c r="D5" s="101">
        <v>0.3</v>
      </c>
      <c r="E5" s="101">
        <v>0.3041666666666667</v>
      </c>
      <c r="F5" s="99">
        <v>1.0</v>
      </c>
      <c r="G5" s="101">
        <v>0.30486111111111114</v>
      </c>
      <c r="H5" s="101">
        <v>0.3125</v>
      </c>
      <c r="I5" s="99">
        <v>0.0</v>
      </c>
      <c r="J5" s="101">
        <v>0.3125</v>
      </c>
      <c r="K5" s="101">
        <v>0.3138888888888889</v>
      </c>
      <c r="L5" s="99">
        <v>0.0</v>
      </c>
      <c r="M5" s="101">
        <v>0.3138888888888889</v>
      </c>
      <c r="N5" s="101">
        <v>0.31875</v>
      </c>
      <c r="O5" s="99">
        <v>0.0</v>
      </c>
      <c r="P5" s="101">
        <v>0.31875</v>
      </c>
      <c r="Q5" s="101">
        <v>0.32499999999999996</v>
      </c>
      <c r="R5" s="99">
        <v>6.0</v>
      </c>
      <c r="S5" s="101">
        <v>0.3291666666666666</v>
      </c>
      <c r="T5" s="103">
        <v>40.99999999999991</v>
      </c>
      <c r="U5" s="103">
        <v>47.99999999999991</v>
      </c>
      <c r="V5" s="103">
        <v>7.0</v>
      </c>
      <c r="W5" s="104">
        <v>0.17073170731707354</v>
      </c>
      <c r="X5" s="142"/>
      <c r="Z5" s="143" t="s">
        <v>90</v>
      </c>
    </row>
    <row r="6" ht="13.5" customHeight="1">
      <c r="A6" s="127"/>
      <c r="B6" s="141" t="s">
        <v>77</v>
      </c>
      <c r="C6" s="100">
        <v>0.3090277777777778</v>
      </c>
      <c r="D6" s="101">
        <v>0.31319444444444444</v>
      </c>
      <c r="E6" s="101">
        <v>0.31736111111111115</v>
      </c>
      <c r="F6" s="99">
        <v>0.9999999999999964</v>
      </c>
      <c r="G6" s="101">
        <v>0.3180555555555556</v>
      </c>
      <c r="H6" s="144">
        <v>0.32638888888888895</v>
      </c>
      <c r="I6" s="99">
        <v>0.0</v>
      </c>
      <c r="J6" s="101">
        <v>0.32638888888888895</v>
      </c>
      <c r="K6" s="101">
        <v>0.32777777777777783</v>
      </c>
      <c r="L6" s="99">
        <v>0.0</v>
      </c>
      <c r="M6" s="101">
        <v>0.32777777777777783</v>
      </c>
      <c r="N6" s="101">
        <v>0.33333333333333337</v>
      </c>
      <c r="O6" s="99">
        <v>0.0</v>
      </c>
      <c r="P6" s="101">
        <v>0.33333333333333337</v>
      </c>
      <c r="Q6" s="101">
        <v>0.33958333333333335</v>
      </c>
      <c r="R6" s="145">
        <v>7.0</v>
      </c>
      <c r="S6" s="101">
        <v>0.34444444444444444</v>
      </c>
      <c r="T6" s="103">
        <v>42.999999999999986</v>
      </c>
      <c r="U6" s="103">
        <v>50.99999999999998</v>
      </c>
      <c r="V6" s="103">
        <v>7.9999999999999964</v>
      </c>
      <c r="W6" s="104">
        <v>0.18604651162790695</v>
      </c>
      <c r="X6" s="142">
        <v>22.00000000000008</v>
      </c>
      <c r="Z6" s="146" t="s">
        <v>91</v>
      </c>
    </row>
    <row r="7" ht="13.5" customHeight="1">
      <c r="A7" s="127"/>
      <c r="B7" s="141" t="s">
        <v>77</v>
      </c>
      <c r="C7" s="101">
        <v>0.3291666666666666</v>
      </c>
      <c r="D7" s="101">
        <v>0.33333333333333326</v>
      </c>
      <c r="E7" s="101">
        <v>0.33749999999999997</v>
      </c>
      <c r="F7" s="99">
        <v>0.9999999999999964</v>
      </c>
      <c r="G7" s="101">
        <v>0.3381944444444444</v>
      </c>
      <c r="H7" s="101">
        <v>0.34652777777777777</v>
      </c>
      <c r="I7" s="99">
        <v>0.0</v>
      </c>
      <c r="J7" s="101">
        <v>0.34652777777777777</v>
      </c>
      <c r="K7" s="101">
        <v>0.34791666666666665</v>
      </c>
      <c r="L7" s="99">
        <v>0.0</v>
      </c>
      <c r="M7" s="101">
        <v>0.34791666666666665</v>
      </c>
      <c r="N7" s="101">
        <v>0.3534722222222222</v>
      </c>
      <c r="O7" s="99">
        <v>0.0</v>
      </c>
      <c r="P7" s="101">
        <v>0.3534722222222222</v>
      </c>
      <c r="Q7" s="101">
        <v>0.35972222222222217</v>
      </c>
      <c r="R7" s="99">
        <v>5.0</v>
      </c>
      <c r="S7" s="101">
        <v>0.3631944444444444</v>
      </c>
      <c r="T7" s="103">
        <v>42.999999999999986</v>
      </c>
      <c r="U7" s="103">
        <v>48.999999999999986</v>
      </c>
      <c r="V7" s="103">
        <v>5.9999999999999964</v>
      </c>
      <c r="W7" s="104">
        <v>0.1395348837209302</v>
      </c>
      <c r="X7" s="142">
        <v>26.999999999999904</v>
      </c>
      <c r="Z7" s="147" t="s">
        <v>92</v>
      </c>
    </row>
    <row r="8" ht="13.5" customHeight="1">
      <c r="A8" s="127"/>
      <c r="B8" s="141" t="s">
        <v>77</v>
      </c>
      <c r="C8" s="101">
        <v>0.34444444444444444</v>
      </c>
      <c r="D8" s="101">
        <v>0.3486111111111111</v>
      </c>
      <c r="E8" s="101">
        <v>0.3527777777777778</v>
      </c>
      <c r="F8" s="99">
        <v>0.9999999999999964</v>
      </c>
      <c r="G8" s="101">
        <v>0.35347222222222224</v>
      </c>
      <c r="H8" s="101">
        <v>0.3618055555555556</v>
      </c>
      <c r="I8" s="99">
        <v>0.0</v>
      </c>
      <c r="J8" s="101">
        <v>0.3618055555555556</v>
      </c>
      <c r="K8" s="101">
        <v>0.3631944444444445</v>
      </c>
      <c r="L8" s="99">
        <v>0.0</v>
      </c>
      <c r="M8" s="101">
        <v>0.3631944444444445</v>
      </c>
      <c r="N8" s="101">
        <v>0.36875</v>
      </c>
      <c r="O8" s="99">
        <v>0.0</v>
      </c>
      <c r="P8" s="101">
        <v>0.36875</v>
      </c>
      <c r="Q8" s="101">
        <v>0.375</v>
      </c>
      <c r="R8" s="145">
        <v>7.0</v>
      </c>
      <c r="S8" s="101">
        <v>0.3798611111111111</v>
      </c>
      <c r="T8" s="103">
        <v>42.999999999999986</v>
      </c>
      <c r="U8" s="103">
        <v>50.99999999999998</v>
      </c>
      <c r="V8" s="103">
        <v>7.9999999999999964</v>
      </c>
      <c r="W8" s="104">
        <v>0.18604651162790695</v>
      </c>
      <c r="X8" s="142">
        <v>24.000000000000075</v>
      </c>
      <c r="Z8" s="148" t="s">
        <v>93</v>
      </c>
    </row>
    <row r="9" ht="13.5" customHeight="1">
      <c r="A9" s="127"/>
      <c r="B9" s="141" t="s">
        <v>77</v>
      </c>
      <c r="C9" s="101">
        <v>0.3631944444444444</v>
      </c>
      <c r="D9" s="101">
        <v>0.367361111111111</v>
      </c>
      <c r="E9" s="101">
        <v>0.37152777777777773</v>
      </c>
      <c r="F9" s="99">
        <v>0.9999999999999964</v>
      </c>
      <c r="G9" s="101">
        <v>0.3722222222222222</v>
      </c>
      <c r="H9" s="101">
        <v>0.38055555555555554</v>
      </c>
      <c r="I9" s="99">
        <v>0.0</v>
      </c>
      <c r="J9" s="101">
        <v>0.38055555555555554</v>
      </c>
      <c r="K9" s="101">
        <v>0.3819444444444444</v>
      </c>
      <c r="L9" s="99">
        <v>0.0</v>
      </c>
      <c r="M9" s="101">
        <v>0.3819444444444444</v>
      </c>
      <c r="N9" s="101">
        <v>0.38749999999999996</v>
      </c>
      <c r="O9" s="99">
        <v>0.0</v>
      </c>
      <c r="P9" s="101">
        <v>0.38749999999999996</v>
      </c>
      <c r="Q9" s="101">
        <v>0.39374999999999993</v>
      </c>
      <c r="R9" s="99">
        <v>5.0</v>
      </c>
      <c r="S9" s="101">
        <v>0.39722222222222214</v>
      </c>
      <c r="T9" s="103">
        <v>42.999999999999986</v>
      </c>
      <c r="U9" s="103">
        <v>48.999999999999986</v>
      </c>
      <c r="V9" s="103">
        <v>5.9999999999999964</v>
      </c>
      <c r="W9" s="104">
        <v>0.1395348837209302</v>
      </c>
      <c r="X9" s="142">
        <v>24.99999999999991</v>
      </c>
      <c r="Z9" s="149" t="s">
        <v>94</v>
      </c>
    </row>
    <row r="10" ht="13.5" customHeight="1">
      <c r="A10" s="127"/>
      <c r="B10" s="141" t="s">
        <v>77</v>
      </c>
      <c r="C10" s="101">
        <v>0.3798611111111111</v>
      </c>
      <c r="D10" s="101">
        <v>0.38402777777777775</v>
      </c>
      <c r="E10" s="101">
        <v>0.38819444444444445</v>
      </c>
      <c r="F10" s="99">
        <v>0.9999999999999964</v>
      </c>
      <c r="G10" s="101">
        <v>0.3888888888888889</v>
      </c>
      <c r="H10" s="101">
        <v>0.39722222222222225</v>
      </c>
      <c r="I10" s="99">
        <v>0.0</v>
      </c>
      <c r="J10" s="101">
        <v>0.39722222222222225</v>
      </c>
      <c r="K10" s="101">
        <v>0.39861111111111114</v>
      </c>
      <c r="L10" s="99">
        <v>0.0</v>
      </c>
      <c r="M10" s="101">
        <v>0.39861111111111114</v>
      </c>
      <c r="N10" s="101">
        <v>0.4041666666666667</v>
      </c>
      <c r="O10" s="99">
        <v>0.0</v>
      </c>
      <c r="P10" s="101">
        <v>0.4041666666666667</v>
      </c>
      <c r="Q10" s="101">
        <v>0.41041666666666665</v>
      </c>
      <c r="R10" s="99">
        <v>5.0</v>
      </c>
      <c r="S10" s="101">
        <v>0.41388888888888886</v>
      </c>
      <c r="T10" s="103">
        <v>42.999999999999986</v>
      </c>
      <c r="U10" s="103">
        <v>48.999999999999986</v>
      </c>
      <c r="V10" s="103">
        <v>5.9999999999999964</v>
      </c>
      <c r="W10" s="104">
        <v>0.1395348837209302</v>
      </c>
      <c r="X10" s="142">
        <v>24.000000000000075</v>
      </c>
      <c r="Z10" s="150" t="s">
        <v>95</v>
      </c>
    </row>
    <row r="11" ht="13.5" customHeight="1">
      <c r="A11" s="127"/>
      <c r="B11" s="141" t="s">
        <v>77</v>
      </c>
      <c r="C11" s="101">
        <v>0.39722222222222214</v>
      </c>
      <c r="D11" s="101">
        <v>0.4013888888888888</v>
      </c>
      <c r="E11" s="101">
        <v>0.4055555555555555</v>
      </c>
      <c r="F11" s="99">
        <v>0.9999999999999964</v>
      </c>
      <c r="G11" s="101">
        <v>0.40624999999999994</v>
      </c>
      <c r="H11" s="101">
        <v>0.4145833333333333</v>
      </c>
      <c r="I11" s="99">
        <v>0.0</v>
      </c>
      <c r="J11" s="101">
        <v>0.4145833333333333</v>
      </c>
      <c r="K11" s="101">
        <v>0.4159722222222222</v>
      </c>
      <c r="L11" s="99">
        <v>0.0</v>
      </c>
      <c r="M11" s="101">
        <v>0.4159722222222222</v>
      </c>
      <c r="N11" s="101">
        <v>0.4215277777777777</v>
      </c>
      <c r="O11" s="99">
        <v>0.0</v>
      </c>
      <c r="P11" s="101">
        <v>0.4215277777777777</v>
      </c>
      <c r="Q11" s="101">
        <v>0.4277777777777777</v>
      </c>
      <c r="R11" s="99">
        <v>5.0</v>
      </c>
      <c r="S11" s="101">
        <v>0.4312499999999999</v>
      </c>
      <c r="T11" s="103">
        <v>42.999999999999986</v>
      </c>
      <c r="U11" s="103">
        <v>48.999999999999986</v>
      </c>
      <c r="V11" s="103">
        <v>5.9999999999999964</v>
      </c>
      <c r="W11" s="104">
        <v>0.1395348837209302</v>
      </c>
      <c r="X11" s="142">
        <v>24.99999999999991</v>
      </c>
      <c r="Z11" s="151" t="s">
        <v>96</v>
      </c>
    </row>
    <row r="12" ht="13.5" customHeight="1">
      <c r="A12" s="127"/>
      <c r="B12" s="141" t="s">
        <v>77</v>
      </c>
      <c r="C12" s="101">
        <v>0.41388888888888886</v>
      </c>
      <c r="D12" s="101">
        <v>0.4180555555555555</v>
      </c>
      <c r="E12" s="101">
        <v>0.4222222222222222</v>
      </c>
      <c r="F12" s="99">
        <v>0.9999999999999964</v>
      </c>
      <c r="G12" s="101">
        <v>0.42291666666666666</v>
      </c>
      <c r="H12" s="101">
        <v>0.43125</v>
      </c>
      <c r="I12" s="99">
        <v>0.0</v>
      </c>
      <c r="J12" s="101">
        <v>0.43125</v>
      </c>
      <c r="K12" s="101">
        <v>0.4326388888888889</v>
      </c>
      <c r="L12" s="99">
        <v>0.0</v>
      </c>
      <c r="M12" s="101">
        <v>0.4326388888888889</v>
      </c>
      <c r="N12" s="101">
        <v>0.43819444444444444</v>
      </c>
      <c r="O12" s="99">
        <v>0.0</v>
      </c>
      <c r="P12" s="101">
        <v>0.43819444444444444</v>
      </c>
      <c r="Q12" s="101">
        <v>0.4444444444444444</v>
      </c>
      <c r="R12" s="99">
        <v>5.0</v>
      </c>
      <c r="S12" s="101">
        <v>0.44791666666666663</v>
      </c>
      <c r="T12" s="103">
        <v>42.999999999999986</v>
      </c>
      <c r="U12" s="103">
        <v>48.999999999999986</v>
      </c>
      <c r="V12" s="103">
        <v>5.9999999999999964</v>
      </c>
      <c r="W12" s="104">
        <v>0.1395348837209302</v>
      </c>
      <c r="X12" s="142">
        <v>24.000000000000075</v>
      </c>
      <c r="Z12" s="152" t="s">
        <v>97</v>
      </c>
    </row>
    <row r="13" ht="13.5" customHeight="1">
      <c r="A13" s="127"/>
      <c r="B13" s="141" t="s">
        <v>78</v>
      </c>
      <c r="C13" s="101">
        <v>0.4312499999999999</v>
      </c>
      <c r="D13" s="101">
        <v>0.43541666666666656</v>
      </c>
      <c r="E13" s="101">
        <v>0.43958333333333327</v>
      </c>
      <c r="F13" s="99">
        <v>0.9999999999999964</v>
      </c>
      <c r="G13" s="101">
        <v>0.4402777777777777</v>
      </c>
      <c r="H13" s="101">
        <v>0.44861111111111107</v>
      </c>
      <c r="I13" s="99">
        <v>0.0</v>
      </c>
      <c r="J13" s="101">
        <v>0.44861111111111107</v>
      </c>
      <c r="K13" s="101">
        <v>0.44999999999999996</v>
      </c>
      <c r="L13" s="99">
        <v>0.0</v>
      </c>
      <c r="M13" s="101">
        <v>0.44999999999999996</v>
      </c>
      <c r="N13" s="101">
        <v>0.4555555555555555</v>
      </c>
      <c r="O13" s="99">
        <v>0.0</v>
      </c>
      <c r="P13" s="101">
        <v>0.4555555555555555</v>
      </c>
      <c r="Q13" s="101">
        <v>0.46180555555555547</v>
      </c>
      <c r="R13" s="99">
        <v>5.0</v>
      </c>
      <c r="S13" s="101">
        <v>0.4652777777777777</v>
      </c>
      <c r="T13" s="103">
        <v>42.999999999999986</v>
      </c>
      <c r="U13" s="103">
        <v>48.999999999999986</v>
      </c>
      <c r="V13" s="103">
        <v>5.9999999999999964</v>
      </c>
      <c r="W13" s="104">
        <v>0.1395348837209302</v>
      </c>
      <c r="X13" s="142">
        <v>24.99999999999991</v>
      </c>
    </row>
    <row r="14" ht="13.5" customHeight="1">
      <c r="A14" s="127"/>
      <c r="B14" s="141" t="s">
        <v>78</v>
      </c>
      <c r="C14" s="101">
        <v>0.44791666666666663</v>
      </c>
      <c r="D14" s="101">
        <v>0.4520833333333333</v>
      </c>
      <c r="E14" s="101">
        <v>0.45625</v>
      </c>
      <c r="F14" s="99">
        <v>0.9999999999999964</v>
      </c>
      <c r="G14" s="101">
        <v>0.45694444444444443</v>
      </c>
      <c r="H14" s="101">
        <v>0.4652777777777778</v>
      </c>
      <c r="I14" s="99">
        <v>0.0</v>
      </c>
      <c r="J14" s="101">
        <v>0.4652777777777778</v>
      </c>
      <c r="K14" s="101">
        <v>0.4666666666666667</v>
      </c>
      <c r="L14" s="99">
        <v>0.0</v>
      </c>
      <c r="M14" s="101">
        <v>0.4666666666666667</v>
      </c>
      <c r="N14" s="101">
        <v>0.4722222222222222</v>
      </c>
      <c r="O14" s="99">
        <v>0.0</v>
      </c>
      <c r="P14" s="101">
        <v>0.4722222222222222</v>
      </c>
      <c r="Q14" s="101">
        <v>0.4784722222222222</v>
      </c>
      <c r="R14" s="99">
        <v>5.0</v>
      </c>
      <c r="S14" s="101">
        <v>0.4819444444444444</v>
      </c>
      <c r="T14" s="103">
        <v>42.999999999999986</v>
      </c>
      <c r="U14" s="103">
        <v>48.999999999999986</v>
      </c>
      <c r="V14" s="103">
        <v>5.9999999999999964</v>
      </c>
      <c r="W14" s="104">
        <v>0.1395348837209302</v>
      </c>
      <c r="X14" s="142">
        <v>24.000000000000075</v>
      </c>
    </row>
    <row r="15" ht="13.5" customHeight="1">
      <c r="A15" s="127"/>
      <c r="B15" s="141" t="s">
        <v>78</v>
      </c>
      <c r="C15" s="101">
        <v>0.4652777777777777</v>
      </c>
      <c r="D15" s="101">
        <v>0.46944444444444433</v>
      </c>
      <c r="E15" s="101">
        <v>0.47361111111111104</v>
      </c>
      <c r="F15" s="99">
        <v>0.9999999999999964</v>
      </c>
      <c r="G15" s="101">
        <v>0.4743055555555555</v>
      </c>
      <c r="H15" s="101">
        <v>0.48263888888888884</v>
      </c>
      <c r="I15" s="99">
        <v>0.0</v>
      </c>
      <c r="J15" s="101">
        <v>0.48263888888888884</v>
      </c>
      <c r="K15" s="101">
        <v>0.4840277777777777</v>
      </c>
      <c r="L15" s="99">
        <v>0.0</v>
      </c>
      <c r="M15" s="101">
        <v>0.4840277777777777</v>
      </c>
      <c r="N15" s="101">
        <v>0.48958333333333326</v>
      </c>
      <c r="O15" s="99">
        <v>0.0</v>
      </c>
      <c r="P15" s="101">
        <v>0.48958333333333326</v>
      </c>
      <c r="Q15" s="101">
        <v>0.49583333333333324</v>
      </c>
      <c r="R15" s="99">
        <v>5.0</v>
      </c>
      <c r="S15" s="101">
        <v>0.49930555555555545</v>
      </c>
      <c r="T15" s="103">
        <v>42.999999999999986</v>
      </c>
      <c r="U15" s="103">
        <v>48.999999999999986</v>
      </c>
      <c r="V15" s="103">
        <v>5.9999999999999964</v>
      </c>
      <c r="W15" s="104">
        <v>0.1395348837209302</v>
      </c>
      <c r="X15" s="142">
        <v>24.99999999999991</v>
      </c>
    </row>
    <row r="16" ht="13.5" customHeight="1">
      <c r="A16" s="127"/>
      <c r="B16" s="141" t="s">
        <v>78</v>
      </c>
      <c r="C16" s="101">
        <v>0.4819444444444444</v>
      </c>
      <c r="D16" s="101">
        <v>0.48611111111111105</v>
      </c>
      <c r="E16" s="101">
        <v>0.49027777777777776</v>
      </c>
      <c r="F16" s="99">
        <v>0.9999999999999964</v>
      </c>
      <c r="G16" s="101">
        <v>0.4909722222222222</v>
      </c>
      <c r="H16" s="101">
        <v>0.49930555555555556</v>
      </c>
      <c r="I16" s="99">
        <v>0.0</v>
      </c>
      <c r="J16" s="101">
        <v>0.49930555555555556</v>
      </c>
      <c r="K16" s="101">
        <v>0.5006944444444444</v>
      </c>
      <c r="L16" s="99">
        <v>0.0</v>
      </c>
      <c r="M16" s="101">
        <v>0.5006944444444444</v>
      </c>
      <c r="N16" s="101">
        <v>0.50625</v>
      </c>
      <c r="O16" s="99">
        <v>0.0</v>
      </c>
      <c r="P16" s="101">
        <v>0.50625</v>
      </c>
      <c r="Q16" s="101">
        <v>0.5125</v>
      </c>
      <c r="R16" s="99">
        <v>5.0</v>
      </c>
      <c r="S16" s="101">
        <v>0.5159722222222222</v>
      </c>
      <c r="T16" s="103">
        <v>42.999999999999986</v>
      </c>
      <c r="U16" s="103">
        <v>48.999999999999986</v>
      </c>
      <c r="V16" s="103">
        <v>5.9999999999999964</v>
      </c>
      <c r="W16" s="104">
        <v>0.1395348837209302</v>
      </c>
      <c r="X16" s="142">
        <v>24.000000000000075</v>
      </c>
    </row>
    <row r="17" ht="13.5" customHeight="1">
      <c r="A17" s="127"/>
      <c r="B17" s="141" t="s">
        <v>78</v>
      </c>
      <c r="C17" s="101">
        <v>0.49930555555555545</v>
      </c>
      <c r="D17" s="101">
        <v>0.5034722222222221</v>
      </c>
      <c r="E17" s="101">
        <v>0.5076388888888888</v>
      </c>
      <c r="F17" s="99">
        <v>0.9999999999999964</v>
      </c>
      <c r="G17" s="101">
        <v>0.5083333333333332</v>
      </c>
      <c r="H17" s="101">
        <v>0.5166666666666665</v>
      </c>
      <c r="I17" s="99">
        <v>0.0</v>
      </c>
      <c r="J17" s="101">
        <v>0.5166666666666665</v>
      </c>
      <c r="K17" s="101">
        <v>0.5180555555555554</v>
      </c>
      <c r="L17" s="99">
        <v>0.0</v>
      </c>
      <c r="M17" s="101">
        <v>0.5180555555555554</v>
      </c>
      <c r="N17" s="101">
        <v>0.5236111111111109</v>
      </c>
      <c r="O17" s="99">
        <v>0.0</v>
      </c>
      <c r="P17" s="101">
        <v>0.5236111111111109</v>
      </c>
      <c r="Q17" s="101">
        <v>0.5298611111111109</v>
      </c>
      <c r="R17" s="99">
        <v>5.0</v>
      </c>
      <c r="S17" s="101">
        <v>0.5333333333333331</v>
      </c>
      <c r="T17" s="103">
        <v>42.99999999999983</v>
      </c>
      <c r="U17" s="103">
        <v>48.99999999999983</v>
      </c>
      <c r="V17" s="103">
        <v>5.9999999999999964</v>
      </c>
      <c r="W17" s="104">
        <v>0.1395348837209307</v>
      </c>
      <c r="X17" s="142">
        <v>24.99999999999975</v>
      </c>
    </row>
    <row r="18" ht="13.5" customHeight="1">
      <c r="A18" s="127"/>
      <c r="B18" s="141" t="s">
        <v>78</v>
      </c>
      <c r="C18" s="101">
        <v>0.5159722222222222</v>
      </c>
      <c r="D18" s="101">
        <v>0.5201388888888888</v>
      </c>
      <c r="E18" s="101">
        <v>0.5243055555555555</v>
      </c>
      <c r="F18" s="99">
        <v>0.9999999999999964</v>
      </c>
      <c r="G18" s="101">
        <v>0.5249999999999999</v>
      </c>
      <c r="H18" s="101">
        <v>0.5333333333333332</v>
      </c>
      <c r="I18" s="99">
        <v>0.0</v>
      </c>
      <c r="J18" s="101">
        <v>0.5333333333333332</v>
      </c>
      <c r="K18" s="101">
        <v>0.5347222222222221</v>
      </c>
      <c r="L18" s="99">
        <v>0.0</v>
      </c>
      <c r="M18" s="101">
        <v>0.5347222222222221</v>
      </c>
      <c r="N18" s="101">
        <v>0.5402777777777776</v>
      </c>
      <c r="O18" s="99">
        <v>0.0</v>
      </c>
      <c r="P18" s="101">
        <v>0.5402777777777776</v>
      </c>
      <c r="Q18" s="101">
        <v>0.5465277777777776</v>
      </c>
      <c r="R18" s="153">
        <v>6.0</v>
      </c>
      <c r="S18" s="101">
        <v>0.5506944444444443</v>
      </c>
      <c r="T18" s="103">
        <v>42.99999999999983</v>
      </c>
      <c r="U18" s="103">
        <v>49.99999999999982</v>
      </c>
      <c r="V18" s="103">
        <v>6.9999999999999964</v>
      </c>
      <c r="W18" s="104">
        <v>0.16279069767441917</v>
      </c>
      <c r="X18" s="142">
        <v>25.00000000000007</v>
      </c>
    </row>
    <row r="19" ht="13.5" customHeight="1">
      <c r="A19" s="127"/>
      <c r="B19" s="141" t="s">
        <v>7</v>
      </c>
      <c r="C19" s="101">
        <v>0.5333333333333331</v>
      </c>
      <c r="D19" s="101">
        <v>0.5374999999999998</v>
      </c>
      <c r="E19" s="101">
        <v>0.5423611111111108</v>
      </c>
      <c r="F19" s="99">
        <v>0.9999999999999964</v>
      </c>
      <c r="G19" s="101">
        <v>0.5430555555555553</v>
      </c>
      <c r="H19" s="101">
        <v>0.5513888888888886</v>
      </c>
      <c r="I19" s="99">
        <v>0.0</v>
      </c>
      <c r="J19" s="101">
        <v>0.5513888888888886</v>
      </c>
      <c r="K19" s="101">
        <v>0.5527777777777775</v>
      </c>
      <c r="L19" s="99">
        <v>0.0</v>
      </c>
      <c r="M19" s="101">
        <v>0.5527777777777775</v>
      </c>
      <c r="N19" s="101">
        <v>0.5590277777777775</v>
      </c>
      <c r="O19" s="99">
        <v>0.0</v>
      </c>
      <c r="P19" s="101">
        <v>0.5590277777777775</v>
      </c>
      <c r="Q19" s="101">
        <v>0.5652777777777774</v>
      </c>
      <c r="R19" s="99">
        <v>5.0</v>
      </c>
      <c r="S19" s="101">
        <v>0.5687499999999996</v>
      </c>
      <c r="T19" s="103">
        <v>44.999999999999815</v>
      </c>
      <c r="U19" s="103">
        <v>50.999999999999815</v>
      </c>
      <c r="V19" s="103">
        <v>5.9999999999999964</v>
      </c>
      <c r="W19" s="104">
        <v>0.1333333333333338</v>
      </c>
      <c r="X19" s="142">
        <v>25.999999999999748</v>
      </c>
    </row>
    <row r="20" ht="13.5" customHeight="1">
      <c r="A20" s="127"/>
      <c r="B20" s="141" t="s">
        <v>7</v>
      </c>
      <c r="C20" s="101">
        <v>0.5506944444444443</v>
      </c>
      <c r="D20" s="101">
        <v>0.5548611111111109</v>
      </c>
      <c r="E20" s="101">
        <v>0.559722222222222</v>
      </c>
      <c r="F20" s="99">
        <v>0.9999999999999964</v>
      </c>
      <c r="G20" s="101">
        <v>0.5604166666666665</v>
      </c>
      <c r="H20" s="101">
        <v>0.5687499999999998</v>
      </c>
      <c r="I20" s="99">
        <v>0.0</v>
      </c>
      <c r="J20" s="101">
        <v>0.5687499999999998</v>
      </c>
      <c r="K20" s="101">
        <v>0.5701388888888886</v>
      </c>
      <c r="L20" s="99">
        <v>0.0</v>
      </c>
      <c r="M20" s="101">
        <v>0.5701388888888886</v>
      </c>
      <c r="N20" s="101">
        <v>0.5763888888888886</v>
      </c>
      <c r="O20" s="99">
        <v>0.0</v>
      </c>
      <c r="P20" s="101">
        <v>0.5763888888888886</v>
      </c>
      <c r="Q20" s="101">
        <v>0.5826388888888886</v>
      </c>
      <c r="R20" s="99">
        <v>5.0</v>
      </c>
      <c r="S20" s="101">
        <v>0.5861111111111108</v>
      </c>
      <c r="T20" s="103">
        <v>44.999999999999815</v>
      </c>
      <c r="U20" s="103">
        <v>50.999999999999815</v>
      </c>
      <c r="V20" s="103">
        <v>5.9999999999999964</v>
      </c>
      <c r="W20" s="104">
        <v>0.1333333333333338</v>
      </c>
      <c r="X20" s="142">
        <v>25.00000000000007</v>
      </c>
    </row>
    <row r="21" ht="13.5" customHeight="1">
      <c r="A21" s="127"/>
      <c r="B21" s="141" t="s">
        <v>7</v>
      </c>
      <c r="C21" s="101">
        <v>0.5687499999999996</v>
      </c>
      <c r="D21" s="101">
        <v>0.5729166666666663</v>
      </c>
      <c r="E21" s="101">
        <v>0.5777777777777774</v>
      </c>
      <c r="F21" s="99">
        <v>0.9999999999999964</v>
      </c>
      <c r="G21" s="101">
        <v>0.5784722222222218</v>
      </c>
      <c r="H21" s="101">
        <v>0.5868055555555551</v>
      </c>
      <c r="I21" s="99">
        <v>0.0</v>
      </c>
      <c r="J21" s="101">
        <v>0.5868055555555551</v>
      </c>
      <c r="K21" s="101">
        <v>0.588194444444444</v>
      </c>
      <c r="L21" s="99">
        <v>0.0</v>
      </c>
      <c r="M21" s="101">
        <v>0.588194444444444</v>
      </c>
      <c r="N21" s="101">
        <v>0.594444444444444</v>
      </c>
      <c r="O21" s="99">
        <v>0.0</v>
      </c>
      <c r="P21" s="101">
        <v>0.594444444444444</v>
      </c>
      <c r="Q21" s="101">
        <v>0.600694444444444</v>
      </c>
      <c r="R21" s="99">
        <v>5.0</v>
      </c>
      <c r="S21" s="101">
        <v>0.6041666666666662</v>
      </c>
      <c r="T21" s="103">
        <v>44.999999999999815</v>
      </c>
      <c r="U21" s="103">
        <v>50.999999999999815</v>
      </c>
      <c r="V21" s="103">
        <v>5.9999999999999964</v>
      </c>
      <c r="W21" s="104">
        <v>0.1333333333333338</v>
      </c>
      <c r="X21" s="142">
        <v>25.999999999999748</v>
      </c>
    </row>
    <row r="22" ht="13.5" customHeight="1">
      <c r="A22" s="127"/>
      <c r="B22" s="141" t="s">
        <v>7</v>
      </c>
      <c r="C22" s="101">
        <v>0.5861111111111108</v>
      </c>
      <c r="D22" s="101">
        <v>0.5902777777777775</v>
      </c>
      <c r="E22" s="101">
        <v>0.5951388888888886</v>
      </c>
      <c r="F22" s="99">
        <v>0.9999999999999964</v>
      </c>
      <c r="G22" s="101">
        <v>0.595833333333333</v>
      </c>
      <c r="H22" s="101">
        <v>0.6041666666666663</v>
      </c>
      <c r="I22" s="99">
        <v>0.0</v>
      </c>
      <c r="J22" s="101">
        <v>0.6041666666666663</v>
      </c>
      <c r="K22" s="101">
        <v>0.6055555555555552</v>
      </c>
      <c r="L22" s="99">
        <v>0.0</v>
      </c>
      <c r="M22" s="101">
        <v>0.6055555555555552</v>
      </c>
      <c r="N22" s="101">
        <v>0.6118055555555552</v>
      </c>
      <c r="O22" s="99">
        <v>0.0</v>
      </c>
      <c r="P22" s="101">
        <v>0.6118055555555552</v>
      </c>
      <c r="Q22" s="101">
        <v>0.6180555555555551</v>
      </c>
      <c r="R22" s="99">
        <v>5.0</v>
      </c>
      <c r="S22" s="101">
        <v>0.6215277777777773</v>
      </c>
      <c r="T22" s="103">
        <v>44.999999999999815</v>
      </c>
      <c r="U22" s="103">
        <v>50.999999999999815</v>
      </c>
      <c r="V22" s="103">
        <v>5.9999999999999964</v>
      </c>
      <c r="W22" s="104">
        <v>0.1333333333333338</v>
      </c>
      <c r="X22" s="142">
        <v>25.00000000000007</v>
      </c>
    </row>
    <row r="23" ht="13.5" customHeight="1">
      <c r="A23" s="127"/>
      <c r="B23" s="141" t="s">
        <v>7</v>
      </c>
      <c r="C23" s="101">
        <v>0.6041666666666662</v>
      </c>
      <c r="D23" s="101">
        <v>0.6083333333333328</v>
      </c>
      <c r="E23" s="101">
        <v>0.6131944444444439</v>
      </c>
      <c r="F23" s="99">
        <v>0.9999999999999964</v>
      </c>
      <c r="G23" s="101">
        <v>0.6138888888888884</v>
      </c>
      <c r="H23" s="101">
        <v>0.6222222222222217</v>
      </c>
      <c r="I23" s="99">
        <v>0.0</v>
      </c>
      <c r="J23" s="101">
        <v>0.6222222222222217</v>
      </c>
      <c r="K23" s="101">
        <v>0.6236111111111106</v>
      </c>
      <c r="L23" s="99">
        <v>0.0</v>
      </c>
      <c r="M23" s="101">
        <v>0.6236111111111106</v>
      </c>
      <c r="N23" s="101">
        <v>0.6298611111111105</v>
      </c>
      <c r="O23" s="99">
        <v>0.0</v>
      </c>
      <c r="P23" s="101">
        <v>0.6298611111111105</v>
      </c>
      <c r="Q23" s="101">
        <v>0.6361111111111105</v>
      </c>
      <c r="R23" s="99">
        <v>5.0</v>
      </c>
      <c r="S23" s="101">
        <v>0.6395833333333327</v>
      </c>
      <c r="T23" s="103">
        <v>44.999999999999815</v>
      </c>
      <c r="U23" s="103">
        <v>50.999999999999815</v>
      </c>
      <c r="V23" s="103">
        <v>5.9999999999999964</v>
      </c>
      <c r="W23" s="104">
        <v>0.1333333333333338</v>
      </c>
      <c r="X23" s="142">
        <v>25.999999999999748</v>
      </c>
    </row>
    <row r="24" ht="13.5" customHeight="1">
      <c r="A24" s="127"/>
      <c r="B24" s="141" t="s">
        <v>78</v>
      </c>
      <c r="C24" s="101">
        <v>0.6215277777777773</v>
      </c>
      <c r="D24" s="101">
        <v>0.625694444444444</v>
      </c>
      <c r="E24" s="101">
        <v>0.6298611111111106</v>
      </c>
      <c r="F24" s="99">
        <v>0.9999999999999964</v>
      </c>
      <c r="G24" s="101">
        <v>0.6305555555555551</v>
      </c>
      <c r="H24" s="101">
        <v>0.6388888888888884</v>
      </c>
      <c r="I24" s="99">
        <v>0.0</v>
      </c>
      <c r="J24" s="101">
        <v>0.6388888888888884</v>
      </c>
      <c r="K24" s="101">
        <v>0.6402777777777773</v>
      </c>
      <c r="L24" s="99">
        <v>0.0</v>
      </c>
      <c r="M24" s="101">
        <v>0.6402777777777773</v>
      </c>
      <c r="N24" s="101">
        <v>0.6458333333333328</v>
      </c>
      <c r="O24" s="99">
        <v>0.0</v>
      </c>
      <c r="P24" s="101">
        <v>0.6458333333333328</v>
      </c>
      <c r="Q24" s="101">
        <v>0.6520833333333328</v>
      </c>
      <c r="R24" s="153">
        <v>6.0</v>
      </c>
      <c r="S24" s="101">
        <v>0.6562499999999994</v>
      </c>
      <c r="T24" s="103">
        <v>42.99999999999983</v>
      </c>
      <c r="U24" s="103">
        <v>49.99999999999982</v>
      </c>
      <c r="V24" s="103">
        <v>6.9999999999999964</v>
      </c>
      <c r="W24" s="104">
        <v>0.16279069767441917</v>
      </c>
      <c r="X24" s="142">
        <v>24.000000000000075</v>
      </c>
    </row>
    <row r="25" ht="13.5" customHeight="1">
      <c r="A25" s="127"/>
      <c r="B25" s="141" t="s">
        <v>78</v>
      </c>
      <c r="C25" s="154">
        <v>0.6395833333333327</v>
      </c>
      <c r="D25" s="101">
        <v>0.6437499999999994</v>
      </c>
      <c r="E25" s="101">
        <v>0.647916666666666</v>
      </c>
      <c r="F25" s="99">
        <v>0.9999999999999964</v>
      </c>
      <c r="G25" s="101">
        <v>0.6486111111111105</v>
      </c>
      <c r="H25" s="101">
        <v>0.6569444444444438</v>
      </c>
      <c r="I25" s="99">
        <v>0.0</v>
      </c>
      <c r="J25" s="101">
        <v>0.6569444444444438</v>
      </c>
      <c r="K25" s="101">
        <v>0.6583333333333327</v>
      </c>
      <c r="L25" s="99">
        <v>0.0</v>
      </c>
      <c r="M25" s="101">
        <v>0.6583333333333327</v>
      </c>
      <c r="N25" s="101">
        <v>0.6638888888888882</v>
      </c>
      <c r="O25" s="99">
        <v>0.0</v>
      </c>
      <c r="P25" s="101">
        <v>0.6638888888888882</v>
      </c>
      <c r="Q25" s="101">
        <v>0.6701388888888882</v>
      </c>
      <c r="R25" s="99">
        <v>5.0</v>
      </c>
      <c r="S25" s="101">
        <v>0.6736111111111104</v>
      </c>
      <c r="T25" s="103">
        <v>42.99999999999983</v>
      </c>
      <c r="U25" s="103">
        <v>48.99999999999983</v>
      </c>
      <c r="V25" s="103">
        <v>5.9999999999999964</v>
      </c>
      <c r="W25" s="104">
        <v>0.1395348837209307</v>
      </c>
      <c r="X25" s="142">
        <v>24.99999999999975</v>
      </c>
    </row>
    <row r="26" ht="13.5" customHeight="1">
      <c r="A26" s="127"/>
      <c r="B26" s="141" t="s">
        <v>78</v>
      </c>
      <c r="C26" s="101">
        <v>0.6562499999999994</v>
      </c>
      <c r="D26" s="101">
        <v>0.6604166666666661</v>
      </c>
      <c r="E26" s="101">
        <v>0.6645833333333327</v>
      </c>
      <c r="F26" s="99">
        <v>0.9999999999999964</v>
      </c>
      <c r="G26" s="101">
        <v>0.6652777777777772</v>
      </c>
      <c r="H26" s="101">
        <v>0.6736111111111105</v>
      </c>
      <c r="I26" s="99">
        <v>0.0</v>
      </c>
      <c r="J26" s="101">
        <v>0.6736111111111105</v>
      </c>
      <c r="K26" s="101">
        <v>0.6749999999999994</v>
      </c>
      <c r="L26" s="99">
        <v>0.0</v>
      </c>
      <c r="M26" s="101">
        <v>0.6749999999999994</v>
      </c>
      <c r="N26" s="101">
        <v>0.6805555555555549</v>
      </c>
      <c r="O26" s="99">
        <v>0.0</v>
      </c>
      <c r="P26" s="101">
        <v>0.6805555555555549</v>
      </c>
      <c r="Q26" s="101">
        <v>0.6868055555555549</v>
      </c>
      <c r="R26" s="99">
        <v>5.0</v>
      </c>
      <c r="S26" s="101">
        <v>0.6902777777777771</v>
      </c>
      <c r="T26" s="103">
        <v>42.99999999999983</v>
      </c>
      <c r="U26" s="103">
        <v>48.99999999999983</v>
      </c>
      <c r="V26" s="103">
        <v>5.9999999999999964</v>
      </c>
      <c r="W26" s="104">
        <v>0.1395348837209307</v>
      </c>
      <c r="X26" s="142">
        <v>24.000000000000075</v>
      </c>
    </row>
    <row r="27" ht="13.5" customHeight="1">
      <c r="A27" s="127"/>
      <c r="B27" s="141" t="s">
        <v>78</v>
      </c>
      <c r="C27" s="101">
        <v>0.6736111111111104</v>
      </c>
      <c r="D27" s="101">
        <v>0.677777777777777</v>
      </c>
      <c r="E27" s="101">
        <v>0.6819444444444437</v>
      </c>
      <c r="F27" s="99">
        <v>0.9999999999999964</v>
      </c>
      <c r="G27" s="101">
        <v>0.6826388888888881</v>
      </c>
      <c r="H27" s="101">
        <v>0.6909722222222214</v>
      </c>
      <c r="I27" s="99">
        <v>0.0</v>
      </c>
      <c r="J27" s="101">
        <v>0.6909722222222214</v>
      </c>
      <c r="K27" s="101">
        <v>0.6923611111111103</v>
      </c>
      <c r="L27" s="99">
        <v>0.0</v>
      </c>
      <c r="M27" s="101">
        <v>0.6923611111111103</v>
      </c>
      <c r="N27" s="101">
        <v>0.6979166666666659</v>
      </c>
      <c r="O27" s="99">
        <v>0.0</v>
      </c>
      <c r="P27" s="101">
        <v>0.6979166666666659</v>
      </c>
      <c r="Q27" s="101">
        <v>0.7041666666666658</v>
      </c>
      <c r="R27" s="99">
        <v>5.0</v>
      </c>
      <c r="S27" s="101">
        <v>0.707638888888888</v>
      </c>
      <c r="T27" s="103">
        <v>42.99999999999983</v>
      </c>
      <c r="U27" s="103">
        <v>48.99999999999983</v>
      </c>
      <c r="V27" s="103">
        <v>5.9999999999999964</v>
      </c>
      <c r="W27" s="104">
        <v>0.1395348837209307</v>
      </c>
      <c r="X27" s="142">
        <v>24.99999999999975</v>
      </c>
    </row>
    <row r="28" ht="13.5" customHeight="1">
      <c r="A28" s="127"/>
      <c r="B28" s="141" t="s">
        <v>78</v>
      </c>
      <c r="C28" s="101">
        <v>0.6902777777777771</v>
      </c>
      <c r="D28" s="101">
        <v>0.6944444444444438</v>
      </c>
      <c r="E28" s="101">
        <v>0.6986111111111104</v>
      </c>
      <c r="F28" s="99">
        <v>0.9999999999999964</v>
      </c>
      <c r="G28" s="101">
        <v>0.6993055555555548</v>
      </c>
      <c r="H28" s="101">
        <v>0.7076388888888882</v>
      </c>
      <c r="I28" s="99">
        <v>0.0</v>
      </c>
      <c r="J28" s="101">
        <v>0.7076388888888882</v>
      </c>
      <c r="K28" s="101">
        <v>0.709027777777777</v>
      </c>
      <c r="L28" s="99">
        <v>0.0</v>
      </c>
      <c r="M28" s="101">
        <v>0.709027777777777</v>
      </c>
      <c r="N28" s="101">
        <v>0.7145833333333326</v>
      </c>
      <c r="O28" s="99">
        <v>0.0</v>
      </c>
      <c r="P28" s="101">
        <v>0.7145833333333326</v>
      </c>
      <c r="Q28" s="101">
        <v>0.7208333333333325</v>
      </c>
      <c r="R28" s="99">
        <v>5.0</v>
      </c>
      <c r="S28" s="101">
        <v>0.7243055555555548</v>
      </c>
      <c r="T28" s="103">
        <v>42.99999999999983</v>
      </c>
      <c r="U28" s="103">
        <v>48.99999999999983</v>
      </c>
      <c r="V28" s="103">
        <v>5.9999999999999964</v>
      </c>
      <c r="W28" s="104">
        <v>0.1395348837209307</v>
      </c>
      <c r="X28" s="142">
        <v>24.000000000000075</v>
      </c>
    </row>
    <row r="29" ht="13.5" customHeight="1">
      <c r="A29" s="127"/>
      <c r="B29" s="141" t="s">
        <v>79</v>
      </c>
      <c r="C29" s="101">
        <v>0.707638888888888</v>
      </c>
      <c r="D29" s="101">
        <v>0.7118055555555547</v>
      </c>
      <c r="E29" s="101">
        <v>0.7152777777777769</v>
      </c>
      <c r="F29" s="99">
        <v>0.9999999999999964</v>
      </c>
      <c r="G29" s="101">
        <v>0.7159722222222213</v>
      </c>
      <c r="H29" s="101">
        <v>0.7243055555555546</v>
      </c>
      <c r="I29" s="99">
        <v>0.0</v>
      </c>
      <c r="J29" s="101">
        <v>0.7243055555555546</v>
      </c>
      <c r="K29" s="101">
        <v>0.7256944444444435</v>
      </c>
      <c r="L29" s="99">
        <v>0.0</v>
      </c>
      <c r="M29" s="101">
        <v>0.7256944444444435</v>
      </c>
      <c r="N29" s="101">
        <v>0.7312499999999991</v>
      </c>
      <c r="O29" s="99">
        <v>0.0</v>
      </c>
      <c r="P29" s="101">
        <v>0.7312499999999991</v>
      </c>
      <c r="Q29" s="101">
        <v>0.7368055555555546</v>
      </c>
      <c r="R29" s="99">
        <v>5.0</v>
      </c>
      <c r="S29" s="101">
        <v>0.7402777777777768</v>
      </c>
      <c r="T29" s="103">
        <v>40.99999999999983</v>
      </c>
      <c r="U29" s="103">
        <v>46.99999999999983</v>
      </c>
      <c r="V29" s="103">
        <v>5.9999999999999964</v>
      </c>
      <c r="W29" s="104">
        <v>0.14634146341463466</v>
      </c>
      <c r="X29" s="142">
        <v>22.99999999999976</v>
      </c>
    </row>
    <row r="30" ht="13.5" customHeight="1">
      <c r="A30" s="127"/>
      <c r="B30" s="141" t="s">
        <v>79</v>
      </c>
      <c r="C30" s="101">
        <v>0.7243055555555548</v>
      </c>
      <c r="D30" s="101">
        <v>0.7284722222222214</v>
      </c>
      <c r="E30" s="101">
        <v>0.7319444444444436</v>
      </c>
      <c r="F30" s="99">
        <v>0.9999999999999964</v>
      </c>
      <c r="G30" s="101">
        <v>0.7326388888888881</v>
      </c>
      <c r="H30" s="101">
        <v>0.7409722222222214</v>
      </c>
      <c r="I30" s="99">
        <v>0.0</v>
      </c>
      <c r="J30" s="101">
        <v>0.7409722222222214</v>
      </c>
      <c r="K30" s="101">
        <v>0.7423611111111103</v>
      </c>
      <c r="L30" s="99">
        <v>0.0</v>
      </c>
      <c r="M30" s="101">
        <v>0.7423611111111103</v>
      </c>
      <c r="N30" s="101">
        <v>0.7479166666666658</v>
      </c>
      <c r="O30" s="99">
        <v>0.0</v>
      </c>
      <c r="P30" s="101">
        <v>0.7479166666666658</v>
      </c>
      <c r="Q30" s="101">
        <v>0.7534722222222213</v>
      </c>
      <c r="R30" s="99">
        <v>5.0</v>
      </c>
      <c r="S30" s="101">
        <v>0.7569444444444435</v>
      </c>
      <c r="T30" s="103">
        <v>40.99999999999983</v>
      </c>
      <c r="U30" s="103">
        <v>46.99999999999983</v>
      </c>
      <c r="V30" s="103">
        <v>5.9999999999999964</v>
      </c>
      <c r="W30" s="104">
        <v>0.14634146341463466</v>
      </c>
      <c r="X30" s="142">
        <v>24.000000000000075</v>
      </c>
    </row>
    <row r="31" ht="13.5" customHeight="1">
      <c r="A31" s="127"/>
      <c r="B31" s="141" t="s">
        <v>79</v>
      </c>
      <c r="C31" s="101">
        <v>0.7402777777777768</v>
      </c>
      <c r="D31" s="101">
        <v>0.7444444444444435</v>
      </c>
      <c r="E31" s="101">
        <v>0.7479166666666657</v>
      </c>
      <c r="F31" s="99">
        <v>0.9999999999999964</v>
      </c>
      <c r="G31" s="101">
        <v>0.7486111111111101</v>
      </c>
      <c r="H31" s="101">
        <v>0.7569444444444434</v>
      </c>
      <c r="I31" s="99">
        <v>0.0</v>
      </c>
      <c r="J31" s="101">
        <v>0.7569444444444434</v>
      </c>
      <c r="K31" s="101">
        <v>0.7583333333333323</v>
      </c>
      <c r="L31" s="99">
        <v>0.0</v>
      </c>
      <c r="M31" s="101">
        <v>0.7583333333333323</v>
      </c>
      <c r="N31" s="101">
        <v>0.7638888888888878</v>
      </c>
      <c r="O31" s="99">
        <v>0.0</v>
      </c>
      <c r="P31" s="101">
        <v>0.7638888888888878</v>
      </c>
      <c r="Q31" s="101">
        <v>0.7694444444444434</v>
      </c>
      <c r="R31" s="99">
        <v>5.0</v>
      </c>
      <c r="S31" s="101">
        <v>0.7729166666666656</v>
      </c>
      <c r="T31" s="103">
        <v>40.99999999999983</v>
      </c>
      <c r="U31" s="103">
        <v>46.99999999999983</v>
      </c>
      <c r="V31" s="103">
        <v>5.9999999999999964</v>
      </c>
      <c r="W31" s="104">
        <v>0.14634146341463466</v>
      </c>
      <c r="X31" s="142">
        <v>22.99999999999976</v>
      </c>
    </row>
    <row r="32" ht="13.5" customHeight="1">
      <c r="A32" s="127"/>
      <c r="B32" s="141" t="s">
        <v>79</v>
      </c>
      <c r="C32" s="101">
        <v>0.7569444444444435</v>
      </c>
      <c r="D32" s="101">
        <v>0.7611111111111102</v>
      </c>
      <c r="E32" s="101">
        <v>0.7645833333333324</v>
      </c>
      <c r="F32" s="99">
        <v>0.9999999999999964</v>
      </c>
      <c r="G32" s="101">
        <v>0.7652777777777768</v>
      </c>
      <c r="H32" s="101">
        <v>0.7736111111111101</v>
      </c>
      <c r="I32" s="99">
        <v>0.0</v>
      </c>
      <c r="J32" s="101">
        <v>0.7736111111111101</v>
      </c>
      <c r="K32" s="101">
        <v>0.774999999999999</v>
      </c>
      <c r="L32" s="99">
        <v>0.0</v>
      </c>
      <c r="M32" s="101">
        <v>0.774999999999999</v>
      </c>
      <c r="N32" s="101">
        <v>0.7805555555555546</v>
      </c>
      <c r="O32" s="99">
        <v>0.0</v>
      </c>
      <c r="P32" s="101">
        <v>0.7805555555555546</v>
      </c>
      <c r="Q32" s="101">
        <v>0.7861111111111101</v>
      </c>
      <c r="R32" s="99">
        <v>5.0</v>
      </c>
      <c r="S32" s="101">
        <v>0.7895833333333323</v>
      </c>
      <c r="T32" s="103">
        <v>40.99999999999983</v>
      </c>
      <c r="U32" s="103">
        <v>46.99999999999983</v>
      </c>
      <c r="V32" s="103">
        <v>5.9999999999999964</v>
      </c>
      <c r="W32" s="104">
        <v>0.14634146341463466</v>
      </c>
      <c r="X32" s="142">
        <v>24.000000000000075</v>
      </c>
    </row>
    <row r="33" ht="13.5" customHeight="1">
      <c r="A33" s="127"/>
      <c r="B33" s="141" t="s">
        <v>79</v>
      </c>
      <c r="C33" s="101">
        <v>0.7729166666666656</v>
      </c>
      <c r="D33" s="101">
        <v>0.7770833333333322</v>
      </c>
      <c r="E33" s="101">
        <v>0.7805555555555544</v>
      </c>
      <c r="F33" s="99">
        <v>0.9999999999999964</v>
      </c>
      <c r="G33" s="101">
        <v>0.7812499999999989</v>
      </c>
      <c r="H33" s="101">
        <v>0.7895833333333322</v>
      </c>
      <c r="I33" s="99">
        <v>0.0</v>
      </c>
      <c r="J33" s="101">
        <v>0.7895833333333322</v>
      </c>
      <c r="K33" s="101">
        <v>0.7909722222222211</v>
      </c>
      <c r="L33" s="99">
        <v>0.0</v>
      </c>
      <c r="M33" s="101">
        <v>0.7909722222222211</v>
      </c>
      <c r="N33" s="101">
        <v>0.7965277777777766</v>
      </c>
      <c r="O33" s="99">
        <v>0.0</v>
      </c>
      <c r="P33" s="101">
        <v>0.7965277777777766</v>
      </c>
      <c r="Q33" s="101">
        <v>0.8020833333333321</v>
      </c>
      <c r="R33" s="99">
        <v>5.0</v>
      </c>
      <c r="S33" s="101">
        <v>0.8055555555555544</v>
      </c>
      <c r="T33" s="103">
        <v>40.99999999999983</v>
      </c>
      <c r="U33" s="103">
        <v>46.99999999999983</v>
      </c>
      <c r="V33" s="103">
        <v>5.9999999999999964</v>
      </c>
      <c r="W33" s="104">
        <v>0.14634146341463466</v>
      </c>
      <c r="X33" s="142">
        <v>22.99999999999976</v>
      </c>
    </row>
    <row r="34" ht="13.5" customHeight="1">
      <c r="A34" s="127"/>
      <c r="B34" s="141" t="s">
        <v>79</v>
      </c>
      <c r="C34" s="154">
        <v>0.7895833333333323</v>
      </c>
      <c r="D34" s="101">
        <v>0.793749999999999</v>
      </c>
      <c r="E34" s="101">
        <v>0.7972222222222212</v>
      </c>
      <c r="F34" s="99">
        <v>0.9999999999999964</v>
      </c>
      <c r="G34" s="101">
        <v>0.7979166666666656</v>
      </c>
      <c r="H34" s="101">
        <v>0.8062499999999989</v>
      </c>
      <c r="I34" s="99">
        <v>0.0</v>
      </c>
      <c r="J34" s="101">
        <v>0.8062499999999989</v>
      </c>
      <c r="K34" s="101">
        <v>0.8076388888888878</v>
      </c>
      <c r="L34" s="99">
        <v>0.0</v>
      </c>
      <c r="M34" s="101">
        <v>0.8076388888888878</v>
      </c>
      <c r="N34" s="101">
        <v>0.8131944444444433</v>
      </c>
      <c r="O34" s="99">
        <v>0.0</v>
      </c>
      <c r="P34" s="101">
        <v>0.8131944444444433</v>
      </c>
      <c r="Q34" s="101">
        <v>0.8187499999999989</v>
      </c>
      <c r="R34" s="99">
        <v>5.0</v>
      </c>
      <c r="S34" s="101">
        <v>0.8222222222222211</v>
      </c>
      <c r="T34" s="103">
        <v>40.99999999999983</v>
      </c>
      <c r="U34" s="103">
        <v>46.99999999999983</v>
      </c>
      <c r="V34" s="103">
        <v>5.9999999999999964</v>
      </c>
      <c r="W34" s="104">
        <v>0.14634146341463466</v>
      </c>
      <c r="X34" s="142">
        <v>24.000000000000075</v>
      </c>
    </row>
    <row r="35" ht="13.5" customHeight="1">
      <c r="A35" s="127"/>
      <c r="B35" s="141" t="s">
        <v>79</v>
      </c>
      <c r="C35" s="101">
        <v>0.8055555555555544</v>
      </c>
      <c r="D35" s="101">
        <v>0.809722222222221</v>
      </c>
      <c r="E35" s="101">
        <v>0.8131944444444432</v>
      </c>
      <c r="F35" s="99">
        <v>0.9999999999999964</v>
      </c>
      <c r="G35" s="101">
        <v>0.8138888888888877</v>
      </c>
      <c r="H35" s="101">
        <v>0.822222222222221</v>
      </c>
      <c r="I35" s="99">
        <v>0.0</v>
      </c>
      <c r="J35" s="101">
        <v>0.822222222222221</v>
      </c>
      <c r="K35" s="101">
        <v>0.8236111111111099</v>
      </c>
      <c r="L35" s="99">
        <v>0.0</v>
      </c>
      <c r="M35" s="101">
        <v>0.8236111111111099</v>
      </c>
      <c r="N35" s="101">
        <v>0.8291666666666654</v>
      </c>
      <c r="O35" s="99">
        <v>0.0</v>
      </c>
      <c r="P35" s="101">
        <v>0.8291666666666654</v>
      </c>
      <c r="Q35" s="101">
        <v>0.8347222222222209</v>
      </c>
      <c r="R35" s="99">
        <v>5.0</v>
      </c>
      <c r="S35" s="101">
        <v>0.8381944444444431</v>
      </c>
      <c r="T35" s="103">
        <v>40.99999999999983</v>
      </c>
      <c r="U35" s="103">
        <v>46.99999999999983</v>
      </c>
      <c r="V35" s="103">
        <v>5.9999999999999964</v>
      </c>
      <c r="W35" s="104">
        <v>0.14634146341463466</v>
      </c>
      <c r="X35" s="142">
        <v>22.99999999999976</v>
      </c>
    </row>
    <row r="36" ht="13.5" customHeight="1">
      <c r="A36" s="127"/>
      <c r="B36" s="141" t="s">
        <v>98</v>
      </c>
      <c r="C36" s="101">
        <v>0.8222222222222211</v>
      </c>
      <c r="D36" s="101">
        <v>0.8263888888888877</v>
      </c>
      <c r="E36" s="101">
        <v>0.8298611111111099</v>
      </c>
      <c r="F36" s="99">
        <v>0.9999999999999964</v>
      </c>
      <c r="G36" s="101">
        <v>0.8305555555555544</v>
      </c>
      <c r="H36" s="101">
        <v>0.8381944444444432</v>
      </c>
      <c r="I36" s="99">
        <v>0.0</v>
      </c>
      <c r="J36" s="101">
        <v>0.8381944444444432</v>
      </c>
      <c r="K36" s="101">
        <v>0.8395833333333321</v>
      </c>
      <c r="L36" s="99">
        <v>0.0</v>
      </c>
      <c r="M36" s="101">
        <v>0.8395833333333321</v>
      </c>
      <c r="N36" s="101">
        <v>0.8451388888888877</v>
      </c>
      <c r="O36" s="99">
        <v>0.0</v>
      </c>
      <c r="P36" s="101">
        <v>0.8451388888888877</v>
      </c>
      <c r="Q36" s="101">
        <v>0.8506944444444432</v>
      </c>
      <c r="R36" s="99">
        <v>5.0</v>
      </c>
      <c r="S36" s="101">
        <v>0.8541666666666654</v>
      </c>
      <c r="T36" s="103">
        <v>39.999999999999844</v>
      </c>
      <c r="U36" s="103">
        <v>45.99999999999984</v>
      </c>
      <c r="V36" s="103">
        <v>5.9999999999999964</v>
      </c>
      <c r="W36" s="104">
        <v>0.1500000000000005</v>
      </c>
      <c r="X36" s="142">
        <v>23.000000000000078</v>
      </c>
    </row>
    <row r="37" ht="13.5" customHeight="1">
      <c r="A37" s="127"/>
      <c r="B37" s="141" t="s">
        <v>98</v>
      </c>
      <c r="C37" s="101">
        <v>0.8381944444444431</v>
      </c>
      <c r="D37" s="101">
        <v>0.8423611111111098</v>
      </c>
      <c r="E37" s="101">
        <v>0.845833333333332</v>
      </c>
      <c r="F37" s="99">
        <v>0.9999999999999964</v>
      </c>
      <c r="G37" s="101">
        <v>0.8465277777777764</v>
      </c>
      <c r="H37" s="101">
        <v>0.8541666666666653</v>
      </c>
      <c r="I37" s="99">
        <v>0.0</v>
      </c>
      <c r="J37" s="101">
        <v>0.8541666666666653</v>
      </c>
      <c r="K37" s="101">
        <v>0.8555555555555542</v>
      </c>
      <c r="L37" s="99">
        <v>0.0</v>
      </c>
      <c r="M37" s="101">
        <v>0.8555555555555542</v>
      </c>
      <c r="N37" s="101">
        <v>0.8611111111111097</v>
      </c>
      <c r="O37" s="99">
        <v>0.0</v>
      </c>
      <c r="P37" s="101">
        <v>0.8611111111111097</v>
      </c>
      <c r="Q37" s="101">
        <v>0.8666666666666653</v>
      </c>
      <c r="R37" s="99">
        <v>5.0</v>
      </c>
      <c r="S37" s="101">
        <v>0.8701388888888875</v>
      </c>
      <c r="T37" s="103">
        <v>39.999999999999844</v>
      </c>
      <c r="U37" s="103">
        <v>45.99999999999984</v>
      </c>
      <c r="V37" s="103">
        <v>5.9999999999999964</v>
      </c>
      <c r="W37" s="104">
        <v>0.1500000000000005</v>
      </c>
      <c r="X37" s="142">
        <v>22.99999999999976</v>
      </c>
    </row>
    <row r="38" ht="13.5" customHeight="1">
      <c r="A38" s="127"/>
      <c r="B38" s="141" t="s">
        <v>98</v>
      </c>
      <c r="C38" s="101">
        <v>0.8541666666666654</v>
      </c>
      <c r="D38" s="101">
        <v>0.8583333333333321</v>
      </c>
      <c r="E38" s="101">
        <v>0.8618055555555543</v>
      </c>
      <c r="F38" s="99">
        <v>0.9999999999999964</v>
      </c>
      <c r="G38" s="101">
        <v>0.8624999999999987</v>
      </c>
      <c r="H38" s="101">
        <v>0.8701388888888876</v>
      </c>
      <c r="I38" s="99">
        <v>0.0</v>
      </c>
      <c r="J38" s="101">
        <v>0.8701388888888876</v>
      </c>
      <c r="K38" s="101">
        <v>0.8715277777777765</v>
      </c>
      <c r="L38" s="99">
        <v>0.0</v>
      </c>
      <c r="M38" s="101">
        <v>0.8715277777777765</v>
      </c>
      <c r="N38" s="101">
        <v>0.877083333333332</v>
      </c>
      <c r="O38" s="99">
        <v>0.0</v>
      </c>
      <c r="P38" s="101">
        <v>0.877083333333332</v>
      </c>
      <c r="Q38" s="101">
        <v>0.8826388888888875</v>
      </c>
      <c r="R38" s="99">
        <v>5.0</v>
      </c>
      <c r="S38" s="101">
        <v>0.8861111111111097</v>
      </c>
      <c r="T38" s="103">
        <v>39.999999999999844</v>
      </c>
      <c r="U38" s="103">
        <v>45.99999999999984</v>
      </c>
      <c r="V38" s="103">
        <v>5.9999999999999964</v>
      </c>
      <c r="W38" s="104">
        <v>0.1500000000000005</v>
      </c>
      <c r="X38" s="142">
        <v>23.000000000000078</v>
      </c>
    </row>
    <row r="39" ht="13.5" customHeight="1">
      <c r="A39" s="127"/>
      <c r="B39" s="141" t="s">
        <v>98</v>
      </c>
      <c r="C39" s="101">
        <v>0.8701388888888875</v>
      </c>
      <c r="D39" s="101">
        <v>0.8743055555555541</v>
      </c>
      <c r="E39" s="101">
        <v>0.8777777777777763</v>
      </c>
      <c r="F39" s="99">
        <v>0.9999999999999964</v>
      </c>
      <c r="G39" s="101">
        <v>0.8784722222222208</v>
      </c>
      <c r="H39" s="101">
        <v>0.8861111111111096</v>
      </c>
      <c r="I39" s="99">
        <v>0.0</v>
      </c>
      <c r="J39" s="101">
        <v>0.8861111111111096</v>
      </c>
      <c r="K39" s="101">
        <v>0.8874999999999985</v>
      </c>
      <c r="L39" s="99">
        <v>0.0</v>
      </c>
      <c r="M39" s="101">
        <v>0.8874999999999985</v>
      </c>
      <c r="N39" s="101">
        <v>0.893055555555554</v>
      </c>
      <c r="O39" s="99">
        <v>0.0</v>
      </c>
      <c r="P39" s="101">
        <v>0.893055555555554</v>
      </c>
      <c r="Q39" s="101">
        <v>0.8986111111111096</v>
      </c>
      <c r="R39" s="99">
        <v>5.0</v>
      </c>
      <c r="S39" s="101">
        <v>0.9020833333333318</v>
      </c>
      <c r="T39" s="103">
        <v>39.999999999999844</v>
      </c>
      <c r="U39" s="103">
        <v>45.99999999999984</v>
      </c>
      <c r="V39" s="103">
        <v>5.9999999999999964</v>
      </c>
      <c r="W39" s="104">
        <v>0.1500000000000005</v>
      </c>
      <c r="X39" s="142">
        <v>22.99999999999976</v>
      </c>
    </row>
    <row r="40" ht="13.5" customHeight="1">
      <c r="A40" s="127"/>
      <c r="B40" s="141" t="s">
        <v>98</v>
      </c>
      <c r="C40" s="101">
        <v>0.8861111111111097</v>
      </c>
      <c r="D40" s="101">
        <v>0.8902777777777764</v>
      </c>
      <c r="E40" s="101">
        <v>0.8937499999999986</v>
      </c>
      <c r="F40" s="99">
        <v>0.9999999999999964</v>
      </c>
      <c r="G40" s="101">
        <v>0.894444444444443</v>
      </c>
      <c r="H40" s="101">
        <v>0.9020833333333319</v>
      </c>
      <c r="I40" s="99">
        <v>0.0</v>
      </c>
      <c r="J40" s="101">
        <v>0.9020833333333319</v>
      </c>
      <c r="K40" s="101">
        <v>0.9034722222222208</v>
      </c>
      <c r="L40" s="99">
        <v>0.0</v>
      </c>
      <c r="M40" s="101">
        <v>0.9034722222222208</v>
      </c>
      <c r="N40" s="101">
        <v>0.9090277777777763</v>
      </c>
      <c r="O40" s="99">
        <v>0.0</v>
      </c>
      <c r="P40" s="101">
        <v>0.9090277777777763</v>
      </c>
      <c r="Q40" s="101">
        <v>0.9145833333333319</v>
      </c>
      <c r="R40" s="99"/>
      <c r="S40" s="155"/>
      <c r="T40" s="103">
        <v>39.99999999999986</v>
      </c>
      <c r="U40" s="103">
        <v>40.99999999999986</v>
      </c>
      <c r="V40" s="103">
        <v>0.9999999999999964</v>
      </c>
      <c r="W40" s="104">
        <v>0.025</v>
      </c>
      <c r="X40" s="142">
        <v>23.000000000000078</v>
      </c>
    </row>
    <row r="41" ht="13.5" customHeight="1">
      <c r="A41" s="127"/>
      <c r="B41" s="141" t="s">
        <v>98</v>
      </c>
      <c r="C41" s="101">
        <v>0.9020833333333318</v>
      </c>
      <c r="D41" s="101">
        <v>0.9062499999999984</v>
      </c>
      <c r="E41" s="101">
        <v>0.9097222222222207</v>
      </c>
      <c r="F41" s="99">
        <v>0.9999999999999964</v>
      </c>
      <c r="G41" s="101">
        <v>0.9104166666666651</v>
      </c>
      <c r="H41" s="101">
        <v>0.918055555555554</v>
      </c>
      <c r="I41" s="99">
        <v>0.0</v>
      </c>
      <c r="J41" s="101">
        <v>0.918055555555554</v>
      </c>
      <c r="K41" s="101">
        <v>0.9194444444444428</v>
      </c>
      <c r="L41" s="99">
        <v>0.0</v>
      </c>
      <c r="M41" s="101">
        <v>0.9194444444444428</v>
      </c>
      <c r="N41" s="101">
        <v>0.9249999999999984</v>
      </c>
      <c r="O41" s="99">
        <v>0.0</v>
      </c>
      <c r="P41" s="101">
        <v>0.9249999999999984</v>
      </c>
      <c r="Q41" s="101">
        <v>0.9305555555555539</v>
      </c>
      <c r="R41" s="99">
        <v>5.0</v>
      </c>
      <c r="S41" s="101">
        <v>0.9340277777777761</v>
      </c>
      <c r="T41" s="103">
        <v>39.999999999999844</v>
      </c>
      <c r="U41" s="103">
        <v>45.99999999999984</v>
      </c>
      <c r="V41" s="103">
        <v>5.9999999999999964</v>
      </c>
      <c r="W41" s="104">
        <v>0.1500000000000005</v>
      </c>
      <c r="X41" s="142">
        <v>22.99999999999976</v>
      </c>
    </row>
    <row r="42" ht="13.5" customHeight="1">
      <c r="A42" s="127"/>
      <c r="B42" s="141" t="s">
        <v>98</v>
      </c>
      <c r="C42" s="101">
        <v>0.9340277777777761</v>
      </c>
      <c r="D42" s="101">
        <v>0.9381944444444428</v>
      </c>
      <c r="E42" s="101">
        <v>0.941666666666665</v>
      </c>
      <c r="F42" s="99">
        <v>0.9999999999999964</v>
      </c>
      <c r="G42" s="101">
        <v>0.9423611111111094</v>
      </c>
      <c r="H42" s="101">
        <v>0.9499999999999983</v>
      </c>
      <c r="I42" s="99">
        <v>0.0</v>
      </c>
      <c r="J42" s="101">
        <v>0.9499999999999983</v>
      </c>
      <c r="K42" s="101">
        <v>0.9513888888888872</v>
      </c>
      <c r="L42" s="99">
        <v>0.0</v>
      </c>
      <c r="M42" s="101">
        <v>0.9513888888888872</v>
      </c>
      <c r="N42" s="101">
        <v>0.9569444444444427</v>
      </c>
      <c r="O42" s="99">
        <v>0.0</v>
      </c>
      <c r="P42" s="101">
        <v>0.9569444444444427</v>
      </c>
      <c r="Q42" s="101">
        <v>0.9624999999999982</v>
      </c>
      <c r="R42" s="99"/>
      <c r="S42" s="155"/>
      <c r="T42" s="103">
        <v>39.99999999999986</v>
      </c>
      <c r="U42" s="103">
        <v>40.99999999999986</v>
      </c>
      <c r="V42" s="103">
        <v>0.9999999999999964</v>
      </c>
      <c r="W42" s="104">
        <v>0.025</v>
      </c>
      <c r="X42" s="142">
        <v>45.99999999999984</v>
      </c>
    </row>
    <row r="43" ht="13.5" customHeight="1">
      <c r="A43" s="156"/>
      <c r="Q43" s="110" t="s">
        <v>81</v>
      </c>
      <c r="T43" s="157">
        <v>26.099999999999902</v>
      </c>
      <c r="U43" s="158">
        <f>SUM(U5:U42)/60</f>
        <v>30.53333333</v>
      </c>
      <c r="V43" s="159">
        <v>3.633333333333333</v>
      </c>
      <c r="W43" s="104">
        <v>0.13920817369093283</v>
      </c>
    </row>
    <row r="44" ht="13.5" customHeight="1">
      <c r="A44" s="123" t="s">
        <v>82</v>
      </c>
      <c r="B44" s="118"/>
      <c r="C44" s="160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3.5" customHeight="1">
      <c r="A45" s="127"/>
      <c r="B45" s="73"/>
      <c r="C45" s="124" t="s">
        <v>83</v>
      </c>
      <c r="D45" s="125" t="s">
        <v>84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3"/>
    </row>
    <row r="46" ht="13.5" customHeight="1">
      <c r="A46" s="127"/>
      <c r="B46" s="73"/>
      <c r="C46" s="128" t="s">
        <v>62</v>
      </c>
      <c r="D46" s="128" t="s">
        <v>85</v>
      </c>
      <c r="E46" s="128" t="s">
        <v>85</v>
      </c>
      <c r="F46" s="85"/>
      <c r="G46" s="128" t="s">
        <v>62</v>
      </c>
      <c r="H46" s="128" t="s">
        <v>85</v>
      </c>
      <c r="I46" s="85"/>
      <c r="J46" s="128" t="s">
        <v>62</v>
      </c>
      <c r="K46" s="128" t="s">
        <v>85</v>
      </c>
      <c r="L46" s="85"/>
      <c r="M46" s="128" t="s">
        <v>62</v>
      </c>
      <c r="N46" s="128" t="s">
        <v>85</v>
      </c>
      <c r="O46" s="85"/>
      <c r="P46" s="128" t="s">
        <v>62</v>
      </c>
      <c r="Q46" s="128" t="s">
        <v>85</v>
      </c>
      <c r="R46" s="85"/>
      <c r="S46" s="128" t="s">
        <v>62</v>
      </c>
      <c r="T46" s="129"/>
      <c r="U46" s="129"/>
      <c r="V46" s="129"/>
    </row>
    <row r="47" ht="13.5" customHeight="1">
      <c r="A47" s="127"/>
      <c r="B47" s="89" t="s">
        <v>63</v>
      </c>
      <c r="C47" s="130" t="s">
        <v>86</v>
      </c>
      <c r="D47" s="130" t="s">
        <v>71</v>
      </c>
      <c r="E47" s="131" t="s">
        <v>87</v>
      </c>
      <c r="F47" s="132"/>
      <c r="G47" s="131" t="s">
        <v>87</v>
      </c>
      <c r="H47" s="130" t="s">
        <v>70</v>
      </c>
      <c r="I47" s="132"/>
      <c r="J47" s="130" t="s">
        <v>70</v>
      </c>
      <c r="K47" s="131" t="s">
        <v>68</v>
      </c>
      <c r="L47" s="132"/>
      <c r="M47" s="131" t="s">
        <v>68</v>
      </c>
      <c r="N47" s="131" t="s">
        <v>88</v>
      </c>
      <c r="O47" s="132"/>
      <c r="P47" s="131" t="s">
        <v>88</v>
      </c>
      <c r="Q47" s="131" t="s">
        <v>86</v>
      </c>
      <c r="R47" s="132"/>
      <c r="S47" s="133" t="s">
        <v>86</v>
      </c>
      <c r="T47" s="134"/>
      <c r="U47" s="134"/>
      <c r="V47" s="134"/>
    </row>
    <row r="48" ht="13.5" customHeight="1">
      <c r="A48" s="127"/>
      <c r="B48" s="93" t="s">
        <v>72</v>
      </c>
      <c r="C48" s="135">
        <v>1.0</v>
      </c>
      <c r="D48" s="128">
        <v>57.0</v>
      </c>
      <c r="E48" s="128">
        <v>441.0</v>
      </c>
      <c r="F48" s="136" t="s">
        <v>69</v>
      </c>
      <c r="G48" s="128">
        <v>441.0</v>
      </c>
      <c r="H48" s="128">
        <v>330.0</v>
      </c>
      <c r="I48" s="137" t="s">
        <v>69</v>
      </c>
      <c r="J48" s="128">
        <v>330.0</v>
      </c>
      <c r="K48" s="128">
        <v>559.0</v>
      </c>
      <c r="L48" s="136" t="s">
        <v>69</v>
      </c>
      <c r="M48" s="128">
        <v>559.0</v>
      </c>
      <c r="N48" s="128">
        <v>399.0</v>
      </c>
      <c r="O48" s="136" t="s">
        <v>69</v>
      </c>
      <c r="P48" s="128">
        <v>399.0</v>
      </c>
      <c r="Q48" s="128">
        <v>1.0</v>
      </c>
      <c r="R48" s="136" t="s">
        <v>69</v>
      </c>
      <c r="S48" s="138">
        <v>1.0</v>
      </c>
      <c r="T48" s="139" t="s">
        <v>73</v>
      </c>
      <c r="U48" s="139" t="s">
        <v>74</v>
      </c>
      <c r="V48" s="139" t="s">
        <v>69</v>
      </c>
      <c r="W48" s="104" t="s">
        <v>75</v>
      </c>
      <c r="X48" s="140" t="s">
        <v>76</v>
      </c>
    </row>
    <row r="49" ht="13.5" customHeight="1">
      <c r="A49" s="127"/>
      <c r="B49" s="141" t="s">
        <v>77</v>
      </c>
      <c r="C49" s="100">
        <v>0.3194444444444444</v>
      </c>
      <c r="D49" s="101">
        <v>0.32361111111111107</v>
      </c>
      <c r="E49" s="101">
        <v>0.3277777777777778</v>
      </c>
      <c r="F49" s="99">
        <v>1.0</v>
      </c>
      <c r="G49" s="101">
        <v>0.3284722222222222</v>
      </c>
      <c r="H49" s="101">
        <v>0.3368055555555556</v>
      </c>
      <c r="I49" s="99">
        <v>0.0</v>
      </c>
      <c r="J49" s="101">
        <v>0.3368055555555556</v>
      </c>
      <c r="K49" s="101">
        <v>0.33819444444444446</v>
      </c>
      <c r="L49" s="99">
        <v>0.0</v>
      </c>
      <c r="M49" s="101">
        <v>0.33819444444444446</v>
      </c>
      <c r="N49" s="101">
        <v>0.34375</v>
      </c>
      <c r="O49" s="99">
        <v>0.0</v>
      </c>
      <c r="P49" s="101">
        <v>0.34375</v>
      </c>
      <c r="Q49" s="101">
        <v>0.35</v>
      </c>
      <c r="R49" s="99">
        <v>5.0</v>
      </c>
      <c r="S49" s="101">
        <v>0.3534722222222222</v>
      </c>
      <c r="T49" s="103">
        <v>42.999999999999986</v>
      </c>
      <c r="U49" s="103">
        <v>48.999999999999986</v>
      </c>
      <c r="V49" s="103">
        <v>6.0</v>
      </c>
      <c r="W49" s="104">
        <v>0.1395348837209303</v>
      </c>
      <c r="X49" s="142"/>
    </row>
    <row r="50" ht="13.5" customHeight="1">
      <c r="A50" s="127"/>
      <c r="B50" s="141" t="s">
        <v>77</v>
      </c>
      <c r="C50" s="100">
        <v>0.3361111111111111</v>
      </c>
      <c r="D50" s="101">
        <v>0.34027777777777773</v>
      </c>
      <c r="E50" s="101">
        <v>0.34444444444444444</v>
      </c>
      <c r="F50" s="99">
        <v>0.9999999999999964</v>
      </c>
      <c r="G50" s="101">
        <v>0.3451388888888889</v>
      </c>
      <c r="H50" s="101">
        <v>0.35347222222222224</v>
      </c>
      <c r="I50" s="99">
        <v>0.0</v>
      </c>
      <c r="J50" s="101">
        <v>0.35347222222222224</v>
      </c>
      <c r="K50" s="101">
        <v>0.3548611111111111</v>
      </c>
      <c r="L50" s="99">
        <v>0.0</v>
      </c>
      <c r="M50" s="101">
        <v>0.3548611111111111</v>
      </c>
      <c r="N50" s="101">
        <v>0.36041666666666666</v>
      </c>
      <c r="O50" s="99">
        <v>0.0</v>
      </c>
      <c r="P50" s="101">
        <v>0.36041666666666666</v>
      </c>
      <c r="Q50" s="101">
        <v>0.36666666666666664</v>
      </c>
      <c r="R50" s="99">
        <v>5.0</v>
      </c>
      <c r="S50" s="101">
        <v>0.37013888888888885</v>
      </c>
      <c r="T50" s="103">
        <v>42.999999999999986</v>
      </c>
      <c r="U50" s="103">
        <v>48.999999999999986</v>
      </c>
      <c r="V50" s="103">
        <v>5.9999999999999964</v>
      </c>
      <c r="W50" s="104">
        <v>0.1395348837209302</v>
      </c>
      <c r="X50" s="142">
        <v>23.999999999999993</v>
      </c>
    </row>
    <row r="51" ht="13.5" customHeight="1">
      <c r="A51" s="127"/>
      <c r="B51" s="141" t="s">
        <v>77</v>
      </c>
      <c r="C51" s="101">
        <v>0.3534722222222222</v>
      </c>
      <c r="D51" s="101">
        <v>0.35763888888888884</v>
      </c>
      <c r="E51" s="101">
        <v>0.36180555555555555</v>
      </c>
      <c r="F51" s="99">
        <v>0.9999999999999964</v>
      </c>
      <c r="G51" s="101">
        <v>0.3625</v>
      </c>
      <c r="H51" s="101">
        <v>0.37083333333333335</v>
      </c>
      <c r="I51" s="99">
        <v>0.0</v>
      </c>
      <c r="J51" s="101">
        <v>0.37083333333333335</v>
      </c>
      <c r="K51" s="101">
        <v>0.37222222222222223</v>
      </c>
      <c r="L51" s="99">
        <v>0.0</v>
      </c>
      <c r="M51" s="101">
        <v>0.37222222222222223</v>
      </c>
      <c r="N51" s="101">
        <v>0.37777777777777777</v>
      </c>
      <c r="O51" s="99">
        <v>0.0</v>
      </c>
      <c r="P51" s="101">
        <v>0.37777777777777777</v>
      </c>
      <c r="Q51" s="101">
        <v>0.38402777777777775</v>
      </c>
      <c r="R51" s="99">
        <v>5.0</v>
      </c>
      <c r="S51" s="101">
        <v>0.38749999999999996</v>
      </c>
      <c r="T51" s="103">
        <v>42.999999999999986</v>
      </c>
      <c r="U51" s="103">
        <v>48.999999999999986</v>
      </c>
      <c r="V51" s="103">
        <v>5.9999999999999964</v>
      </c>
      <c r="W51" s="104">
        <v>0.1395348837209302</v>
      </c>
      <c r="X51" s="142">
        <v>24.999999999999993</v>
      </c>
    </row>
    <row r="52" ht="13.5" customHeight="1">
      <c r="A52" s="127"/>
      <c r="B52" s="141" t="s">
        <v>77</v>
      </c>
      <c r="C52" s="101">
        <v>0.37013888888888885</v>
      </c>
      <c r="D52" s="101">
        <v>0.3743055555555555</v>
      </c>
      <c r="E52" s="101">
        <v>0.3784722222222222</v>
      </c>
      <c r="F52" s="99">
        <v>0.9999999999999964</v>
      </c>
      <c r="G52" s="101">
        <v>0.37916666666666665</v>
      </c>
      <c r="H52" s="101">
        <v>0.3875</v>
      </c>
      <c r="I52" s="99">
        <v>0.0</v>
      </c>
      <c r="J52" s="101">
        <v>0.3875</v>
      </c>
      <c r="K52" s="101">
        <v>0.3888888888888889</v>
      </c>
      <c r="L52" s="99">
        <v>0.0</v>
      </c>
      <c r="M52" s="101">
        <v>0.3888888888888889</v>
      </c>
      <c r="N52" s="101">
        <v>0.39444444444444443</v>
      </c>
      <c r="O52" s="99">
        <v>0.0</v>
      </c>
      <c r="P52" s="101">
        <v>0.39444444444444443</v>
      </c>
      <c r="Q52" s="101">
        <v>0.4006944444444444</v>
      </c>
      <c r="R52" s="99">
        <v>5.0</v>
      </c>
      <c r="S52" s="101">
        <v>0.4041666666666666</v>
      </c>
      <c r="T52" s="103">
        <v>42.999999999999986</v>
      </c>
      <c r="U52" s="103">
        <v>48.999999999999986</v>
      </c>
      <c r="V52" s="103">
        <v>5.9999999999999964</v>
      </c>
      <c r="W52" s="104">
        <v>0.1395348837209302</v>
      </c>
      <c r="X52" s="142">
        <v>23.999999999999993</v>
      </c>
    </row>
    <row r="53" ht="13.5" customHeight="1">
      <c r="A53" s="127"/>
      <c r="B53" s="141" t="s">
        <v>77</v>
      </c>
      <c r="C53" s="101">
        <v>0.38749999999999996</v>
      </c>
      <c r="D53" s="101">
        <v>0.3916666666666666</v>
      </c>
      <c r="E53" s="101">
        <v>0.3958333333333333</v>
      </c>
      <c r="F53" s="99">
        <v>0.9999999999999964</v>
      </c>
      <c r="G53" s="101">
        <v>0.39652777777777776</v>
      </c>
      <c r="H53" s="101">
        <v>0.4048611111111111</v>
      </c>
      <c r="I53" s="99">
        <v>0.0</v>
      </c>
      <c r="J53" s="101">
        <v>0.4048611111111111</v>
      </c>
      <c r="K53" s="101">
        <v>0.40625</v>
      </c>
      <c r="L53" s="99">
        <v>0.0</v>
      </c>
      <c r="M53" s="101">
        <v>0.40625</v>
      </c>
      <c r="N53" s="101">
        <v>0.41180555555555554</v>
      </c>
      <c r="O53" s="99">
        <v>0.0</v>
      </c>
      <c r="P53" s="101">
        <v>0.41180555555555554</v>
      </c>
      <c r="Q53" s="101">
        <v>0.4180555555555555</v>
      </c>
      <c r="R53" s="99">
        <v>5.0</v>
      </c>
      <c r="S53" s="101">
        <v>0.4215277777777777</v>
      </c>
      <c r="T53" s="103">
        <v>42.999999999999986</v>
      </c>
      <c r="U53" s="103">
        <v>48.999999999999986</v>
      </c>
      <c r="V53" s="103">
        <v>5.9999999999999964</v>
      </c>
      <c r="W53" s="104">
        <v>0.1395348837209302</v>
      </c>
      <c r="X53" s="142">
        <v>24.999999999999993</v>
      </c>
    </row>
    <row r="54" ht="13.5" customHeight="1">
      <c r="A54" s="127"/>
      <c r="B54" s="141" t="s">
        <v>77</v>
      </c>
      <c r="C54" s="101">
        <v>0.4041666666666666</v>
      </c>
      <c r="D54" s="101">
        <v>0.40833333333333327</v>
      </c>
      <c r="E54" s="101">
        <v>0.4125</v>
      </c>
      <c r="F54" s="99">
        <v>0.9999999999999964</v>
      </c>
      <c r="G54" s="101">
        <v>0.4131944444444444</v>
      </c>
      <c r="H54" s="101">
        <v>0.4215277777777778</v>
      </c>
      <c r="I54" s="99">
        <v>0.0</v>
      </c>
      <c r="J54" s="101">
        <v>0.4215277777777778</v>
      </c>
      <c r="K54" s="101">
        <v>0.42291666666666666</v>
      </c>
      <c r="L54" s="99">
        <v>0.0</v>
      </c>
      <c r="M54" s="101">
        <v>0.42291666666666666</v>
      </c>
      <c r="N54" s="101">
        <v>0.4284722222222222</v>
      </c>
      <c r="O54" s="99">
        <v>0.0</v>
      </c>
      <c r="P54" s="101">
        <v>0.4284722222222222</v>
      </c>
      <c r="Q54" s="101">
        <v>0.4347222222222222</v>
      </c>
      <c r="R54" s="99">
        <v>5.0</v>
      </c>
      <c r="S54" s="101">
        <v>0.4381944444444444</v>
      </c>
      <c r="T54" s="103">
        <v>42.999999999999986</v>
      </c>
      <c r="U54" s="103">
        <v>48.999999999999986</v>
      </c>
      <c r="V54" s="103">
        <v>5.9999999999999964</v>
      </c>
      <c r="W54" s="104">
        <v>0.1395348837209302</v>
      </c>
      <c r="X54" s="142">
        <v>23.999999999999993</v>
      </c>
    </row>
    <row r="55" ht="13.5" customHeight="1">
      <c r="A55" s="127"/>
      <c r="B55" s="141" t="s">
        <v>77</v>
      </c>
      <c r="C55" s="101">
        <v>0.4215277777777777</v>
      </c>
      <c r="D55" s="101">
        <v>0.4256944444444444</v>
      </c>
      <c r="E55" s="101">
        <v>0.4298611111111111</v>
      </c>
      <c r="F55" s="99">
        <v>0.9999999999999964</v>
      </c>
      <c r="G55" s="101">
        <v>0.4305555555555555</v>
      </c>
      <c r="H55" s="101">
        <v>0.4388888888888889</v>
      </c>
      <c r="I55" s="99">
        <v>0.0</v>
      </c>
      <c r="J55" s="101">
        <v>0.4388888888888889</v>
      </c>
      <c r="K55" s="101">
        <v>0.44027777777777777</v>
      </c>
      <c r="L55" s="99">
        <v>0.0</v>
      </c>
      <c r="M55" s="101">
        <v>0.44027777777777777</v>
      </c>
      <c r="N55" s="101">
        <v>0.4458333333333333</v>
      </c>
      <c r="O55" s="99">
        <v>0.0</v>
      </c>
      <c r="P55" s="101">
        <v>0.4458333333333333</v>
      </c>
      <c r="Q55" s="101">
        <v>0.4520833333333333</v>
      </c>
      <c r="R55" s="99">
        <v>5.0</v>
      </c>
      <c r="S55" s="101">
        <v>0.4555555555555555</v>
      </c>
      <c r="T55" s="103">
        <v>42.999999999999986</v>
      </c>
      <c r="U55" s="103">
        <v>48.999999999999986</v>
      </c>
      <c r="V55" s="103">
        <v>5.9999999999999964</v>
      </c>
      <c r="W55" s="104">
        <v>0.1395348837209302</v>
      </c>
      <c r="X55" s="142">
        <v>24.999999999999993</v>
      </c>
    </row>
    <row r="56" ht="13.5" customHeight="1">
      <c r="A56" s="127"/>
      <c r="B56" s="141" t="s">
        <v>77</v>
      </c>
      <c r="C56" s="101">
        <v>0.4381944444444444</v>
      </c>
      <c r="D56" s="101">
        <v>0.44236111111111104</v>
      </c>
      <c r="E56" s="101">
        <v>0.44652777777777775</v>
      </c>
      <c r="F56" s="99">
        <v>0.9999999999999964</v>
      </c>
      <c r="G56" s="101">
        <v>0.4472222222222222</v>
      </c>
      <c r="H56" s="101">
        <v>0.45555555555555555</v>
      </c>
      <c r="I56" s="99">
        <v>0.0</v>
      </c>
      <c r="J56" s="101">
        <v>0.45555555555555555</v>
      </c>
      <c r="K56" s="101">
        <v>0.45694444444444443</v>
      </c>
      <c r="L56" s="99">
        <v>0.0</v>
      </c>
      <c r="M56" s="101">
        <v>0.45694444444444443</v>
      </c>
      <c r="N56" s="101">
        <v>0.46249999999999997</v>
      </c>
      <c r="O56" s="99">
        <v>0.0</v>
      </c>
      <c r="P56" s="101">
        <v>0.46249999999999997</v>
      </c>
      <c r="Q56" s="101">
        <v>0.46874999999999994</v>
      </c>
      <c r="R56" s="99">
        <v>5.0</v>
      </c>
      <c r="S56" s="101">
        <v>0.47222222222222215</v>
      </c>
      <c r="T56" s="103">
        <v>42.999999999999986</v>
      </c>
      <c r="U56" s="103">
        <v>48.999999999999986</v>
      </c>
      <c r="V56" s="103">
        <v>5.9999999999999964</v>
      </c>
      <c r="W56" s="104">
        <v>0.1395348837209302</v>
      </c>
      <c r="X56" s="142">
        <v>23.999999999999993</v>
      </c>
    </row>
    <row r="57" ht="13.5" customHeight="1">
      <c r="A57" s="127"/>
      <c r="B57" s="141" t="s">
        <v>77</v>
      </c>
      <c r="C57" s="101">
        <v>0.4555555555555555</v>
      </c>
      <c r="D57" s="101">
        <v>0.45972222222222214</v>
      </c>
      <c r="E57" s="101">
        <v>0.46388888888888885</v>
      </c>
      <c r="F57" s="99">
        <v>0.9999999999999964</v>
      </c>
      <c r="G57" s="101">
        <v>0.4645833333333333</v>
      </c>
      <c r="H57" s="101">
        <v>0.47291666666666665</v>
      </c>
      <c r="I57" s="99">
        <v>0.0</v>
      </c>
      <c r="J57" s="101">
        <v>0.47291666666666665</v>
      </c>
      <c r="K57" s="101">
        <v>0.47430555555555554</v>
      </c>
      <c r="L57" s="99">
        <v>0.0</v>
      </c>
      <c r="M57" s="101">
        <v>0.47430555555555554</v>
      </c>
      <c r="N57" s="101">
        <v>0.47986111111111107</v>
      </c>
      <c r="O57" s="99">
        <v>0.0</v>
      </c>
      <c r="P57" s="101">
        <v>0.47986111111111107</v>
      </c>
      <c r="Q57" s="101">
        <v>0.48611111111111105</v>
      </c>
      <c r="R57" s="99">
        <v>5.0</v>
      </c>
      <c r="S57" s="101">
        <v>0.48958333333333326</v>
      </c>
      <c r="T57" s="103">
        <v>42.999999999999986</v>
      </c>
      <c r="U57" s="103">
        <v>48.999999999999986</v>
      </c>
      <c r="V57" s="103">
        <v>5.9999999999999964</v>
      </c>
      <c r="W57" s="104">
        <v>0.1395348837209302</v>
      </c>
      <c r="X57" s="142">
        <v>24.999999999999993</v>
      </c>
    </row>
    <row r="58" ht="13.5" customHeight="1">
      <c r="A58" s="127"/>
      <c r="B58" s="141" t="s">
        <v>77</v>
      </c>
      <c r="C58" s="101">
        <v>0.47222222222222215</v>
      </c>
      <c r="D58" s="101">
        <v>0.4763888888888888</v>
      </c>
      <c r="E58" s="101">
        <v>0.4805555555555555</v>
      </c>
      <c r="F58" s="99">
        <v>0.9999999999999964</v>
      </c>
      <c r="G58" s="101">
        <v>0.48124999999999996</v>
      </c>
      <c r="H58" s="101">
        <v>0.4895833333333333</v>
      </c>
      <c r="I58" s="99">
        <v>0.0</v>
      </c>
      <c r="J58" s="101">
        <v>0.4895833333333333</v>
      </c>
      <c r="K58" s="101">
        <v>0.4909722222222222</v>
      </c>
      <c r="L58" s="99">
        <v>0.0</v>
      </c>
      <c r="M58" s="101">
        <v>0.4909722222222222</v>
      </c>
      <c r="N58" s="101">
        <v>0.49652777777777773</v>
      </c>
      <c r="O58" s="99">
        <v>0.0</v>
      </c>
      <c r="P58" s="101">
        <v>0.49652777777777773</v>
      </c>
      <c r="Q58" s="101">
        <v>0.5027777777777778</v>
      </c>
      <c r="R58" s="99">
        <v>5.0</v>
      </c>
      <c r="S58" s="101">
        <v>0.50625</v>
      </c>
      <c r="T58" s="103">
        <v>43.00000000000007</v>
      </c>
      <c r="U58" s="103">
        <v>49.000000000000064</v>
      </c>
      <c r="V58" s="103">
        <v>5.9999999999999964</v>
      </c>
      <c r="W58" s="104">
        <v>0.13953488372092993</v>
      </c>
      <c r="X58" s="142">
        <v>24.000000000000075</v>
      </c>
    </row>
    <row r="59" ht="13.5" customHeight="1">
      <c r="A59" s="127"/>
      <c r="B59" s="141" t="s">
        <v>78</v>
      </c>
      <c r="C59" s="101">
        <v>0.48958333333333326</v>
      </c>
      <c r="D59" s="101">
        <v>0.4937499999999999</v>
      </c>
      <c r="E59" s="101">
        <v>0.4979166666666666</v>
      </c>
      <c r="F59" s="99">
        <v>0.9999999999999964</v>
      </c>
      <c r="G59" s="101">
        <v>0.49861111111111106</v>
      </c>
      <c r="H59" s="101">
        <v>0.5069444444444444</v>
      </c>
      <c r="I59" s="99">
        <v>0.0</v>
      </c>
      <c r="J59" s="101">
        <v>0.5069444444444444</v>
      </c>
      <c r="K59" s="101">
        <v>0.5083333333333333</v>
      </c>
      <c r="L59" s="99">
        <v>0.0</v>
      </c>
      <c r="M59" s="101">
        <v>0.5083333333333333</v>
      </c>
      <c r="N59" s="101">
        <v>0.5138888888888888</v>
      </c>
      <c r="O59" s="99">
        <v>0.0</v>
      </c>
      <c r="P59" s="101">
        <v>0.5138888888888888</v>
      </c>
      <c r="Q59" s="101">
        <v>0.5201388888888888</v>
      </c>
      <c r="R59" s="99">
        <v>5.0</v>
      </c>
      <c r="S59" s="101">
        <v>0.523611111111111</v>
      </c>
      <c r="T59" s="103">
        <v>42.999999999999986</v>
      </c>
      <c r="U59" s="103">
        <v>48.999999999999986</v>
      </c>
      <c r="V59" s="103">
        <v>5.9999999999999964</v>
      </c>
      <c r="W59" s="104">
        <v>0.1395348837209302</v>
      </c>
      <c r="X59" s="142">
        <v>24.99999999999991</v>
      </c>
    </row>
    <row r="60" ht="13.5" customHeight="1">
      <c r="A60" s="127"/>
      <c r="B60" s="141" t="s">
        <v>78</v>
      </c>
      <c r="C60" s="101">
        <v>0.50625</v>
      </c>
      <c r="D60" s="101">
        <v>0.5104166666666666</v>
      </c>
      <c r="E60" s="101">
        <v>0.5145833333333333</v>
      </c>
      <c r="F60" s="99">
        <v>0.9999999999999964</v>
      </c>
      <c r="G60" s="101">
        <v>0.5152777777777777</v>
      </c>
      <c r="H60" s="101">
        <v>0.523611111111111</v>
      </c>
      <c r="I60" s="99">
        <v>0.0</v>
      </c>
      <c r="J60" s="101">
        <v>0.523611111111111</v>
      </c>
      <c r="K60" s="101">
        <v>0.5249999999999999</v>
      </c>
      <c r="L60" s="99">
        <v>0.0</v>
      </c>
      <c r="M60" s="101">
        <v>0.5249999999999999</v>
      </c>
      <c r="N60" s="101">
        <v>0.5305555555555554</v>
      </c>
      <c r="O60" s="99">
        <v>0.0</v>
      </c>
      <c r="P60" s="101">
        <v>0.5305555555555554</v>
      </c>
      <c r="Q60" s="101">
        <v>0.5368055555555554</v>
      </c>
      <c r="R60" s="99">
        <v>5.0</v>
      </c>
      <c r="S60" s="101">
        <v>0.5402777777777776</v>
      </c>
      <c r="T60" s="103">
        <v>42.99999999999983</v>
      </c>
      <c r="U60" s="103">
        <v>48.99999999999983</v>
      </c>
      <c r="V60" s="103">
        <v>5.9999999999999964</v>
      </c>
      <c r="W60" s="104">
        <v>0.1395348837209307</v>
      </c>
      <c r="X60" s="142">
        <v>23.999999999999915</v>
      </c>
    </row>
    <row r="61" ht="13.5" customHeight="1">
      <c r="A61" s="127"/>
      <c r="B61" s="141" t="s">
        <v>78</v>
      </c>
      <c r="C61" s="101">
        <v>0.523611111111111</v>
      </c>
      <c r="D61" s="101">
        <v>0.5277777777777777</v>
      </c>
      <c r="E61" s="101">
        <v>0.5319444444444443</v>
      </c>
      <c r="F61" s="99">
        <v>0.9999999999999964</v>
      </c>
      <c r="G61" s="101">
        <v>0.5326388888888888</v>
      </c>
      <c r="H61" s="101">
        <v>0.5409722222222221</v>
      </c>
      <c r="I61" s="99">
        <v>0.0</v>
      </c>
      <c r="J61" s="101">
        <v>0.5409722222222221</v>
      </c>
      <c r="K61" s="101">
        <v>0.542361111111111</v>
      </c>
      <c r="L61" s="99">
        <v>0.0</v>
      </c>
      <c r="M61" s="101">
        <v>0.542361111111111</v>
      </c>
      <c r="N61" s="101">
        <v>0.5479166666666665</v>
      </c>
      <c r="O61" s="99">
        <v>0.0</v>
      </c>
      <c r="P61" s="101">
        <v>0.5479166666666665</v>
      </c>
      <c r="Q61" s="101">
        <v>0.5541666666666665</v>
      </c>
      <c r="R61" s="99">
        <v>5.0</v>
      </c>
      <c r="S61" s="101">
        <v>0.5576388888888887</v>
      </c>
      <c r="T61" s="103">
        <v>42.99999999999983</v>
      </c>
      <c r="U61" s="103">
        <v>48.99999999999983</v>
      </c>
      <c r="V61" s="103">
        <v>5.9999999999999964</v>
      </c>
      <c r="W61" s="104">
        <v>0.1395348837209307</v>
      </c>
      <c r="X61" s="142">
        <v>24.99999999999991</v>
      </c>
    </row>
    <row r="62" ht="13.5" customHeight="1">
      <c r="A62" s="127"/>
      <c r="B62" s="141" t="s">
        <v>78</v>
      </c>
      <c r="C62" s="101">
        <v>0.5402777777777776</v>
      </c>
      <c r="D62" s="101">
        <v>0.5444444444444443</v>
      </c>
      <c r="E62" s="101">
        <v>0.5486111111111109</v>
      </c>
      <c r="F62" s="99">
        <v>0.9999999999999964</v>
      </c>
      <c r="G62" s="101">
        <v>0.5493055555555554</v>
      </c>
      <c r="H62" s="101">
        <v>0.5576388888888887</v>
      </c>
      <c r="I62" s="99">
        <v>0.0</v>
      </c>
      <c r="J62" s="101">
        <v>0.5576388888888887</v>
      </c>
      <c r="K62" s="101">
        <v>0.5590277777777776</v>
      </c>
      <c r="L62" s="99">
        <v>0.0</v>
      </c>
      <c r="M62" s="101">
        <v>0.5590277777777776</v>
      </c>
      <c r="N62" s="101">
        <v>0.5645833333333331</v>
      </c>
      <c r="O62" s="99">
        <v>0.0</v>
      </c>
      <c r="P62" s="101">
        <v>0.5645833333333331</v>
      </c>
      <c r="Q62" s="101">
        <v>0.5708333333333331</v>
      </c>
      <c r="R62" s="99">
        <v>5.0</v>
      </c>
      <c r="S62" s="101">
        <v>0.5743055555555553</v>
      </c>
      <c r="T62" s="103">
        <v>42.99999999999983</v>
      </c>
      <c r="U62" s="103">
        <v>48.99999999999983</v>
      </c>
      <c r="V62" s="103">
        <v>5.9999999999999964</v>
      </c>
      <c r="W62" s="104">
        <v>0.1395348837209307</v>
      </c>
      <c r="X62" s="142">
        <v>23.999999999999915</v>
      </c>
    </row>
    <row r="63" ht="13.5" customHeight="1">
      <c r="A63" s="127"/>
      <c r="B63" s="141" t="s">
        <v>78</v>
      </c>
      <c r="C63" s="101">
        <v>0.5576388888888887</v>
      </c>
      <c r="D63" s="101">
        <v>0.5618055555555553</v>
      </c>
      <c r="E63" s="101">
        <v>0.565972222222222</v>
      </c>
      <c r="F63" s="99">
        <v>0.9999999999999964</v>
      </c>
      <c r="G63" s="101">
        <v>0.5666666666666664</v>
      </c>
      <c r="H63" s="101">
        <v>0.5749999999999997</v>
      </c>
      <c r="I63" s="99">
        <v>0.0</v>
      </c>
      <c r="J63" s="101">
        <v>0.5749999999999997</v>
      </c>
      <c r="K63" s="101">
        <v>0.5763888888888886</v>
      </c>
      <c r="L63" s="99">
        <v>0.0</v>
      </c>
      <c r="M63" s="101">
        <v>0.5763888888888886</v>
      </c>
      <c r="N63" s="101">
        <v>0.5819444444444442</v>
      </c>
      <c r="O63" s="99">
        <v>0.0</v>
      </c>
      <c r="P63" s="101">
        <v>0.5819444444444442</v>
      </c>
      <c r="Q63" s="101">
        <v>0.5881944444444441</v>
      </c>
      <c r="R63" s="99">
        <v>5.0</v>
      </c>
      <c r="S63" s="101">
        <v>0.5916666666666663</v>
      </c>
      <c r="T63" s="103">
        <v>42.99999999999983</v>
      </c>
      <c r="U63" s="103">
        <v>48.99999999999983</v>
      </c>
      <c r="V63" s="103">
        <v>5.9999999999999964</v>
      </c>
      <c r="W63" s="104">
        <v>0.1395348837209307</v>
      </c>
      <c r="X63" s="142">
        <v>24.99999999999991</v>
      </c>
    </row>
    <row r="64" ht="13.5" customHeight="1">
      <c r="A64" s="127"/>
      <c r="B64" s="141" t="s">
        <v>78</v>
      </c>
      <c r="C64" s="101">
        <v>0.5743055555555553</v>
      </c>
      <c r="D64" s="101">
        <v>0.5784722222222219</v>
      </c>
      <c r="E64" s="101">
        <v>0.5826388888888886</v>
      </c>
      <c r="F64" s="99">
        <v>0.9999999999999964</v>
      </c>
      <c r="G64" s="101">
        <v>0.583333333333333</v>
      </c>
      <c r="H64" s="101">
        <v>0.5916666666666663</v>
      </c>
      <c r="I64" s="99">
        <v>0.0</v>
      </c>
      <c r="J64" s="101">
        <v>0.5916666666666663</v>
      </c>
      <c r="K64" s="101">
        <v>0.5930555555555552</v>
      </c>
      <c r="L64" s="99">
        <v>0.0</v>
      </c>
      <c r="M64" s="101">
        <v>0.5930555555555552</v>
      </c>
      <c r="N64" s="101">
        <v>0.5986111111111108</v>
      </c>
      <c r="O64" s="99">
        <v>0.0</v>
      </c>
      <c r="P64" s="101">
        <v>0.5986111111111108</v>
      </c>
      <c r="Q64" s="101">
        <v>0.6048611111111107</v>
      </c>
      <c r="R64" s="99">
        <v>5.0</v>
      </c>
      <c r="S64" s="101">
        <v>0.608333333333333</v>
      </c>
      <c r="T64" s="103">
        <v>42.99999999999983</v>
      </c>
      <c r="U64" s="103">
        <v>48.99999999999983</v>
      </c>
      <c r="V64" s="103">
        <v>5.9999999999999964</v>
      </c>
      <c r="W64" s="104">
        <v>0.1395348837209307</v>
      </c>
      <c r="X64" s="142">
        <v>23.999999999999915</v>
      </c>
    </row>
    <row r="65" ht="13.5" customHeight="1">
      <c r="A65" s="127"/>
      <c r="B65" s="141" t="s">
        <v>78</v>
      </c>
      <c r="C65" s="101">
        <v>0.5916666666666663</v>
      </c>
      <c r="D65" s="101">
        <v>0.595833333333333</v>
      </c>
      <c r="E65" s="101">
        <v>0.5999999999999996</v>
      </c>
      <c r="F65" s="99">
        <v>0.9999999999999964</v>
      </c>
      <c r="G65" s="101">
        <v>0.6006944444444441</v>
      </c>
      <c r="H65" s="101">
        <v>0.6090277777777774</v>
      </c>
      <c r="I65" s="99">
        <v>0.0</v>
      </c>
      <c r="J65" s="101">
        <v>0.6090277777777774</v>
      </c>
      <c r="K65" s="101">
        <v>0.6104166666666663</v>
      </c>
      <c r="L65" s="99">
        <v>0.0</v>
      </c>
      <c r="M65" s="101">
        <v>0.6104166666666663</v>
      </c>
      <c r="N65" s="101">
        <v>0.6159722222222218</v>
      </c>
      <c r="O65" s="99">
        <v>0.0</v>
      </c>
      <c r="P65" s="101">
        <v>0.6159722222222218</v>
      </c>
      <c r="Q65" s="101">
        <v>0.6222222222222218</v>
      </c>
      <c r="R65" s="99">
        <v>5.0</v>
      </c>
      <c r="S65" s="101">
        <v>0.625694444444444</v>
      </c>
      <c r="T65" s="103">
        <v>42.99999999999983</v>
      </c>
      <c r="U65" s="103">
        <v>48.99999999999983</v>
      </c>
      <c r="V65" s="103">
        <v>5.9999999999999964</v>
      </c>
      <c r="W65" s="104">
        <v>0.1395348837209307</v>
      </c>
      <c r="X65" s="142">
        <v>24.99999999999991</v>
      </c>
    </row>
    <row r="66" ht="13.5" customHeight="1">
      <c r="A66" s="127"/>
      <c r="B66" s="141" t="s">
        <v>78</v>
      </c>
      <c r="C66" s="101">
        <v>0.608333333333333</v>
      </c>
      <c r="D66" s="101">
        <v>0.6124999999999996</v>
      </c>
      <c r="E66" s="101">
        <v>0.6166666666666663</v>
      </c>
      <c r="F66" s="99">
        <v>0.9999999999999964</v>
      </c>
      <c r="G66" s="101">
        <v>0.6173611111111107</v>
      </c>
      <c r="H66" s="101">
        <v>0.625694444444444</v>
      </c>
      <c r="I66" s="99">
        <v>0.0</v>
      </c>
      <c r="J66" s="101">
        <v>0.625694444444444</v>
      </c>
      <c r="K66" s="101">
        <v>0.6270833333333329</v>
      </c>
      <c r="L66" s="99">
        <v>0.0</v>
      </c>
      <c r="M66" s="101">
        <v>0.6270833333333329</v>
      </c>
      <c r="N66" s="101">
        <v>0.6326388888888884</v>
      </c>
      <c r="O66" s="99">
        <v>0.0</v>
      </c>
      <c r="P66" s="101">
        <v>0.6326388888888884</v>
      </c>
      <c r="Q66" s="101">
        <v>0.6388888888888884</v>
      </c>
      <c r="R66" s="99">
        <v>6.0</v>
      </c>
      <c r="S66" s="101">
        <v>0.643055555555555</v>
      </c>
      <c r="T66" s="103">
        <v>42.99999999999983</v>
      </c>
      <c r="U66" s="103">
        <v>49.99999999999982</v>
      </c>
      <c r="V66" s="103">
        <v>6.9999999999999964</v>
      </c>
      <c r="W66" s="104">
        <v>0.16279069767441917</v>
      </c>
      <c r="X66" s="142">
        <v>24.99999999999991</v>
      </c>
    </row>
    <row r="67" ht="13.5" customHeight="1">
      <c r="A67" s="127"/>
      <c r="B67" s="141" t="s">
        <v>78</v>
      </c>
      <c r="C67" s="101">
        <v>0.625694444444444</v>
      </c>
      <c r="D67" s="101">
        <v>0.6298611111111106</v>
      </c>
      <c r="E67" s="101">
        <v>0.6340277777777773</v>
      </c>
      <c r="F67" s="99">
        <v>0.9999999999999964</v>
      </c>
      <c r="G67" s="101">
        <v>0.6347222222222217</v>
      </c>
      <c r="H67" s="101">
        <v>0.643055555555555</v>
      </c>
      <c r="I67" s="99">
        <v>0.0</v>
      </c>
      <c r="J67" s="101">
        <v>0.643055555555555</v>
      </c>
      <c r="K67" s="101">
        <v>0.6444444444444439</v>
      </c>
      <c r="L67" s="99">
        <v>0.0</v>
      </c>
      <c r="M67" s="101">
        <v>0.6444444444444439</v>
      </c>
      <c r="N67" s="101">
        <v>0.6499999999999995</v>
      </c>
      <c r="O67" s="99">
        <v>0.0</v>
      </c>
      <c r="P67" s="101">
        <v>0.6499999999999995</v>
      </c>
      <c r="Q67" s="101">
        <v>0.6562499999999994</v>
      </c>
      <c r="R67" s="99">
        <v>7.0</v>
      </c>
      <c r="S67" s="101">
        <v>0.6611111111111105</v>
      </c>
      <c r="T67" s="103">
        <v>42.999999999999815</v>
      </c>
      <c r="U67" s="103">
        <v>50.999999999999815</v>
      </c>
      <c r="V67" s="103">
        <v>7.9999999999999964</v>
      </c>
      <c r="W67" s="104">
        <v>0.1860465116279077</v>
      </c>
      <c r="X67" s="142">
        <v>25.999999999999908</v>
      </c>
    </row>
    <row r="68" ht="13.5" customHeight="1">
      <c r="A68" s="127"/>
      <c r="B68" s="141" t="s">
        <v>78</v>
      </c>
      <c r="C68" s="101">
        <v>0.643055555555555</v>
      </c>
      <c r="D68" s="101">
        <v>0.6472222222222217</v>
      </c>
      <c r="E68" s="101">
        <v>0.6513888888888884</v>
      </c>
      <c r="F68" s="99">
        <v>0.9999999999999964</v>
      </c>
      <c r="G68" s="101">
        <v>0.6520833333333328</v>
      </c>
      <c r="H68" s="101">
        <v>0.6604166666666661</v>
      </c>
      <c r="I68" s="99">
        <v>0.0</v>
      </c>
      <c r="J68" s="101">
        <v>0.6604166666666661</v>
      </c>
      <c r="K68" s="101">
        <v>0.661805555555555</v>
      </c>
      <c r="L68" s="99">
        <v>0.0</v>
      </c>
      <c r="M68" s="101">
        <v>0.661805555555555</v>
      </c>
      <c r="N68" s="101">
        <v>0.6673611111111105</v>
      </c>
      <c r="O68" s="99">
        <v>0.0</v>
      </c>
      <c r="P68" s="101">
        <v>0.6673611111111105</v>
      </c>
      <c r="Q68" s="101">
        <v>0.6736111111111105</v>
      </c>
      <c r="R68" s="99">
        <v>7.0</v>
      </c>
      <c r="S68" s="101">
        <v>0.6784722222222216</v>
      </c>
      <c r="T68" s="103">
        <v>42.999999999999815</v>
      </c>
      <c r="U68" s="103">
        <v>50.999999999999815</v>
      </c>
      <c r="V68" s="103">
        <v>7.9999999999999964</v>
      </c>
      <c r="W68" s="104">
        <v>0.1860465116279077</v>
      </c>
      <c r="X68" s="142">
        <v>24.99999999999991</v>
      </c>
    </row>
    <row r="69" ht="13.5" customHeight="1">
      <c r="A69" s="127"/>
      <c r="B69" s="141" t="s">
        <v>78</v>
      </c>
      <c r="C69" s="101">
        <v>0.6611111111111105</v>
      </c>
      <c r="D69" s="101">
        <v>0.6652777777777772</v>
      </c>
      <c r="E69" s="101">
        <v>0.6694444444444438</v>
      </c>
      <c r="F69" s="99">
        <v>0.9999999999999964</v>
      </c>
      <c r="G69" s="101">
        <v>0.6701388888888883</v>
      </c>
      <c r="H69" s="101">
        <v>0.6784722222222216</v>
      </c>
      <c r="I69" s="99">
        <v>0.0</v>
      </c>
      <c r="J69" s="101">
        <v>0.6784722222222216</v>
      </c>
      <c r="K69" s="101">
        <v>0.6798611111111105</v>
      </c>
      <c r="L69" s="99">
        <v>0.0</v>
      </c>
      <c r="M69" s="101">
        <v>0.6798611111111105</v>
      </c>
      <c r="N69" s="101">
        <v>0.685416666666666</v>
      </c>
      <c r="O69" s="99">
        <v>0.0</v>
      </c>
      <c r="P69" s="101">
        <v>0.685416666666666</v>
      </c>
      <c r="Q69" s="101">
        <v>0.691666666666666</v>
      </c>
      <c r="R69" s="99">
        <v>7.0</v>
      </c>
      <c r="S69" s="101">
        <v>0.6965277777777771</v>
      </c>
      <c r="T69" s="103">
        <v>42.999999999999815</v>
      </c>
      <c r="U69" s="103">
        <v>50.999999999999815</v>
      </c>
      <c r="V69" s="103">
        <v>7.9999999999999964</v>
      </c>
      <c r="W69" s="104">
        <v>0.1860465116279077</v>
      </c>
      <c r="X69" s="142">
        <v>25.999999999999908</v>
      </c>
    </row>
    <row r="70" ht="13.5" customHeight="1">
      <c r="A70" s="127"/>
      <c r="B70" s="141" t="s">
        <v>78</v>
      </c>
      <c r="C70" s="101">
        <v>0.6784722222222216</v>
      </c>
      <c r="D70" s="101">
        <v>0.6826388888888882</v>
      </c>
      <c r="E70" s="101">
        <v>0.6868055555555549</v>
      </c>
      <c r="F70" s="99">
        <v>0.9999999999999964</v>
      </c>
      <c r="G70" s="101">
        <v>0.6874999999999993</v>
      </c>
      <c r="H70" s="101">
        <v>0.6958333333333326</v>
      </c>
      <c r="I70" s="99">
        <v>0.0</v>
      </c>
      <c r="J70" s="101">
        <v>0.6958333333333326</v>
      </c>
      <c r="K70" s="101">
        <v>0.6972222222222215</v>
      </c>
      <c r="L70" s="99">
        <v>0.0</v>
      </c>
      <c r="M70" s="101">
        <v>0.6972222222222215</v>
      </c>
      <c r="N70" s="101">
        <v>0.7027777777777771</v>
      </c>
      <c r="O70" s="99">
        <v>0.0</v>
      </c>
      <c r="P70" s="101">
        <v>0.7027777777777771</v>
      </c>
      <c r="Q70" s="101">
        <v>0.709027777777777</v>
      </c>
      <c r="R70" s="99">
        <v>7.0</v>
      </c>
      <c r="S70" s="101">
        <v>0.7138888888888881</v>
      </c>
      <c r="T70" s="103">
        <v>42.999999999999815</v>
      </c>
      <c r="U70" s="103">
        <v>50.999999999999815</v>
      </c>
      <c r="V70" s="103">
        <v>7.9999999999999964</v>
      </c>
      <c r="W70" s="104">
        <v>0.1860465116279077</v>
      </c>
      <c r="X70" s="142">
        <v>24.99999999999991</v>
      </c>
    </row>
    <row r="71" ht="13.5" customHeight="1">
      <c r="A71" s="127"/>
      <c r="B71" s="141" t="s">
        <v>78</v>
      </c>
      <c r="C71" s="101">
        <v>0.6965277777777771</v>
      </c>
      <c r="D71" s="101">
        <v>0.7006944444444437</v>
      </c>
      <c r="E71" s="101">
        <v>0.7048611111111104</v>
      </c>
      <c r="F71" s="99">
        <v>0.9999999999999964</v>
      </c>
      <c r="G71" s="101">
        <v>0.7055555555555548</v>
      </c>
      <c r="H71" s="101">
        <v>0.7138888888888881</v>
      </c>
      <c r="I71" s="99">
        <v>0.0</v>
      </c>
      <c r="J71" s="101">
        <v>0.7138888888888881</v>
      </c>
      <c r="K71" s="101">
        <v>0.715277777777777</v>
      </c>
      <c r="L71" s="99">
        <v>0.0</v>
      </c>
      <c r="M71" s="101">
        <v>0.715277777777777</v>
      </c>
      <c r="N71" s="101">
        <v>0.7208333333333325</v>
      </c>
      <c r="O71" s="99">
        <v>0.0</v>
      </c>
      <c r="P71" s="101">
        <v>0.7208333333333325</v>
      </c>
      <c r="Q71" s="101">
        <v>0.7270833333333325</v>
      </c>
      <c r="R71" s="99">
        <v>7.0</v>
      </c>
      <c r="S71" s="101">
        <v>0.7319444444444436</v>
      </c>
      <c r="T71" s="103">
        <v>42.999999999999815</v>
      </c>
      <c r="U71" s="103">
        <v>50.999999999999815</v>
      </c>
      <c r="V71" s="103">
        <v>7.9999999999999964</v>
      </c>
      <c r="W71" s="104">
        <v>0.1860465116279077</v>
      </c>
      <c r="X71" s="142">
        <v>25.999999999999908</v>
      </c>
    </row>
    <row r="72" ht="13.5" customHeight="1">
      <c r="A72" s="127"/>
      <c r="B72" s="141" t="s">
        <v>78</v>
      </c>
      <c r="C72" s="101">
        <v>0.7138888888888881</v>
      </c>
      <c r="D72" s="101">
        <v>0.7180555555555548</v>
      </c>
      <c r="E72" s="101">
        <v>0.7222222222222214</v>
      </c>
      <c r="F72" s="99">
        <v>0.9999999999999964</v>
      </c>
      <c r="G72" s="101">
        <v>0.7229166666666659</v>
      </c>
      <c r="H72" s="101">
        <v>0.7312499999999992</v>
      </c>
      <c r="I72" s="99">
        <v>0.0</v>
      </c>
      <c r="J72" s="101">
        <v>0.7312499999999992</v>
      </c>
      <c r="K72" s="101">
        <v>0.7326388888888881</v>
      </c>
      <c r="L72" s="99">
        <v>0.0</v>
      </c>
      <c r="M72" s="101">
        <v>0.7326388888888881</v>
      </c>
      <c r="N72" s="101">
        <v>0.7381944444444436</v>
      </c>
      <c r="O72" s="99">
        <v>0.0</v>
      </c>
      <c r="P72" s="101">
        <v>0.7381944444444436</v>
      </c>
      <c r="Q72" s="101">
        <v>0.7444444444444436</v>
      </c>
      <c r="R72" s="99">
        <v>7.0</v>
      </c>
      <c r="S72" s="101">
        <v>0.7493055555555547</v>
      </c>
      <c r="T72" s="103">
        <v>42.999999999999815</v>
      </c>
      <c r="U72" s="103">
        <v>50.999999999999815</v>
      </c>
      <c r="V72" s="103">
        <v>7.9999999999999964</v>
      </c>
      <c r="W72" s="104">
        <v>0.1860465116279077</v>
      </c>
      <c r="X72" s="142">
        <v>24.99999999999991</v>
      </c>
    </row>
    <row r="73" ht="13.5" customHeight="1">
      <c r="A73" s="127"/>
      <c r="B73" s="141" t="s">
        <v>79</v>
      </c>
      <c r="C73" s="101">
        <v>0.7319444444444436</v>
      </c>
      <c r="D73" s="101">
        <v>0.7361111111111103</v>
      </c>
      <c r="E73" s="101">
        <v>0.7395833333333325</v>
      </c>
      <c r="F73" s="99">
        <v>0.9999999999999964</v>
      </c>
      <c r="G73" s="101">
        <v>0.7402777777777769</v>
      </c>
      <c r="H73" s="101">
        <v>0.7486111111111102</v>
      </c>
      <c r="I73" s="99">
        <v>0.0</v>
      </c>
      <c r="J73" s="101">
        <v>0.7486111111111102</v>
      </c>
      <c r="K73" s="101">
        <v>0.7499999999999991</v>
      </c>
      <c r="L73" s="99">
        <v>0.0</v>
      </c>
      <c r="M73" s="101">
        <v>0.7499999999999991</v>
      </c>
      <c r="N73" s="101">
        <v>0.7555555555555546</v>
      </c>
      <c r="O73" s="99">
        <v>0.0</v>
      </c>
      <c r="P73" s="101">
        <v>0.7555555555555546</v>
      </c>
      <c r="Q73" s="101">
        <v>0.7611111111111102</v>
      </c>
      <c r="R73" s="99">
        <v>5.0</v>
      </c>
      <c r="S73" s="101">
        <v>0.7645833333333324</v>
      </c>
      <c r="T73" s="103">
        <v>40.99999999999983</v>
      </c>
      <c r="U73" s="103">
        <v>46.99999999999983</v>
      </c>
      <c r="V73" s="103">
        <v>5.9999999999999964</v>
      </c>
      <c r="W73" s="104">
        <v>0.14634146341463466</v>
      </c>
      <c r="X73" s="142">
        <v>21.999999999999922</v>
      </c>
    </row>
    <row r="74" ht="13.5" customHeight="1">
      <c r="A74" s="127"/>
      <c r="B74" s="141" t="s">
        <v>79</v>
      </c>
      <c r="C74" s="161">
        <v>0.7493055555555547</v>
      </c>
      <c r="D74" s="101">
        <v>0.7534722222222213</v>
      </c>
      <c r="E74" s="101">
        <v>0.7569444444444435</v>
      </c>
      <c r="F74" s="99">
        <v>0.9999999999999964</v>
      </c>
      <c r="G74" s="101">
        <v>0.757638888888888</v>
      </c>
      <c r="H74" s="101">
        <v>0.7659722222222213</v>
      </c>
      <c r="I74" s="99">
        <v>0.0</v>
      </c>
      <c r="J74" s="101">
        <v>0.7659722222222213</v>
      </c>
      <c r="K74" s="101">
        <v>0.7673611111111102</v>
      </c>
      <c r="L74" s="99">
        <v>0.0</v>
      </c>
      <c r="M74" s="101">
        <v>0.7673611111111102</v>
      </c>
      <c r="N74" s="101">
        <v>0.7729166666666657</v>
      </c>
      <c r="O74" s="99">
        <v>0.0</v>
      </c>
      <c r="P74" s="101">
        <v>0.7729166666666657</v>
      </c>
      <c r="Q74" s="101">
        <v>0.7784722222222212</v>
      </c>
      <c r="R74" s="99">
        <v>5.0</v>
      </c>
      <c r="S74" s="101">
        <v>0.7819444444444434</v>
      </c>
      <c r="T74" s="103">
        <v>40.99999999999983</v>
      </c>
      <c r="U74" s="103">
        <v>46.99999999999983</v>
      </c>
      <c r="V74" s="103">
        <v>5.9999999999999964</v>
      </c>
      <c r="W74" s="104">
        <v>0.14634146341463466</v>
      </c>
      <c r="X74" s="142">
        <v>24.99999999999991</v>
      </c>
    </row>
    <row r="75" ht="13.5" customHeight="1">
      <c r="A75" s="127"/>
      <c r="B75" s="141" t="s">
        <v>79</v>
      </c>
      <c r="C75" s="161">
        <v>0.7645833333333324</v>
      </c>
      <c r="D75" s="101">
        <v>0.768749999999999</v>
      </c>
      <c r="E75" s="101">
        <v>0.7722222222222213</v>
      </c>
      <c r="F75" s="99">
        <v>0.9999999999999964</v>
      </c>
      <c r="G75" s="101">
        <v>0.7729166666666657</v>
      </c>
      <c r="H75" s="101">
        <v>0.781249999999999</v>
      </c>
      <c r="I75" s="99">
        <v>0.0</v>
      </c>
      <c r="J75" s="101">
        <v>0.781249999999999</v>
      </c>
      <c r="K75" s="101">
        <v>0.7826388888888879</v>
      </c>
      <c r="L75" s="99">
        <v>0.0</v>
      </c>
      <c r="M75" s="101">
        <v>0.7826388888888879</v>
      </c>
      <c r="N75" s="101">
        <v>0.7881944444444434</v>
      </c>
      <c r="O75" s="99">
        <v>0.0</v>
      </c>
      <c r="P75" s="101">
        <v>0.7881944444444434</v>
      </c>
      <c r="Q75" s="101">
        <v>0.793749999999999</v>
      </c>
      <c r="R75" s="99">
        <v>5.0</v>
      </c>
      <c r="S75" s="101">
        <v>0.7972222222222212</v>
      </c>
      <c r="T75" s="103">
        <v>40.99999999999983</v>
      </c>
      <c r="U75" s="103">
        <v>46.99999999999983</v>
      </c>
      <c r="V75" s="103">
        <v>5.9999999999999964</v>
      </c>
      <c r="W75" s="104">
        <v>0.14634146341463466</v>
      </c>
      <c r="X75" s="142">
        <v>21.999999999999922</v>
      </c>
    </row>
    <row r="76" ht="13.5" customHeight="1">
      <c r="A76" s="127"/>
      <c r="B76" s="141" t="s">
        <v>79</v>
      </c>
      <c r="C76" s="161">
        <v>0.7819444444444434</v>
      </c>
      <c r="D76" s="101">
        <v>0.7861111111111101</v>
      </c>
      <c r="E76" s="101">
        <v>0.7895833333333323</v>
      </c>
      <c r="F76" s="99">
        <v>0.9999999999999964</v>
      </c>
      <c r="G76" s="101">
        <v>0.7902777777777767</v>
      </c>
      <c r="H76" s="101">
        <v>0.79861111111111</v>
      </c>
      <c r="I76" s="99">
        <v>0.0</v>
      </c>
      <c r="J76" s="101">
        <v>0.79861111111111</v>
      </c>
      <c r="K76" s="101">
        <v>0.7999999999999989</v>
      </c>
      <c r="L76" s="99">
        <v>0.0</v>
      </c>
      <c r="M76" s="101">
        <v>0.7999999999999989</v>
      </c>
      <c r="N76" s="101">
        <v>0.8055555555555545</v>
      </c>
      <c r="O76" s="99">
        <v>0.0</v>
      </c>
      <c r="P76" s="101">
        <v>0.8055555555555545</v>
      </c>
      <c r="Q76" s="101">
        <v>0.81111111111111</v>
      </c>
      <c r="R76" s="99">
        <v>5.0</v>
      </c>
      <c r="S76" s="101">
        <v>0.8145833333333322</v>
      </c>
      <c r="T76" s="103">
        <v>40.99999999999983</v>
      </c>
      <c r="U76" s="103">
        <v>46.99999999999983</v>
      </c>
      <c r="V76" s="103">
        <v>5.9999999999999964</v>
      </c>
      <c r="W76" s="104">
        <v>0.14634146341463466</v>
      </c>
      <c r="X76" s="142">
        <v>24.99999999999991</v>
      </c>
    </row>
    <row r="77" ht="13.5" customHeight="1">
      <c r="A77" s="127"/>
      <c r="B77" s="141" t="s">
        <v>79</v>
      </c>
      <c r="C77" s="101">
        <v>0.7972222222222212</v>
      </c>
      <c r="D77" s="101">
        <v>0.8013888888888878</v>
      </c>
      <c r="E77" s="101">
        <v>0.80486111111111</v>
      </c>
      <c r="F77" s="99">
        <v>0.9999999999999964</v>
      </c>
      <c r="G77" s="101">
        <v>0.8055555555555545</v>
      </c>
      <c r="H77" s="101">
        <v>0.8138888888888878</v>
      </c>
      <c r="I77" s="99">
        <v>0.0</v>
      </c>
      <c r="J77" s="101">
        <v>0.8138888888888878</v>
      </c>
      <c r="K77" s="101">
        <v>0.8152777777777767</v>
      </c>
      <c r="L77" s="99">
        <v>0.0</v>
      </c>
      <c r="M77" s="101">
        <v>0.8152777777777767</v>
      </c>
      <c r="N77" s="101">
        <v>0.8208333333333322</v>
      </c>
      <c r="O77" s="99">
        <v>0.0</v>
      </c>
      <c r="P77" s="101">
        <v>0.8208333333333322</v>
      </c>
      <c r="Q77" s="101">
        <v>0.8263888888888877</v>
      </c>
      <c r="R77" s="99">
        <v>5.0</v>
      </c>
      <c r="S77" s="101">
        <v>0.8298611111111099</v>
      </c>
      <c r="T77" s="103">
        <v>40.99999999999983</v>
      </c>
      <c r="U77" s="103">
        <v>46.99999999999983</v>
      </c>
      <c r="V77" s="103">
        <v>5.9999999999999964</v>
      </c>
      <c r="W77" s="104">
        <v>0.14634146341463466</v>
      </c>
      <c r="X77" s="142">
        <v>21.999999999999922</v>
      </c>
    </row>
    <row r="78" ht="13.5" customHeight="1">
      <c r="A78" s="127"/>
      <c r="B78" s="141" t="s">
        <v>79</v>
      </c>
      <c r="C78" s="101">
        <v>0.8145833333333322</v>
      </c>
      <c r="D78" s="101">
        <v>0.8187499999999989</v>
      </c>
      <c r="E78" s="101">
        <v>0.8222222222222211</v>
      </c>
      <c r="F78" s="99">
        <v>0.9999999999999964</v>
      </c>
      <c r="G78" s="101">
        <v>0.8229166666666655</v>
      </c>
      <c r="H78" s="101">
        <v>0.8312499999999988</v>
      </c>
      <c r="I78" s="99">
        <v>0.0</v>
      </c>
      <c r="J78" s="101">
        <v>0.8312499999999988</v>
      </c>
      <c r="K78" s="101">
        <v>0.8326388888888877</v>
      </c>
      <c r="L78" s="99">
        <v>0.0</v>
      </c>
      <c r="M78" s="101">
        <v>0.8326388888888877</v>
      </c>
      <c r="N78" s="101">
        <v>0.8381944444444432</v>
      </c>
      <c r="O78" s="99">
        <v>0.0</v>
      </c>
      <c r="P78" s="101">
        <v>0.8381944444444432</v>
      </c>
      <c r="Q78" s="101">
        <v>0.8437499999999988</v>
      </c>
      <c r="R78" s="99">
        <v>5.0</v>
      </c>
      <c r="S78" s="101">
        <v>0.847222222222221</v>
      </c>
      <c r="T78" s="103">
        <v>40.99999999999983</v>
      </c>
      <c r="U78" s="103">
        <v>46.99999999999983</v>
      </c>
      <c r="V78" s="103">
        <v>5.9999999999999964</v>
      </c>
      <c r="W78" s="104">
        <v>0.14634146341463466</v>
      </c>
      <c r="X78" s="142">
        <v>24.99999999999991</v>
      </c>
    </row>
    <row r="79" ht="13.5" customHeight="1">
      <c r="A79" s="127"/>
      <c r="B79" s="141" t="s">
        <v>98</v>
      </c>
      <c r="C79" s="101">
        <v>0.8298611111111099</v>
      </c>
      <c r="D79" s="101">
        <v>0.8340277777777766</v>
      </c>
      <c r="E79" s="101">
        <v>0.8374999999999988</v>
      </c>
      <c r="F79" s="99">
        <v>0.9999999999999964</v>
      </c>
      <c r="G79" s="101">
        <v>0.8381944444444432</v>
      </c>
      <c r="H79" s="101">
        <v>0.8458333333333321</v>
      </c>
      <c r="I79" s="99">
        <v>0.0</v>
      </c>
      <c r="J79" s="101">
        <v>0.8458333333333321</v>
      </c>
      <c r="K79" s="101">
        <v>0.847222222222221</v>
      </c>
      <c r="L79" s="99">
        <v>0.0</v>
      </c>
      <c r="M79" s="101">
        <v>0.847222222222221</v>
      </c>
      <c r="N79" s="101">
        <v>0.8527777777777765</v>
      </c>
      <c r="O79" s="99">
        <v>0.0</v>
      </c>
      <c r="P79" s="101">
        <v>0.8527777777777765</v>
      </c>
      <c r="Q79" s="101">
        <v>0.8583333333333321</v>
      </c>
      <c r="R79" s="99">
        <v>5.0</v>
      </c>
      <c r="S79" s="101">
        <v>0.8618055555555543</v>
      </c>
      <c r="T79" s="103">
        <v>39.999999999999844</v>
      </c>
      <c r="U79" s="103">
        <v>45.99999999999984</v>
      </c>
      <c r="V79" s="103">
        <v>5.9999999999999964</v>
      </c>
      <c r="W79" s="104">
        <v>0.1500000000000005</v>
      </c>
      <c r="X79" s="142">
        <v>20.999999999999925</v>
      </c>
    </row>
    <row r="80" ht="13.5" customHeight="1">
      <c r="A80" s="127"/>
      <c r="B80" s="141" t="s">
        <v>98</v>
      </c>
      <c r="C80" s="101">
        <v>0.847222222222221</v>
      </c>
      <c r="D80" s="101">
        <v>0.8513888888888876</v>
      </c>
      <c r="E80" s="101">
        <v>0.8548611111111099</v>
      </c>
      <c r="F80" s="99">
        <v>0.9999999999999964</v>
      </c>
      <c r="G80" s="101">
        <v>0.8555555555555543</v>
      </c>
      <c r="H80" s="101">
        <v>0.8631944444444432</v>
      </c>
      <c r="I80" s="99">
        <v>0.0</v>
      </c>
      <c r="J80" s="101">
        <v>0.8631944444444432</v>
      </c>
      <c r="K80" s="101">
        <v>0.864583333333332</v>
      </c>
      <c r="L80" s="99">
        <v>0.0</v>
      </c>
      <c r="M80" s="101">
        <v>0.864583333333332</v>
      </c>
      <c r="N80" s="101">
        <v>0.8701388888888876</v>
      </c>
      <c r="O80" s="99">
        <v>0.0</v>
      </c>
      <c r="P80" s="101">
        <v>0.8701388888888876</v>
      </c>
      <c r="Q80" s="101">
        <v>0.8756944444444431</v>
      </c>
      <c r="R80" s="99">
        <v>5.0</v>
      </c>
      <c r="S80" s="101">
        <v>0.8791666666666653</v>
      </c>
      <c r="T80" s="103">
        <v>39.999999999999844</v>
      </c>
      <c r="U80" s="103">
        <v>45.99999999999984</v>
      </c>
      <c r="V80" s="103">
        <v>5.9999999999999964</v>
      </c>
      <c r="W80" s="104">
        <v>0.1500000000000005</v>
      </c>
      <c r="X80" s="142">
        <v>24.99999999999991</v>
      </c>
    </row>
    <row r="81" ht="13.5" customHeight="1">
      <c r="A81" s="127"/>
      <c r="B81" s="141" t="s">
        <v>98</v>
      </c>
      <c r="C81" s="101">
        <v>0.8618055555555543</v>
      </c>
      <c r="D81" s="101">
        <v>0.8659722222222209</v>
      </c>
      <c r="E81" s="101">
        <v>0.8694444444444431</v>
      </c>
      <c r="F81" s="99">
        <v>0.9999999999999964</v>
      </c>
      <c r="G81" s="101">
        <v>0.8701388888888876</v>
      </c>
      <c r="H81" s="101">
        <v>0.8777777777777764</v>
      </c>
      <c r="I81" s="99">
        <v>0.0</v>
      </c>
      <c r="J81" s="101">
        <v>0.8777777777777764</v>
      </c>
      <c r="K81" s="101">
        <v>0.8791666666666653</v>
      </c>
      <c r="L81" s="99">
        <v>0.0</v>
      </c>
      <c r="M81" s="101">
        <v>0.8791666666666653</v>
      </c>
      <c r="N81" s="101">
        <v>0.8847222222222209</v>
      </c>
      <c r="O81" s="99">
        <v>0.0</v>
      </c>
      <c r="P81" s="101">
        <v>0.8847222222222209</v>
      </c>
      <c r="Q81" s="101">
        <v>0.8902777777777764</v>
      </c>
      <c r="R81" s="99">
        <v>6.0</v>
      </c>
      <c r="S81" s="101">
        <v>0.894444444444443</v>
      </c>
      <c r="T81" s="103">
        <v>39.99999999999983</v>
      </c>
      <c r="U81" s="103">
        <v>46.99999999999983</v>
      </c>
      <c r="V81" s="103">
        <v>6.9999999999999964</v>
      </c>
      <c r="W81" s="104">
        <v>0.17500000000000066</v>
      </c>
      <c r="X81" s="142">
        <v>21.999999999999922</v>
      </c>
    </row>
    <row r="82" ht="13.5" customHeight="1">
      <c r="A82" s="127"/>
      <c r="B82" s="141" t="s">
        <v>98</v>
      </c>
      <c r="C82" s="101">
        <v>0.8791666666666653</v>
      </c>
      <c r="D82" s="101">
        <v>0.883333333333332</v>
      </c>
      <c r="E82" s="101">
        <v>0.8868055555555542</v>
      </c>
      <c r="F82" s="99">
        <v>0.9999999999999964</v>
      </c>
      <c r="G82" s="101">
        <v>0.8874999999999986</v>
      </c>
      <c r="H82" s="101">
        <v>0.8951388888888875</v>
      </c>
      <c r="I82" s="99">
        <v>0.0</v>
      </c>
      <c r="J82" s="101">
        <v>0.8951388888888875</v>
      </c>
      <c r="K82" s="101">
        <v>0.8965277777777764</v>
      </c>
      <c r="L82" s="99">
        <v>0.0</v>
      </c>
      <c r="M82" s="101">
        <v>0.8965277777777764</v>
      </c>
      <c r="N82" s="101">
        <v>0.9020833333333319</v>
      </c>
      <c r="O82" s="99">
        <v>0.0</v>
      </c>
      <c r="P82" s="101">
        <v>0.9020833333333319</v>
      </c>
      <c r="Q82" s="101">
        <v>0.9076388888888874</v>
      </c>
      <c r="R82" s="99"/>
      <c r="S82" s="155"/>
      <c r="T82" s="103">
        <v>39.99999999999986</v>
      </c>
      <c r="U82" s="103">
        <v>40.99999999999986</v>
      </c>
      <c r="V82" s="103">
        <v>0.9999999999999964</v>
      </c>
      <c r="W82" s="104">
        <v>0.025</v>
      </c>
      <c r="X82" s="142">
        <v>24.99999999999991</v>
      </c>
    </row>
    <row r="83" ht="13.5" customHeight="1">
      <c r="A83" s="127"/>
      <c r="B83" s="141" t="s">
        <v>98</v>
      </c>
      <c r="C83" s="101">
        <v>0.894444444444443</v>
      </c>
      <c r="D83" s="101">
        <v>0.8986111111111097</v>
      </c>
      <c r="E83" s="101">
        <v>0.9020833333333319</v>
      </c>
      <c r="F83" s="99">
        <v>0.9999999999999964</v>
      </c>
      <c r="G83" s="101">
        <v>0.9027777777777763</v>
      </c>
      <c r="H83" s="101">
        <v>0.9104166666666652</v>
      </c>
      <c r="I83" s="99">
        <v>0.0</v>
      </c>
      <c r="J83" s="101">
        <v>0.9104166666666652</v>
      </c>
      <c r="K83" s="101">
        <v>0.9118055555555541</v>
      </c>
      <c r="L83" s="99">
        <v>0.0</v>
      </c>
      <c r="M83" s="101">
        <v>0.9118055555555541</v>
      </c>
      <c r="N83" s="101">
        <v>0.9173611111111096</v>
      </c>
      <c r="O83" s="99">
        <v>0.0</v>
      </c>
      <c r="P83" s="101">
        <v>0.9173611111111096</v>
      </c>
      <c r="Q83" s="101">
        <v>0.9229166666666652</v>
      </c>
      <c r="R83" s="99">
        <v>5.0</v>
      </c>
      <c r="S83" s="101">
        <v>0.9263888888888874</v>
      </c>
      <c r="T83" s="103">
        <v>39.999999999999844</v>
      </c>
      <c r="U83" s="103">
        <v>45.99999999999984</v>
      </c>
      <c r="V83" s="103">
        <v>5.9999999999999964</v>
      </c>
      <c r="W83" s="104">
        <v>0.1500000000000005</v>
      </c>
      <c r="X83" s="142">
        <v>21.999999999999922</v>
      </c>
    </row>
    <row r="84" ht="13.5" customHeight="1">
      <c r="A84" s="127"/>
      <c r="B84" s="141" t="s">
        <v>98</v>
      </c>
      <c r="C84" s="101">
        <v>0.9263888888888874</v>
      </c>
      <c r="D84" s="101">
        <v>0.930555555555554</v>
      </c>
      <c r="E84" s="101">
        <v>0.9340277777777762</v>
      </c>
      <c r="F84" s="99">
        <v>0.9999999999999964</v>
      </c>
      <c r="G84" s="101">
        <v>0.9347222222222207</v>
      </c>
      <c r="H84" s="101">
        <v>0.9423611111111095</v>
      </c>
      <c r="I84" s="99">
        <v>0.0</v>
      </c>
      <c r="J84" s="101">
        <v>0.9423611111111095</v>
      </c>
      <c r="K84" s="101">
        <v>0.9437499999999984</v>
      </c>
      <c r="L84" s="99">
        <v>0.0</v>
      </c>
      <c r="M84" s="101">
        <v>0.9437499999999984</v>
      </c>
      <c r="N84" s="101">
        <v>0.949305555555554</v>
      </c>
      <c r="O84" s="99">
        <v>0.0</v>
      </c>
      <c r="P84" s="101">
        <v>0.949305555555554</v>
      </c>
      <c r="Q84" s="101">
        <v>0.9548611111111095</v>
      </c>
      <c r="R84" s="99"/>
      <c r="S84" s="155"/>
      <c r="T84" s="103">
        <v>39.99999999999986</v>
      </c>
      <c r="U84" s="103">
        <v>40.99999999999986</v>
      </c>
      <c r="V84" s="103">
        <v>0.9999999999999964</v>
      </c>
      <c r="W84" s="104">
        <v>0.025</v>
      </c>
      <c r="X84" s="142">
        <v>45.99999999999984</v>
      </c>
    </row>
    <row r="85" ht="13.5" customHeight="1">
      <c r="A85" s="156"/>
      <c r="Q85" s="110" t="s">
        <v>81</v>
      </c>
      <c r="T85" s="157">
        <v>24.583333333333243</v>
      </c>
      <c r="U85" s="112">
        <v>28.966666666666573</v>
      </c>
      <c r="V85" s="159">
        <v>3.566666666666666</v>
      </c>
      <c r="W85" s="104">
        <v>0.14508474576271238</v>
      </c>
    </row>
    <row r="86" ht="13.5" customHeight="1">
      <c r="A86" s="123" t="s">
        <v>99</v>
      </c>
      <c r="B86" s="118"/>
      <c r="C86" s="160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</row>
    <row r="87" ht="13.5" customHeight="1">
      <c r="A87" s="127"/>
      <c r="B87" s="73"/>
      <c r="C87" s="124" t="s">
        <v>83</v>
      </c>
      <c r="D87" s="125" t="s">
        <v>84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"/>
    </row>
    <row r="88" ht="13.5" customHeight="1">
      <c r="A88" s="127"/>
      <c r="B88" s="73"/>
      <c r="C88" s="128" t="s">
        <v>62</v>
      </c>
      <c r="D88" s="128" t="s">
        <v>85</v>
      </c>
      <c r="E88" s="128" t="s">
        <v>85</v>
      </c>
      <c r="F88" s="85"/>
      <c r="G88" s="128" t="s">
        <v>62</v>
      </c>
      <c r="H88" s="128" t="s">
        <v>85</v>
      </c>
      <c r="I88" s="85"/>
      <c r="J88" s="128" t="s">
        <v>62</v>
      </c>
      <c r="K88" s="128" t="s">
        <v>85</v>
      </c>
      <c r="L88" s="85"/>
      <c r="M88" s="128" t="s">
        <v>62</v>
      </c>
      <c r="N88" s="128" t="s">
        <v>85</v>
      </c>
      <c r="O88" s="85"/>
      <c r="P88" s="128" t="s">
        <v>62</v>
      </c>
      <c r="Q88" s="128" t="s">
        <v>85</v>
      </c>
      <c r="R88" s="85"/>
      <c r="S88" s="128" t="s">
        <v>62</v>
      </c>
      <c r="T88" s="129"/>
      <c r="U88" s="129"/>
      <c r="V88" s="129"/>
    </row>
    <row r="89" ht="13.5" customHeight="1">
      <c r="A89" s="127"/>
      <c r="B89" s="89" t="s">
        <v>63</v>
      </c>
      <c r="C89" s="130" t="s">
        <v>86</v>
      </c>
      <c r="D89" s="130" t="s">
        <v>71</v>
      </c>
      <c r="E89" s="131" t="s">
        <v>87</v>
      </c>
      <c r="F89" s="132"/>
      <c r="G89" s="131" t="s">
        <v>87</v>
      </c>
      <c r="H89" s="130" t="s">
        <v>70</v>
      </c>
      <c r="I89" s="132"/>
      <c r="J89" s="130" t="s">
        <v>70</v>
      </c>
      <c r="K89" s="131" t="s">
        <v>68</v>
      </c>
      <c r="L89" s="132"/>
      <c r="M89" s="131" t="s">
        <v>68</v>
      </c>
      <c r="N89" s="131" t="s">
        <v>88</v>
      </c>
      <c r="O89" s="132"/>
      <c r="P89" s="131" t="s">
        <v>88</v>
      </c>
      <c r="Q89" s="131" t="s">
        <v>86</v>
      </c>
      <c r="R89" s="132"/>
      <c r="S89" s="133" t="s">
        <v>86</v>
      </c>
      <c r="T89" s="134"/>
      <c r="U89" s="134"/>
      <c r="V89" s="134"/>
    </row>
    <row r="90" ht="13.5" customHeight="1">
      <c r="A90" s="127"/>
      <c r="B90" s="93" t="s">
        <v>72</v>
      </c>
      <c r="C90" s="135">
        <v>1.0</v>
      </c>
      <c r="D90" s="128">
        <v>57.0</v>
      </c>
      <c r="E90" s="128">
        <v>441.0</v>
      </c>
      <c r="F90" s="136" t="s">
        <v>69</v>
      </c>
      <c r="G90" s="128">
        <v>441.0</v>
      </c>
      <c r="H90" s="128">
        <v>330.0</v>
      </c>
      <c r="I90" s="137" t="s">
        <v>69</v>
      </c>
      <c r="J90" s="128">
        <v>330.0</v>
      </c>
      <c r="K90" s="128">
        <v>559.0</v>
      </c>
      <c r="L90" s="136" t="s">
        <v>69</v>
      </c>
      <c r="M90" s="128">
        <v>559.0</v>
      </c>
      <c r="N90" s="128">
        <v>399.0</v>
      </c>
      <c r="O90" s="136" t="s">
        <v>69</v>
      </c>
      <c r="P90" s="128">
        <v>399.0</v>
      </c>
      <c r="Q90" s="128">
        <v>1.0</v>
      </c>
      <c r="R90" s="136" t="s">
        <v>69</v>
      </c>
      <c r="S90" s="138">
        <v>1.0</v>
      </c>
      <c r="T90" s="139" t="s">
        <v>73</v>
      </c>
      <c r="U90" s="139" t="s">
        <v>74</v>
      </c>
      <c r="V90" s="139" t="s">
        <v>69</v>
      </c>
      <c r="W90" s="104" t="s">
        <v>75</v>
      </c>
      <c r="X90" s="140" t="s">
        <v>76</v>
      </c>
    </row>
    <row r="91" ht="13.5" customHeight="1">
      <c r="A91" s="127"/>
      <c r="B91" s="141" t="s">
        <v>77</v>
      </c>
      <c r="C91" s="100">
        <v>0.32083333333333336</v>
      </c>
      <c r="D91" s="101">
        <v>0.325</v>
      </c>
      <c r="E91" s="101">
        <v>0.3291666666666667</v>
      </c>
      <c r="F91" s="99">
        <v>1.0</v>
      </c>
      <c r="G91" s="101">
        <v>0.32986111111111116</v>
      </c>
      <c r="H91" s="101">
        <v>0.3381944444444445</v>
      </c>
      <c r="I91" s="99">
        <v>0.0</v>
      </c>
      <c r="J91" s="101">
        <v>0.3381944444444445</v>
      </c>
      <c r="K91" s="101">
        <v>0.3395833333333334</v>
      </c>
      <c r="L91" s="99">
        <v>0.0</v>
      </c>
      <c r="M91" s="101">
        <v>0.3395833333333334</v>
      </c>
      <c r="N91" s="101">
        <v>0.34513888888888894</v>
      </c>
      <c r="O91" s="99">
        <v>0.0</v>
      </c>
      <c r="P91" s="101">
        <v>0.34513888888888894</v>
      </c>
      <c r="Q91" s="101">
        <v>0.3513888888888889</v>
      </c>
      <c r="R91" s="99">
        <v>5.0</v>
      </c>
      <c r="S91" s="101">
        <v>0.3548611111111111</v>
      </c>
      <c r="T91" s="103">
        <v>42.999999999999986</v>
      </c>
      <c r="U91" s="103">
        <v>48.999999999999986</v>
      </c>
      <c r="V91" s="103">
        <v>6.0</v>
      </c>
      <c r="W91" s="104">
        <v>0.1395348837209303</v>
      </c>
      <c r="X91" s="142"/>
    </row>
    <row r="92" ht="13.5" customHeight="1">
      <c r="A92" s="127"/>
      <c r="B92" s="141" t="s">
        <v>77</v>
      </c>
      <c r="C92" s="161">
        <v>0.3548611111111111</v>
      </c>
      <c r="D92" s="101">
        <v>0.3590277777777778</v>
      </c>
      <c r="E92" s="101">
        <v>0.3631944444444445</v>
      </c>
      <c r="F92" s="99">
        <v>0.9999999999999964</v>
      </c>
      <c r="G92" s="101">
        <v>0.36388888888888893</v>
      </c>
      <c r="H92" s="101">
        <v>0.3722222222222223</v>
      </c>
      <c r="I92" s="99">
        <v>0.0</v>
      </c>
      <c r="J92" s="101">
        <v>0.3722222222222223</v>
      </c>
      <c r="K92" s="101">
        <v>0.37361111111111117</v>
      </c>
      <c r="L92" s="99">
        <v>0.0</v>
      </c>
      <c r="M92" s="101">
        <v>0.37361111111111117</v>
      </c>
      <c r="N92" s="101">
        <v>0.3791666666666667</v>
      </c>
      <c r="O92" s="99">
        <v>0.0</v>
      </c>
      <c r="P92" s="101">
        <v>0.3791666666666667</v>
      </c>
      <c r="Q92" s="101">
        <v>0.3854166666666667</v>
      </c>
      <c r="R92" s="99">
        <v>5.0</v>
      </c>
      <c r="S92" s="101">
        <v>0.3888888888888889</v>
      </c>
      <c r="T92" s="103">
        <v>42.999999999999986</v>
      </c>
      <c r="U92" s="103">
        <v>48.999999999999986</v>
      </c>
      <c r="V92" s="103">
        <v>5.9999999999999964</v>
      </c>
      <c r="W92" s="104">
        <v>0.1395348837209302</v>
      </c>
      <c r="X92" s="142">
        <v>48.999999999999986</v>
      </c>
    </row>
    <row r="93" ht="13.5" customHeight="1">
      <c r="A93" s="127"/>
      <c r="B93" s="141" t="s">
        <v>77</v>
      </c>
      <c r="C93" s="161">
        <v>0.3888888888888889</v>
      </c>
      <c r="D93" s="101">
        <v>0.39305555555555555</v>
      </c>
      <c r="E93" s="101">
        <v>0.39722222222222225</v>
      </c>
      <c r="F93" s="99">
        <v>0.9999999999999964</v>
      </c>
      <c r="G93" s="101">
        <v>0.3979166666666667</v>
      </c>
      <c r="H93" s="101">
        <v>0.40625000000000006</v>
      </c>
      <c r="I93" s="99">
        <v>0.0</v>
      </c>
      <c r="J93" s="101">
        <v>0.40625000000000006</v>
      </c>
      <c r="K93" s="101">
        <v>0.40763888888888894</v>
      </c>
      <c r="L93" s="99">
        <v>0.0</v>
      </c>
      <c r="M93" s="101">
        <v>0.40763888888888894</v>
      </c>
      <c r="N93" s="101">
        <v>0.4131944444444445</v>
      </c>
      <c r="O93" s="99">
        <v>0.0</v>
      </c>
      <c r="P93" s="101">
        <v>0.4131944444444445</v>
      </c>
      <c r="Q93" s="101">
        <v>0.41944444444444445</v>
      </c>
      <c r="R93" s="99">
        <v>5.0</v>
      </c>
      <c r="S93" s="101">
        <v>0.42291666666666666</v>
      </c>
      <c r="T93" s="103">
        <v>42.999999999999986</v>
      </c>
      <c r="U93" s="103">
        <v>48.999999999999986</v>
      </c>
      <c r="V93" s="103">
        <v>5.9999999999999964</v>
      </c>
      <c r="W93" s="104">
        <v>0.1395348837209302</v>
      </c>
      <c r="X93" s="142">
        <v>48.999999999999986</v>
      </c>
    </row>
    <row r="94" ht="13.5" customHeight="1">
      <c r="A94" s="127"/>
      <c r="B94" s="141" t="s">
        <v>77</v>
      </c>
      <c r="C94" s="101">
        <v>0.42291666666666666</v>
      </c>
      <c r="D94" s="101">
        <v>0.4270833333333333</v>
      </c>
      <c r="E94" s="101">
        <v>0.43125</v>
      </c>
      <c r="F94" s="99">
        <v>0.9999999999999964</v>
      </c>
      <c r="G94" s="101">
        <v>0.43194444444444446</v>
      </c>
      <c r="H94" s="101">
        <v>0.4402777777777778</v>
      </c>
      <c r="I94" s="99">
        <v>0.0</v>
      </c>
      <c r="J94" s="101">
        <v>0.4402777777777778</v>
      </c>
      <c r="K94" s="101">
        <v>0.4416666666666667</v>
      </c>
      <c r="L94" s="99">
        <v>0.0</v>
      </c>
      <c r="M94" s="101">
        <v>0.4416666666666667</v>
      </c>
      <c r="N94" s="101">
        <v>0.44722222222222224</v>
      </c>
      <c r="O94" s="99">
        <v>0.0</v>
      </c>
      <c r="P94" s="101">
        <v>0.44722222222222224</v>
      </c>
      <c r="Q94" s="101">
        <v>0.4534722222222222</v>
      </c>
      <c r="R94" s="99">
        <v>5.0</v>
      </c>
      <c r="S94" s="101">
        <v>0.45694444444444443</v>
      </c>
      <c r="T94" s="103">
        <v>42.999999999999986</v>
      </c>
      <c r="U94" s="103">
        <v>48.999999999999986</v>
      </c>
      <c r="V94" s="103">
        <v>5.9999999999999964</v>
      </c>
      <c r="W94" s="104">
        <v>0.1395348837209302</v>
      </c>
      <c r="X94" s="142">
        <v>48.999999999999986</v>
      </c>
    </row>
    <row r="95" ht="13.5" customHeight="1">
      <c r="A95" s="127"/>
      <c r="B95" s="141" t="s">
        <v>77</v>
      </c>
      <c r="C95" s="101">
        <v>0.45694444444444443</v>
      </c>
      <c r="D95" s="101">
        <v>0.4611111111111111</v>
      </c>
      <c r="E95" s="101">
        <v>0.4652777777777778</v>
      </c>
      <c r="F95" s="99">
        <v>0.9999999999999964</v>
      </c>
      <c r="G95" s="101">
        <v>0.46597222222222223</v>
      </c>
      <c r="H95" s="101">
        <v>0.4743055555555556</v>
      </c>
      <c r="I95" s="99">
        <v>0.0</v>
      </c>
      <c r="J95" s="101">
        <v>0.4743055555555556</v>
      </c>
      <c r="K95" s="101">
        <v>0.4756944444444445</v>
      </c>
      <c r="L95" s="99">
        <v>0.0</v>
      </c>
      <c r="M95" s="101">
        <v>0.4756944444444445</v>
      </c>
      <c r="N95" s="101">
        <v>0.48125</v>
      </c>
      <c r="O95" s="99">
        <v>0.0</v>
      </c>
      <c r="P95" s="101">
        <v>0.48125</v>
      </c>
      <c r="Q95" s="101">
        <v>0.4875</v>
      </c>
      <c r="R95" s="99">
        <v>5.0</v>
      </c>
      <c r="S95" s="101">
        <v>0.4909722222222222</v>
      </c>
      <c r="T95" s="103">
        <v>42.999999999999986</v>
      </c>
      <c r="U95" s="103">
        <v>48.999999999999986</v>
      </c>
      <c r="V95" s="103">
        <v>5.9999999999999964</v>
      </c>
      <c r="W95" s="104">
        <v>0.1395348837209302</v>
      </c>
      <c r="X95" s="142">
        <v>48.999999999999986</v>
      </c>
    </row>
    <row r="96" ht="13.5" customHeight="1">
      <c r="A96" s="127"/>
      <c r="B96" s="141" t="s">
        <v>77</v>
      </c>
      <c r="C96" s="100">
        <v>0.4736111111111111</v>
      </c>
      <c r="D96" s="101">
        <v>0.47777777777777775</v>
      </c>
      <c r="E96" s="101">
        <v>0.48194444444444445</v>
      </c>
      <c r="F96" s="99">
        <v>0.9999999999999964</v>
      </c>
      <c r="G96" s="101">
        <v>0.4826388888888889</v>
      </c>
      <c r="H96" s="101">
        <v>0.49097222222222225</v>
      </c>
      <c r="I96" s="99">
        <v>0.0</v>
      </c>
      <c r="J96" s="101">
        <v>0.49097222222222225</v>
      </c>
      <c r="K96" s="101">
        <v>0.49236111111111114</v>
      </c>
      <c r="L96" s="99">
        <v>0.0</v>
      </c>
      <c r="M96" s="101">
        <v>0.49236111111111114</v>
      </c>
      <c r="N96" s="101">
        <v>0.4979166666666667</v>
      </c>
      <c r="O96" s="99">
        <v>0.0</v>
      </c>
      <c r="P96" s="101">
        <v>0.4979166666666667</v>
      </c>
      <c r="Q96" s="101">
        <v>0.5041666666666667</v>
      </c>
      <c r="R96" s="99">
        <v>5.0</v>
      </c>
      <c r="S96" s="101">
        <v>0.5076388888888889</v>
      </c>
      <c r="T96" s="103">
        <v>42.999999999999986</v>
      </c>
      <c r="U96" s="103">
        <v>48.999999999999986</v>
      </c>
      <c r="V96" s="103">
        <v>5.9999999999999964</v>
      </c>
      <c r="W96" s="104">
        <v>0.1395348837209302</v>
      </c>
      <c r="X96" s="142">
        <v>23.999999999999993</v>
      </c>
    </row>
    <row r="97" ht="13.5" customHeight="1">
      <c r="A97" s="127"/>
      <c r="B97" s="141" t="s">
        <v>77</v>
      </c>
      <c r="C97" s="101">
        <v>0.4909722222222222</v>
      </c>
      <c r="D97" s="101">
        <v>0.49513888888888885</v>
      </c>
      <c r="E97" s="101">
        <v>0.49930555555555556</v>
      </c>
      <c r="F97" s="99">
        <v>0.9999999999999964</v>
      </c>
      <c r="G97" s="101">
        <v>0.5</v>
      </c>
      <c r="H97" s="101">
        <v>0.5083333333333333</v>
      </c>
      <c r="I97" s="99">
        <v>0.0</v>
      </c>
      <c r="J97" s="101">
        <v>0.5083333333333333</v>
      </c>
      <c r="K97" s="101">
        <v>0.5097222222222222</v>
      </c>
      <c r="L97" s="99">
        <v>0.0</v>
      </c>
      <c r="M97" s="101">
        <v>0.5097222222222222</v>
      </c>
      <c r="N97" s="101">
        <v>0.5152777777777777</v>
      </c>
      <c r="O97" s="99">
        <v>0.0</v>
      </c>
      <c r="P97" s="101">
        <v>0.5152777777777777</v>
      </c>
      <c r="Q97" s="101">
        <v>0.5215277777777777</v>
      </c>
      <c r="R97" s="99">
        <v>5.0</v>
      </c>
      <c r="S97" s="101">
        <v>0.5249999999999999</v>
      </c>
      <c r="T97" s="103">
        <v>42.999999999999915</v>
      </c>
      <c r="U97" s="103">
        <v>48.99999999999991</v>
      </c>
      <c r="V97" s="103">
        <v>5.9999999999999964</v>
      </c>
      <c r="W97" s="104">
        <v>0.13953488372093042</v>
      </c>
      <c r="X97" s="142">
        <v>24.99999999999991</v>
      </c>
    </row>
    <row r="98" ht="13.5" customHeight="1">
      <c r="A98" s="127"/>
      <c r="B98" s="141" t="s">
        <v>77</v>
      </c>
      <c r="C98" s="101">
        <v>0.5076388888888889</v>
      </c>
      <c r="D98" s="101">
        <v>0.5118055555555555</v>
      </c>
      <c r="E98" s="101">
        <v>0.5159722222222222</v>
      </c>
      <c r="F98" s="99">
        <v>0.9999999999999964</v>
      </c>
      <c r="G98" s="101">
        <v>0.5166666666666666</v>
      </c>
      <c r="H98" s="101">
        <v>0.5249999999999999</v>
      </c>
      <c r="I98" s="99">
        <v>0.0</v>
      </c>
      <c r="J98" s="101">
        <v>0.5249999999999999</v>
      </c>
      <c r="K98" s="101">
        <v>0.5263888888888888</v>
      </c>
      <c r="L98" s="99">
        <v>0.0</v>
      </c>
      <c r="M98" s="101">
        <v>0.5263888888888888</v>
      </c>
      <c r="N98" s="101">
        <v>0.5319444444444443</v>
      </c>
      <c r="O98" s="99">
        <v>0.0</v>
      </c>
      <c r="P98" s="101">
        <v>0.5319444444444443</v>
      </c>
      <c r="Q98" s="101">
        <v>0.5381944444444443</v>
      </c>
      <c r="R98" s="99">
        <v>5.0</v>
      </c>
      <c r="S98" s="101">
        <v>0.5416666666666665</v>
      </c>
      <c r="T98" s="103">
        <v>42.99999999999983</v>
      </c>
      <c r="U98" s="103">
        <v>48.99999999999983</v>
      </c>
      <c r="V98" s="103">
        <v>5.9999999999999964</v>
      </c>
      <c r="W98" s="104">
        <v>0.1395348837209307</v>
      </c>
      <c r="X98" s="142">
        <v>23.999999999999915</v>
      </c>
    </row>
    <row r="99" ht="13.5" customHeight="1">
      <c r="A99" s="127"/>
      <c r="B99" s="141" t="s">
        <v>78</v>
      </c>
      <c r="C99" s="101">
        <v>0.5249999999999999</v>
      </c>
      <c r="D99" s="101">
        <v>0.5291666666666666</v>
      </c>
      <c r="E99" s="101">
        <v>0.5333333333333332</v>
      </c>
      <c r="F99" s="99">
        <v>0.9999999999999964</v>
      </c>
      <c r="G99" s="101">
        <v>0.5340277777777777</v>
      </c>
      <c r="H99" s="101">
        <v>0.542361111111111</v>
      </c>
      <c r="I99" s="99">
        <v>0.0</v>
      </c>
      <c r="J99" s="101">
        <v>0.542361111111111</v>
      </c>
      <c r="K99" s="101">
        <v>0.5437499999999998</v>
      </c>
      <c r="L99" s="99">
        <v>0.0</v>
      </c>
      <c r="M99" s="101">
        <v>0.5437499999999998</v>
      </c>
      <c r="N99" s="101">
        <v>0.5493055555555554</v>
      </c>
      <c r="O99" s="99">
        <v>0.0</v>
      </c>
      <c r="P99" s="101">
        <v>0.5493055555555554</v>
      </c>
      <c r="Q99" s="101">
        <v>0.5555555555555554</v>
      </c>
      <c r="R99" s="99">
        <v>5.0</v>
      </c>
      <c r="S99" s="101">
        <v>0.5590277777777776</v>
      </c>
      <c r="T99" s="103">
        <v>42.99999999999983</v>
      </c>
      <c r="U99" s="103">
        <v>48.99999999999983</v>
      </c>
      <c r="V99" s="103">
        <v>5.9999999999999964</v>
      </c>
      <c r="W99" s="104">
        <v>0.1395348837209307</v>
      </c>
      <c r="X99" s="142">
        <v>24.99999999999991</v>
      </c>
    </row>
    <row r="100" ht="13.5" customHeight="1">
      <c r="A100" s="127"/>
      <c r="B100" s="141" t="s">
        <v>78</v>
      </c>
      <c r="C100" s="101">
        <v>0.5416666666666665</v>
      </c>
      <c r="D100" s="101">
        <v>0.5458333333333332</v>
      </c>
      <c r="E100" s="101">
        <v>0.5499999999999998</v>
      </c>
      <c r="F100" s="99">
        <v>0.9999999999999964</v>
      </c>
      <c r="G100" s="101">
        <v>0.5506944444444443</v>
      </c>
      <c r="H100" s="101">
        <v>0.5590277777777776</v>
      </c>
      <c r="I100" s="99">
        <v>0.0</v>
      </c>
      <c r="J100" s="101">
        <v>0.5590277777777776</v>
      </c>
      <c r="K100" s="101">
        <v>0.5604166666666665</v>
      </c>
      <c r="L100" s="99">
        <v>0.0</v>
      </c>
      <c r="M100" s="101">
        <v>0.5604166666666665</v>
      </c>
      <c r="N100" s="101">
        <v>0.565972222222222</v>
      </c>
      <c r="O100" s="99">
        <v>0.0</v>
      </c>
      <c r="P100" s="101">
        <v>0.565972222222222</v>
      </c>
      <c r="Q100" s="101">
        <v>0.572222222222222</v>
      </c>
      <c r="R100" s="99">
        <v>5.0</v>
      </c>
      <c r="S100" s="101">
        <v>0.5756944444444442</v>
      </c>
      <c r="T100" s="103">
        <v>42.99999999999983</v>
      </c>
      <c r="U100" s="103">
        <v>48.99999999999983</v>
      </c>
      <c r="V100" s="103">
        <v>5.9999999999999964</v>
      </c>
      <c r="W100" s="104">
        <v>0.1395348837209307</v>
      </c>
      <c r="X100" s="142">
        <v>23.999999999999915</v>
      </c>
    </row>
    <row r="101" ht="13.5" customHeight="1">
      <c r="A101" s="127"/>
      <c r="B101" s="141" t="s">
        <v>78</v>
      </c>
      <c r="C101" s="101">
        <v>0.5590277777777776</v>
      </c>
      <c r="D101" s="101">
        <v>0.5631944444444442</v>
      </c>
      <c r="E101" s="101">
        <v>0.5673611111111109</v>
      </c>
      <c r="F101" s="99">
        <v>0.9999999999999964</v>
      </c>
      <c r="G101" s="101">
        <v>0.5680555555555553</v>
      </c>
      <c r="H101" s="101">
        <v>0.5763888888888886</v>
      </c>
      <c r="I101" s="99">
        <v>0.0</v>
      </c>
      <c r="J101" s="101">
        <v>0.5763888888888886</v>
      </c>
      <c r="K101" s="101">
        <v>0.5777777777777775</v>
      </c>
      <c r="L101" s="99">
        <v>0.0</v>
      </c>
      <c r="M101" s="101">
        <v>0.5777777777777775</v>
      </c>
      <c r="N101" s="101">
        <v>0.583333333333333</v>
      </c>
      <c r="O101" s="99">
        <v>0.0</v>
      </c>
      <c r="P101" s="101">
        <v>0.583333333333333</v>
      </c>
      <c r="Q101" s="101">
        <v>0.589583333333333</v>
      </c>
      <c r="R101" s="99">
        <v>5.0</v>
      </c>
      <c r="S101" s="101">
        <v>0.5930555555555552</v>
      </c>
      <c r="T101" s="103">
        <v>42.99999999999983</v>
      </c>
      <c r="U101" s="103">
        <v>48.99999999999983</v>
      </c>
      <c r="V101" s="103">
        <v>5.9999999999999964</v>
      </c>
      <c r="W101" s="104">
        <v>0.1395348837209307</v>
      </c>
      <c r="X101" s="142">
        <v>24.99999999999991</v>
      </c>
    </row>
    <row r="102" ht="13.5" customHeight="1">
      <c r="A102" s="127"/>
      <c r="B102" s="141" t="s">
        <v>78</v>
      </c>
      <c r="C102" s="101">
        <v>0.5756944444444442</v>
      </c>
      <c r="D102" s="101">
        <v>0.5798611111111108</v>
      </c>
      <c r="E102" s="101">
        <v>0.5840277777777775</v>
      </c>
      <c r="F102" s="99">
        <v>0.9999999999999964</v>
      </c>
      <c r="G102" s="101">
        <v>0.5847222222222219</v>
      </c>
      <c r="H102" s="101">
        <v>0.5930555555555552</v>
      </c>
      <c r="I102" s="99">
        <v>0.0</v>
      </c>
      <c r="J102" s="101">
        <v>0.5930555555555552</v>
      </c>
      <c r="K102" s="101">
        <v>0.5944444444444441</v>
      </c>
      <c r="L102" s="99">
        <v>0.0</v>
      </c>
      <c r="M102" s="101">
        <v>0.5944444444444441</v>
      </c>
      <c r="N102" s="101">
        <v>0.5999999999999996</v>
      </c>
      <c r="O102" s="99">
        <v>0.0</v>
      </c>
      <c r="P102" s="101">
        <v>0.5999999999999996</v>
      </c>
      <c r="Q102" s="101">
        <v>0.6062499999999996</v>
      </c>
      <c r="R102" s="99">
        <v>5.0</v>
      </c>
      <c r="S102" s="101">
        <v>0.6097222222222218</v>
      </c>
      <c r="T102" s="103">
        <v>42.99999999999983</v>
      </c>
      <c r="U102" s="103">
        <v>48.99999999999983</v>
      </c>
      <c r="V102" s="103">
        <v>5.9999999999999964</v>
      </c>
      <c r="W102" s="104">
        <v>0.1395348837209307</v>
      </c>
      <c r="X102" s="142">
        <v>23.999999999999915</v>
      </c>
    </row>
    <row r="103" ht="13.5" customHeight="1">
      <c r="A103" s="127"/>
      <c r="B103" s="141" t="s">
        <v>78</v>
      </c>
      <c r="C103" s="101">
        <v>0.5930555555555552</v>
      </c>
      <c r="D103" s="101">
        <v>0.5972222222222219</v>
      </c>
      <c r="E103" s="101">
        <v>0.6013888888888885</v>
      </c>
      <c r="F103" s="99">
        <v>0.9999999999999964</v>
      </c>
      <c r="G103" s="101">
        <v>0.602083333333333</v>
      </c>
      <c r="H103" s="101">
        <v>0.6104166666666663</v>
      </c>
      <c r="I103" s="99">
        <v>0.0</v>
      </c>
      <c r="J103" s="101">
        <v>0.6104166666666663</v>
      </c>
      <c r="K103" s="101">
        <v>0.6118055555555552</v>
      </c>
      <c r="L103" s="99">
        <v>0.0</v>
      </c>
      <c r="M103" s="101">
        <v>0.6118055555555552</v>
      </c>
      <c r="N103" s="101">
        <v>0.6173611111111107</v>
      </c>
      <c r="O103" s="99">
        <v>0.0</v>
      </c>
      <c r="P103" s="101">
        <v>0.6173611111111107</v>
      </c>
      <c r="Q103" s="101">
        <v>0.6236111111111107</v>
      </c>
      <c r="R103" s="99">
        <v>5.0</v>
      </c>
      <c r="S103" s="101">
        <v>0.6270833333333329</v>
      </c>
      <c r="T103" s="103">
        <v>42.99999999999983</v>
      </c>
      <c r="U103" s="103">
        <v>48.99999999999983</v>
      </c>
      <c r="V103" s="103">
        <v>5.9999999999999964</v>
      </c>
      <c r="W103" s="104">
        <v>0.1395348837209307</v>
      </c>
      <c r="X103" s="142">
        <v>24.99999999999991</v>
      </c>
    </row>
    <row r="104" ht="13.5" customHeight="1">
      <c r="A104" s="127"/>
      <c r="B104" s="141" t="s">
        <v>78</v>
      </c>
      <c r="C104" s="101">
        <v>0.6097222222222218</v>
      </c>
      <c r="D104" s="101">
        <v>0.6138888888888885</v>
      </c>
      <c r="E104" s="101">
        <v>0.6180555555555551</v>
      </c>
      <c r="F104" s="99">
        <v>0.9999999999999964</v>
      </c>
      <c r="G104" s="101">
        <v>0.6187499999999996</v>
      </c>
      <c r="H104" s="101">
        <v>0.6270833333333329</v>
      </c>
      <c r="I104" s="99">
        <v>0.0</v>
      </c>
      <c r="J104" s="101">
        <v>0.6270833333333329</v>
      </c>
      <c r="K104" s="101">
        <v>0.6284722222222218</v>
      </c>
      <c r="L104" s="99">
        <v>0.0</v>
      </c>
      <c r="M104" s="101">
        <v>0.6284722222222218</v>
      </c>
      <c r="N104" s="101">
        <v>0.6340277777777773</v>
      </c>
      <c r="O104" s="99">
        <v>0.0</v>
      </c>
      <c r="P104" s="101">
        <v>0.6340277777777773</v>
      </c>
      <c r="Q104" s="101">
        <v>0.6402777777777773</v>
      </c>
      <c r="R104" s="99">
        <v>5.0</v>
      </c>
      <c r="S104" s="101">
        <v>0.6437499999999995</v>
      </c>
      <c r="T104" s="103">
        <v>42.99999999999983</v>
      </c>
      <c r="U104" s="103">
        <v>48.99999999999983</v>
      </c>
      <c r="V104" s="103">
        <v>5.9999999999999964</v>
      </c>
      <c r="W104" s="104">
        <v>0.1395348837209307</v>
      </c>
      <c r="X104" s="142">
        <v>23.999999999999915</v>
      </c>
    </row>
    <row r="105" ht="13.5" customHeight="1">
      <c r="A105" s="127"/>
      <c r="B105" s="141" t="s">
        <v>78</v>
      </c>
      <c r="C105" s="161">
        <v>0.6270833333333329</v>
      </c>
      <c r="D105" s="101">
        <v>0.6312499999999995</v>
      </c>
      <c r="E105" s="101">
        <v>0.6354166666666662</v>
      </c>
      <c r="F105" s="99">
        <v>0.9999999999999964</v>
      </c>
      <c r="G105" s="101">
        <v>0.6361111111111106</v>
      </c>
      <c r="H105" s="101">
        <v>0.6444444444444439</v>
      </c>
      <c r="I105" s="99">
        <v>0.0</v>
      </c>
      <c r="J105" s="101">
        <v>0.6444444444444439</v>
      </c>
      <c r="K105" s="101">
        <v>0.6458333333333328</v>
      </c>
      <c r="L105" s="99">
        <v>0.0</v>
      </c>
      <c r="M105" s="101">
        <v>0.6458333333333328</v>
      </c>
      <c r="N105" s="101">
        <v>0.6513888888888884</v>
      </c>
      <c r="O105" s="99">
        <v>0.0</v>
      </c>
      <c r="P105" s="101">
        <v>0.6513888888888884</v>
      </c>
      <c r="Q105" s="101">
        <v>0.6576388888888883</v>
      </c>
      <c r="R105" s="99">
        <v>5.0</v>
      </c>
      <c r="S105" s="101">
        <v>0.6611111111111105</v>
      </c>
      <c r="T105" s="103">
        <v>42.99999999999983</v>
      </c>
      <c r="U105" s="103">
        <v>48.99999999999983</v>
      </c>
      <c r="V105" s="103">
        <v>5.9999999999999964</v>
      </c>
      <c r="W105" s="104">
        <v>0.1395348837209307</v>
      </c>
      <c r="X105" s="142">
        <v>24.99999999999991</v>
      </c>
    </row>
    <row r="106" ht="13.5" customHeight="1">
      <c r="A106" s="127"/>
      <c r="B106" s="141" t="s">
        <v>78</v>
      </c>
      <c r="C106" s="161">
        <v>0.6437499999999995</v>
      </c>
      <c r="D106" s="101">
        <v>0.6479166666666661</v>
      </c>
      <c r="E106" s="101">
        <v>0.6520833333333328</v>
      </c>
      <c r="F106" s="99">
        <v>0.9999999999999964</v>
      </c>
      <c r="G106" s="101">
        <v>0.6527777777777772</v>
      </c>
      <c r="H106" s="101">
        <v>0.6611111111111105</v>
      </c>
      <c r="I106" s="99">
        <v>0.0</v>
      </c>
      <c r="J106" s="101">
        <v>0.6611111111111105</v>
      </c>
      <c r="K106" s="101">
        <v>0.6624999999999994</v>
      </c>
      <c r="L106" s="99">
        <v>0.0</v>
      </c>
      <c r="M106" s="101">
        <v>0.6624999999999994</v>
      </c>
      <c r="N106" s="101">
        <v>0.668055555555555</v>
      </c>
      <c r="O106" s="99">
        <v>0.0</v>
      </c>
      <c r="P106" s="101">
        <v>0.668055555555555</v>
      </c>
      <c r="Q106" s="101">
        <v>0.6743055555555549</v>
      </c>
      <c r="R106" s="99">
        <v>6.0</v>
      </c>
      <c r="S106" s="101">
        <v>0.6784722222222216</v>
      </c>
      <c r="T106" s="103">
        <v>42.99999999999983</v>
      </c>
      <c r="U106" s="103">
        <v>49.99999999999982</v>
      </c>
      <c r="V106" s="103">
        <v>6.9999999999999964</v>
      </c>
      <c r="W106" s="104">
        <v>0.16279069767441917</v>
      </c>
      <c r="X106" s="142">
        <v>24.99999999999991</v>
      </c>
    </row>
    <row r="107" ht="13.5" customHeight="1">
      <c r="A107" s="127"/>
      <c r="B107" s="141" t="s">
        <v>78</v>
      </c>
      <c r="C107" s="101">
        <v>0.6611111111111105</v>
      </c>
      <c r="D107" s="101">
        <v>0.6652777777777772</v>
      </c>
      <c r="E107" s="101">
        <v>0.6694444444444438</v>
      </c>
      <c r="F107" s="99">
        <v>0.9999999999999964</v>
      </c>
      <c r="G107" s="101">
        <v>0.6701388888888883</v>
      </c>
      <c r="H107" s="101">
        <v>0.6784722222222216</v>
      </c>
      <c r="I107" s="99">
        <v>0.0</v>
      </c>
      <c r="J107" s="101">
        <v>0.6784722222222216</v>
      </c>
      <c r="K107" s="101">
        <v>0.6798611111111105</v>
      </c>
      <c r="L107" s="99">
        <v>0.0</v>
      </c>
      <c r="M107" s="101">
        <v>0.6798611111111105</v>
      </c>
      <c r="N107" s="101">
        <v>0.685416666666666</v>
      </c>
      <c r="O107" s="99">
        <v>0.0</v>
      </c>
      <c r="P107" s="101">
        <v>0.685416666666666</v>
      </c>
      <c r="Q107" s="101">
        <v>0.691666666666666</v>
      </c>
      <c r="R107" s="99">
        <v>7.0</v>
      </c>
      <c r="S107" s="101">
        <v>0.6965277777777771</v>
      </c>
      <c r="T107" s="103">
        <v>42.999999999999815</v>
      </c>
      <c r="U107" s="103">
        <v>50.999999999999815</v>
      </c>
      <c r="V107" s="103">
        <v>7.9999999999999964</v>
      </c>
      <c r="W107" s="104">
        <v>0.1860465116279077</v>
      </c>
      <c r="X107" s="142">
        <v>25.999999999999908</v>
      </c>
    </row>
    <row r="108" ht="13.5" customHeight="1">
      <c r="A108" s="127"/>
      <c r="B108" s="141" t="s">
        <v>78</v>
      </c>
      <c r="C108" s="161">
        <v>0.6784722222222216</v>
      </c>
      <c r="D108" s="101">
        <v>0.6826388888888882</v>
      </c>
      <c r="E108" s="101">
        <v>0.6868055555555549</v>
      </c>
      <c r="F108" s="99">
        <v>0.9999999999999964</v>
      </c>
      <c r="G108" s="101">
        <v>0.6874999999999993</v>
      </c>
      <c r="H108" s="101">
        <v>0.6958333333333326</v>
      </c>
      <c r="I108" s="99">
        <v>0.0</v>
      </c>
      <c r="J108" s="101">
        <v>0.6958333333333326</v>
      </c>
      <c r="K108" s="101">
        <v>0.6972222222222215</v>
      </c>
      <c r="L108" s="99">
        <v>0.0</v>
      </c>
      <c r="M108" s="101">
        <v>0.6972222222222215</v>
      </c>
      <c r="N108" s="101">
        <v>0.7027777777777771</v>
      </c>
      <c r="O108" s="99">
        <v>0.0</v>
      </c>
      <c r="P108" s="101">
        <v>0.7027777777777771</v>
      </c>
      <c r="Q108" s="101">
        <v>0.709027777777777</v>
      </c>
      <c r="R108" s="99">
        <v>7.0</v>
      </c>
      <c r="S108" s="101">
        <v>0.7138888888888881</v>
      </c>
      <c r="T108" s="103">
        <v>42.999999999999815</v>
      </c>
      <c r="U108" s="103">
        <v>50.999999999999815</v>
      </c>
      <c r="V108" s="103">
        <v>7.9999999999999964</v>
      </c>
      <c r="W108" s="104">
        <v>0.1860465116279077</v>
      </c>
      <c r="X108" s="142">
        <v>24.99999999999991</v>
      </c>
    </row>
    <row r="109" ht="13.5" customHeight="1">
      <c r="A109" s="127"/>
      <c r="B109" s="141" t="s">
        <v>78</v>
      </c>
      <c r="C109" s="101">
        <v>0.6965277777777771</v>
      </c>
      <c r="D109" s="101">
        <v>0.7006944444444437</v>
      </c>
      <c r="E109" s="101">
        <v>0.7048611111111104</v>
      </c>
      <c r="F109" s="99">
        <v>0.9999999999999964</v>
      </c>
      <c r="G109" s="101">
        <v>0.7055555555555548</v>
      </c>
      <c r="H109" s="101">
        <v>0.7138888888888881</v>
      </c>
      <c r="I109" s="99">
        <v>0.0</v>
      </c>
      <c r="J109" s="101">
        <v>0.7138888888888881</v>
      </c>
      <c r="K109" s="101">
        <v>0.715277777777777</v>
      </c>
      <c r="L109" s="99">
        <v>0.0</v>
      </c>
      <c r="M109" s="101">
        <v>0.715277777777777</v>
      </c>
      <c r="N109" s="101">
        <v>0.7208333333333325</v>
      </c>
      <c r="O109" s="99">
        <v>0.0</v>
      </c>
      <c r="P109" s="101">
        <v>0.7208333333333325</v>
      </c>
      <c r="Q109" s="101">
        <v>0.7270833333333325</v>
      </c>
      <c r="R109" s="99">
        <v>7.0</v>
      </c>
      <c r="S109" s="101">
        <v>0.7319444444444436</v>
      </c>
      <c r="T109" s="103">
        <v>42.999999999999815</v>
      </c>
      <c r="U109" s="103">
        <v>50.999999999999815</v>
      </c>
      <c r="V109" s="103">
        <v>7.9999999999999964</v>
      </c>
      <c r="W109" s="104">
        <v>0.1860465116279077</v>
      </c>
      <c r="X109" s="142">
        <v>25.999999999999908</v>
      </c>
    </row>
    <row r="110" ht="13.5" customHeight="1">
      <c r="A110" s="127"/>
      <c r="B110" s="141" t="s">
        <v>78</v>
      </c>
      <c r="C110" s="101">
        <v>0.7138888888888881</v>
      </c>
      <c r="D110" s="101">
        <v>0.7180555555555548</v>
      </c>
      <c r="E110" s="101">
        <v>0.7222222222222214</v>
      </c>
      <c r="F110" s="99">
        <v>0.9999999999999964</v>
      </c>
      <c r="G110" s="101">
        <v>0.7229166666666659</v>
      </c>
      <c r="H110" s="101">
        <v>0.7312499999999992</v>
      </c>
      <c r="I110" s="99">
        <v>0.0</v>
      </c>
      <c r="J110" s="101">
        <v>0.7312499999999992</v>
      </c>
      <c r="K110" s="101">
        <v>0.7326388888888881</v>
      </c>
      <c r="L110" s="99">
        <v>0.0</v>
      </c>
      <c r="M110" s="101">
        <v>0.7326388888888881</v>
      </c>
      <c r="N110" s="101">
        <v>0.7381944444444436</v>
      </c>
      <c r="O110" s="99">
        <v>0.0</v>
      </c>
      <c r="P110" s="101">
        <v>0.7381944444444436</v>
      </c>
      <c r="Q110" s="101">
        <v>0.7444444444444436</v>
      </c>
      <c r="R110" s="99">
        <v>7.0</v>
      </c>
      <c r="S110" s="101">
        <v>0.7493055555555547</v>
      </c>
      <c r="T110" s="103">
        <v>42.999999999999815</v>
      </c>
      <c r="U110" s="103">
        <v>50.999999999999815</v>
      </c>
      <c r="V110" s="103">
        <v>7.9999999999999964</v>
      </c>
      <c r="W110" s="104">
        <v>0.1860465116279077</v>
      </c>
      <c r="X110" s="142">
        <v>24.99999999999991</v>
      </c>
    </row>
    <row r="111" ht="13.5" customHeight="1">
      <c r="A111" s="127"/>
      <c r="B111" s="141" t="s">
        <v>79</v>
      </c>
      <c r="C111" s="101">
        <v>0.7319444444444436</v>
      </c>
      <c r="D111" s="101">
        <v>0.7361111111111103</v>
      </c>
      <c r="E111" s="101">
        <v>0.7395833333333325</v>
      </c>
      <c r="F111" s="99">
        <v>0.9999999999999964</v>
      </c>
      <c r="G111" s="101">
        <v>0.7402777777777769</v>
      </c>
      <c r="H111" s="101">
        <v>0.7486111111111102</v>
      </c>
      <c r="I111" s="99">
        <v>0.0</v>
      </c>
      <c r="J111" s="101">
        <v>0.7486111111111102</v>
      </c>
      <c r="K111" s="101">
        <v>0.7499999999999991</v>
      </c>
      <c r="L111" s="99">
        <v>0.0</v>
      </c>
      <c r="M111" s="101">
        <v>0.7499999999999991</v>
      </c>
      <c r="N111" s="101">
        <v>0.7555555555555546</v>
      </c>
      <c r="O111" s="99">
        <v>0.0</v>
      </c>
      <c r="P111" s="101">
        <v>0.7555555555555546</v>
      </c>
      <c r="Q111" s="101">
        <v>0.7611111111111102</v>
      </c>
      <c r="R111" s="99"/>
      <c r="S111" s="155"/>
      <c r="T111" s="103">
        <v>40.99999999999986</v>
      </c>
      <c r="U111" s="103">
        <v>41.99999999999985</v>
      </c>
      <c r="V111" s="103">
        <v>0.9999999999999964</v>
      </c>
      <c r="W111" s="104">
        <v>0.024390243902439022</v>
      </c>
      <c r="X111" s="142">
        <v>23.999999999999915</v>
      </c>
    </row>
    <row r="112" ht="13.5" customHeight="1">
      <c r="A112" s="127"/>
      <c r="B112" s="141" t="s">
        <v>79</v>
      </c>
      <c r="C112" s="101">
        <v>0.7493055555555547</v>
      </c>
      <c r="D112" s="101">
        <v>0.7534722222222213</v>
      </c>
      <c r="E112" s="101">
        <v>0.7569444444444435</v>
      </c>
      <c r="F112" s="99">
        <v>0.9999999999999964</v>
      </c>
      <c r="G112" s="101">
        <v>0.757638888888888</v>
      </c>
      <c r="H112" s="101">
        <v>0.7659722222222213</v>
      </c>
      <c r="I112" s="99">
        <v>0.0</v>
      </c>
      <c r="J112" s="101">
        <v>0.7659722222222213</v>
      </c>
      <c r="K112" s="101">
        <v>0.7673611111111102</v>
      </c>
      <c r="L112" s="99">
        <v>0.0</v>
      </c>
      <c r="M112" s="101">
        <v>0.7673611111111102</v>
      </c>
      <c r="N112" s="101">
        <v>0.7729166666666657</v>
      </c>
      <c r="O112" s="99">
        <v>0.0</v>
      </c>
      <c r="P112" s="101">
        <v>0.7729166666666657</v>
      </c>
      <c r="Q112" s="101">
        <v>0.7784722222222212</v>
      </c>
      <c r="R112" s="99">
        <v>5.0</v>
      </c>
      <c r="S112" s="101">
        <v>0.7819444444444434</v>
      </c>
      <c r="T112" s="103">
        <v>40.99999999999983</v>
      </c>
      <c r="U112" s="103">
        <v>46.99999999999983</v>
      </c>
      <c r="V112" s="103">
        <v>5.9999999999999964</v>
      </c>
      <c r="W112" s="104">
        <v>0.14634146341463466</v>
      </c>
      <c r="X112" s="142">
        <v>24.99999999999991</v>
      </c>
    </row>
    <row r="113" ht="13.5" customHeight="1">
      <c r="A113" s="127"/>
      <c r="B113" s="141" t="s">
        <v>79</v>
      </c>
      <c r="C113" s="101">
        <v>0.7819444444444434</v>
      </c>
      <c r="D113" s="101">
        <v>0.7861111111111101</v>
      </c>
      <c r="E113" s="101">
        <v>0.7895833333333323</v>
      </c>
      <c r="F113" s="99">
        <v>0.9999999999999964</v>
      </c>
      <c r="G113" s="101">
        <v>0.7902777777777767</v>
      </c>
      <c r="H113" s="101">
        <v>0.79861111111111</v>
      </c>
      <c r="I113" s="99">
        <v>0.0</v>
      </c>
      <c r="J113" s="101">
        <v>0.79861111111111</v>
      </c>
      <c r="K113" s="101">
        <v>0.7999999999999989</v>
      </c>
      <c r="L113" s="99">
        <v>0.0</v>
      </c>
      <c r="M113" s="101">
        <v>0.7999999999999989</v>
      </c>
      <c r="N113" s="101">
        <v>0.8055555555555545</v>
      </c>
      <c r="O113" s="99">
        <v>0.0</v>
      </c>
      <c r="P113" s="101">
        <v>0.8055555555555545</v>
      </c>
      <c r="Q113" s="101">
        <v>0.81111111111111</v>
      </c>
      <c r="R113" s="99">
        <v>5.0</v>
      </c>
      <c r="S113" s="101">
        <v>0.8145833333333322</v>
      </c>
      <c r="T113" s="103">
        <v>40.99999999999983</v>
      </c>
      <c r="U113" s="103">
        <v>46.99999999999983</v>
      </c>
      <c r="V113" s="103">
        <v>5.9999999999999964</v>
      </c>
      <c r="W113" s="104">
        <v>0.14634146341463466</v>
      </c>
      <c r="X113" s="142">
        <v>46.99999999999983</v>
      </c>
    </row>
    <row r="114" ht="13.5" customHeight="1">
      <c r="A114" s="127"/>
      <c r="B114" s="141" t="s">
        <v>79</v>
      </c>
      <c r="C114" s="101">
        <v>0.8145833333333322</v>
      </c>
      <c r="D114" s="101">
        <v>0.8187499999999989</v>
      </c>
      <c r="E114" s="101">
        <v>0.8222222222222211</v>
      </c>
      <c r="F114" s="99">
        <v>0.9999999999999964</v>
      </c>
      <c r="G114" s="101">
        <v>0.8229166666666655</v>
      </c>
      <c r="H114" s="101">
        <v>0.8312499999999988</v>
      </c>
      <c r="I114" s="99">
        <v>0.0</v>
      </c>
      <c r="J114" s="101">
        <v>0.8312499999999988</v>
      </c>
      <c r="K114" s="101">
        <v>0.8326388888888877</v>
      </c>
      <c r="L114" s="99">
        <v>0.0</v>
      </c>
      <c r="M114" s="101">
        <v>0.8326388888888877</v>
      </c>
      <c r="N114" s="101">
        <v>0.8381944444444432</v>
      </c>
      <c r="O114" s="99">
        <v>0.0</v>
      </c>
      <c r="P114" s="101">
        <v>0.8381944444444432</v>
      </c>
      <c r="Q114" s="101">
        <v>0.8437499999999988</v>
      </c>
      <c r="R114" s="99">
        <v>5.0</v>
      </c>
      <c r="S114" s="101">
        <v>0.847222222222221</v>
      </c>
      <c r="T114" s="103">
        <v>40.99999999999983</v>
      </c>
      <c r="U114" s="103">
        <v>46.99999999999983</v>
      </c>
      <c r="V114" s="103">
        <v>5.9999999999999964</v>
      </c>
      <c r="W114" s="104">
        <v>0.14634146341463466</v>
      </c>
      <c r="X114" s="142">
        <v>46.99999999999983</v>
      </c>
    </row>
    <row r="115" ht="13.5" customHeight="1">
      <c r="A115" s="127"/>
      <c r="B115" s="141" t="s">
        <v>79</v>
      </c>
      <c r="C115" s="101">
        <v>0.847222222222221</v>
      </c>
      <c r="D115" s="101">
        <v>0.8513888888888876</v>
      </c>
      <c r="E115" s="101">
        <v>0.8548611111111099</v>
      </c>
      <c r="F115" s="99">
        <v>0.9999999999999964</v>
      </c>
      <c r="G115" s="101">
        <v>0.8555555555555543</v>
      </c>
      <c r="H115" s="101">
        <v>0.8638888888888876</v>
      </c>
      <c r="I115" s="99">
        <v>0.0</v>
      </c>
      <c r="J115" s="101">
        <v>0.8638888888888876</v>
      </c>
      <c r="K115" s="101">
        <v>0.8652777777777765</v>
      </c>
      <c r="L115" s="99">
        <v>0.0</v>
      </c>
      <c r="M115" s="101">
        <v>0.8652777777777765</v>
      </c>
      <c r="N115" s="101">
        <v>0.870833333333332</v>
      </c>
      <c r="O115" s="99">
        <v>0.0</v>
      </c>
      <c r="P115" s="101">
        <v>0.870833333333332</v>
      </c>
      <c r="Q115" s="101">
        <v>0.8763888888888876</v>
      </c>
      <c r="R115" s="99">
        <v>5.0</v>
      </c>
      <c r="S115" s="101">
        <v>0.8798611111111098</v>
      </c>
      <c r="T115" s="103">
        <v>40.99999999999983</v>
      </c>
      <c r="U115" s="103">
        <v>46.99999999999983</v>
      </c>
      <c r="V115" s="103">
        <v>5.9999999999999964</v>
      </c>
      <c r="W115" s="104">
        <v>0.14634146341463466</v>
      </c>
      <c r="X115" s="142">
        <v>46.99999999999983</v>
      </c>
    </row>
    <row r="116" ht="13.5" customHeight="1">
      <c r="A116" s="127"/>
      <c r="B116" s="141" t="s">
        <v>98</v>
      </c>
      <c r="C116" s="101">
        <v>0.8798611111111098</v>
      </c>
      <c r="D116" s="101">
        <v>0.8840277777777764</v>
      </c>
      <c r="E116" s="101">
        <v>0.8874999999999986</v>
      </c>
      <c r="F116" s="99">
        <v>0.9999999999999964</v>
      </c>
      <c r="G116" s="101">
        <v>0.8881944444444431</v>
      </c>
      <c r="H116" s="101">
        <v>0.8958333333333319</v>
      </c>
      <c r="I116" s="99">
        <v>0.0</v>
      </c>
      <c r="J116" s="101">
        <v>0.8958333333333319</v>
      </c>
      <c r="K116" s="101">
        <v>0.8972222222222208</v>
      </c>
      <c r="L116" s="99">
        <v>0.0</v>
      </c>
      <c r="M116" s="101">
        <v>0.8972222222222208</v>
      </c>
      <c r="N116" s="101">
        <v>0.9027777777777763</v>
      </c>
      <c r="O116" s="99">
        <v>0.0</v>
      </c>
      <c r="P116" s="101">
        <v>0.9027777777777763</v>
      </c>
      <c r="Q116" s="101">
        <v>0.9083333333333319</v>
      </c>
      <c r="R116" s="99">
        <v>5.0</v>
      </c>
      <c r="S116" s="101">
        <v>0.9118055555555541</v>
      </c>
      <c r="T116" s="103">
        <v>39.999999999999844</v>
      </c>
      <c r="U116" s="103">
        <v>45.99999999999984</v>
      </c>
      <c r="V116" s="103">
        <v>5.9999999999999964</v>
      </c>
      <c r="W116" s="104">
        <v>0.1500000000000005</v>
      </c>
      <c r="X116" s="142">
        <v>45.99999999999984</v>
      </c>
    </row>
    <row r="117" ht="13.5" customHeight="1">
      <c r="A117" s="127"/>
      <c r="B117" s="141" t="s">
        <v>98</v>
      </c>
      <c r="C117" s="101">
        <v>0.9118055555555541</v>
      </c>
      <c r="D117" s="101">
        <v>0.9159722222222207</v>
      </c>
      <c r="E117" s="101">
        <v>0.919444444444443</v>
      </c>
      <c r="F117" s="99">
        <v>0.9999999999999964</v>
      </c>
      <c r="G117" s="101">
        <v>0.9201388888888874</v>
      </c>
      <c r="H117" s="101">
        <v>0.9277777777777763</v>
      </c>
      <c r="I117" s="99">
        <v>0.0</v>
      </c>
      <c r="J117" s="101">
        <v>0.9277777777777763</v>
      </c>
      <c r="K117" s="101">
        <v>0.9291666666666651</v>
      </c>
      <c r="L117" s="99">
        <v>0.0</v>
      </c>
      <c r="M117" s="101">
        <v>0.9291666666666651</v>
      </c>
      <c r="N117" s="101">
        <v>0.9347222222222207</v>
      </c>
      <c r="O117" s="99">
        <v>0.0</v>
      </c>
      <c r="P117" s="101">
        <v>0.9347222222222207</v>
      </c>
      <c r="Q117" s="101">
        <v>0.9402777777777762</v>
      </c>
      <c r="R117" s="99">
        <v>5.0</v>
      </c>
      <c r="S117" s="101">
        <v>0.9437499999999984</v>
      </c>
      <c r="T117" s="103">
        <v>39.999999999999844</v>
      </c>
      <c r="U117" s="103">
        <v>45.99999999999984</v>
      </c>
      <c r="V117" s="103">
        <v>5.9999999999999964</v>
      </c>
      <c r="W117" s="104">
        <v>0.1500000000000005</v>
      </c>
      <c r="X117" s="142">
        <v>45.99999999999984</v>
      </c>
    </row>
    <row r="118" ht="13.5" customHeight="1">
      <c r="A118" s="127"/>
      <c r="B118" s="141" t="s">
        <v>98</v>
      </c>
      <c r="C118" s="101">
        <v>0.9437499999999984</v>
      </c>
      <c r="D118" s="101">
        <v>0.9479166666666651</v>
      </c>
      <c r="E118" s="101">
        <v>0.9513888888888873</v>
      </c>
      <c r="F118" s="99">
        <v>0.9999999999999964</v>
      </c>
      <c r="G118" s="101">
        <v>0.9520833333333317</v>
      </c>
      <c r="H118" s="101">
        <v>0.9597222222222206</v>
      </c>
      <c r="I118" s="99">
        <v>0.0</v>
      </c>
      <c r="J118" s="101">
        <v>0.9597222222222206</v>
      </c>
      <c r="K118" s="101">
        <v>0.9611111111111095</v>
      </c>
      <c r="L118" s="99">
        <v>0.0</v>
      </c>
      <c r="M118" s="101">
        <v>0.9611111111111095</v>
      </c>
      <c r="N118" s="101">
        <v>0.966666666666665</v>
      </c>
      <c r="O118" s="99">
        <v>0.0</v>
      </c>
      <c r="P118" s="101">
        <v>0.966666666666665</v>
      </c>
      <c r="Q118" s="101">
        <v>0.9722222222222205</v>
      </c>
      <c r="R118" s="99"/>
      <c r="S118" s="155"/>
      <c r="T118" s="103">
        <v>39.99999999999986</v>
      </c>
      <c r="U118" s="103">
        <v>40.99999999999986</v>
      </c>
      <c r="V118" s="103">
        <v>0.9999999999999964</v>
      </c>
      <c r="W118" s="104">
        <v>0.025</v>
      </c>
      <c r="X118" s="142">
        <v>45.99999999999984</v>
      </c>
    </row>
    <row r="119" ht="13.5" customHeight="1">
      <c r="A119" s="156"/>
      <c r="Q119" s="110" t="s">
        <v>81</v>
      </c>
      <c r="T119" s="157">
        <v>19.03333333333326</v>
      </c>
      <c r="U119" s="158">
        <f>SUM(U91:U118)/60</f>
        <v>22.53333333</v>
      </c>
      <c r="V119" s="159">
        <v>2.6833333333333327</v>
      </c>
      <c r="W119" s="104">
        <v>0.14098073555166427</v>
      </c>
    </row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Q85:S85"/>
    <mergeCell ref="Q119:S119"/>
    <mergeCell ref="A1:A43"/>
    <mergeCell ref="D1:V1"/>
    <mergeCell ref="Q43:S43"/>
    <mergeCell ref="A44:A85"/>
    <mergeCell ref="D45:V45"/>
    <mergeCell ref="A86:A119"/>
    <mergeCell ref="D87:V87"/>
  </mergeCells>
  <conditionalFormatting sqref="A91:A118 C112:Q118 R112:S117">
    <cfRule type="containsText" dxfId="1" priority="1" operator="containsText" text="Afternoon">
      <formula>NOT(ISERROR(SEARCH(("Afternoon"),(A91))))</formula>
    </cfRule>
  </conditionalFormatting>
  <conditionalFormatting sqref="A91:A118 C112:Q118 R112:S117">
    <cfRule type="containsText" dxfId="2" priority="2" operator="containsText" text="Morning">
      <formula>NOT(ISERROR(SEARCH(("Morning"),(A91))))</formula>
    </cfRule>
  </conditionalFormatting>
  <conditionalFormatting sqref="A1:W3 A5:A42">
    <cfRule type="containsText" dxfId="3" priority="3" operator="containsText" text="Night">
      <formula>NOT(ISERROR(SEARCH(("Night"),(A1))))</formula>
    </cfRule>
  </conditionalFormatting>
  <conditionalFormatting sqref="A1:W3 A5:A42">
    <cfRule type="containsText" dxfId="4" priority="4" operator="containsText" text="Evening">
      <formula>NOT(ISERROR(SEARCH(("Evening"),(A1))))</formula>
    </cfRule>
  </conditionalFormatting>
  <conditionalFormatting sqref="A1:W3 A5:A42">
    <cfRule type="containsText" dxfId="5" priority="5" operator="containsText" text="Peak">
      <formula>NOT(ISERROR(SEARCH(("Peak"),(A1))))</formula>
    </cfRule>
  </conditionalFormatting>
  <conditionalFormatting sqref="A44:D85 E44:O84 P44:P85 Q44:S84 T44:V47">
    <cfRule type="containsText" dxfId="3" priority="6" operator="containsText" text="Night">
      <formula>NOT(ISERROR(SEARCH(("Night"),(A44))))</formula>
    </cfRule>
  </conditionalFormatting>
  <conditionalFormatting sqref="A90:S111">
    <cfRule type="containsText" dxfId="4" priority="7" operator="containsText" text="Evening">
      <formula>NOT(ISERROR(SEARCH(("Evening"),(A90))))</formula>
    </cfRule>
  </conditionalFormatting>
  <conditionalFormatting sqref="A90:S111">
    <cfRule type="containsText" dxfId="5" priority="8" operator="containsText" text="Peak">
      <formula>NOT(ISERROR(SEARCH(("Peak"),(A90))))</formula>
    </cfRule>
  </conditionalFormatting>
  <conditionalFormatting sqref="A90:S117">
    <cfRule type="containsText" dxfId="3" priority="9" operator="containsText" text="Night">
      <formula>NOT(ISERROR(SEARCH(("Night"),(A90))))</formula>
    </cfRule>
  </conditionalFormatting>
  <conditionalFormatting sqref="A112:Q118 R112:S117">
    <cfRule type="containsText" dxfId="4" priority="10" operator="containsText" text="Evening">
      <formula>NOT(ISERROR(SEARCH(("Evening"),(A112))))</formula>
    </cfRule>
  </conditionalFormatting>
  <conditionalFormatting sqref="A112:Q118 R112:S117">
    <cfRule type="containsText" dxfId="5" priority="11" operator="containsText" text="Peak">
      <formula>NOT(ISERROR(SEARCH(("Peak"),(A112))))</formula>
    </cfRule>
  </conditionalFormatting>
  <conditionalFormatting sqref="A118:S118">
    <cfRule type="containsText" dxfId="3" priority="12" operator="containsText" text="Night">
      <formula>NOT(ISERROR(SEARCH(("Night"),(A118))))</formula>
    </cfRule>
  </conditionalFormatting>
  <conditionalFormatting sqref="A44:S48 T44:V47 A85:D85 P85">
    <cfRule type="containsText" dxfId="1" priority="13" operator="containsText" text="Afternoon">
      <formula>NOT(ISERROR(SEARCH(("Afternoon"),(A44))))</formula>
    </cfRule>
  </conditionalFormatting>
  <conditionalFormatting sqref="A44:S48 T44:V47 A85:D85 P85">
    <cfRule type="containsText" dxfId="2" priority="14" operator="containsText" text="Morning">
      <formula>NOT(ISERROR(SEARCH(("Morning"),(A44))))</formula>
    </cfRule>
  </conditionalFormatting>
  <conditionalFormatting sqref="A44:D85 E44:O84 P44:P85 Q44:S84 T44:V47">
    <cfRule type="containsText" dxfId="4" priority="15" operator="containsText" text="Evening">
      <formula>NOT(ISERROR(SEARCH(("Evening"),(A44))))</formula>
    </cfRule>
  </conditionalFormatting>
  <conditionalFormatting sqref="A44:D85 E44:O84 P44:P85 Q44:S84 T44:V47">
    <cfRule type="containsText" dxfId="5" priority="16" operator="containsText" text="Peak">
      <formula>NOT(ISERROR(SEARCH(("Peak"),(A44))))</formula>
    </cfRule>
  </conditionalFormatting>
  <conditionalFormatting sqref="A1:W3 A86:S90 T86:V89 A119:D119 P119">
    <cfRule type="containsText" dxfId="1" priority="17" operator="containsText" text="Afternoon">
      <formula>NOT(ISERROR(SEARCH(("Afternoon"),(A1))))</formula>
    </cfRule>
  </conditionalFormatting>
  <conditionalFormatting sqref="A86:V89 A119:D119 P119">
    <cfRule type="containsText" dxfId="3" priority="18" operator="containsText" text="Night">
      <formula>NOT(ISERROR(SEARCH(("Night"),(A86))))</formula>
    </cfRule>
  </conditionalFormatting>
  <conditionalFormatting sqref="A86:V89 A119:D119 P119">
    <cfRule type="containsText" dxfId="4" priority="19" operator="containsText" text="Evening">
      <formula>NOT(ISERROR(SEARCH(("Evening"),(A86))))</formula>
    </cfRule>
  </conditionalFormatting>
  <conditionalFormatting sqref="A86:V89 A119:D119 P119">
    <cfRule type="containsText" dxfId="5" priority="20" operator="containsText" text="Peak">
      <formula>NOT(ISERROR(SEARCH(("Peak"),(A86))))</formula>
    </cfRule>
  </conditionalFormatting>
  <conditionalFormatting sqref="A1:W3 A86:S90 T86:V89 A119:D119 P119">
    <cfRule type="containsText" dxfId="2" priority="21" operator="containsText" text="Morning">
      <formula>NOT(ISERROR(SEARCH(("Morning"),(A1))))</formula>
    </cfRule>
  </conditionalFormatting>
  <conditionalFormatting sqref="A4:A43 B4 C4:D43 E4:O42 P4:P43 Q4:S42 B43 A49:A84 C49:S84">
    <cfRule type="containsText" dxfId="2" priority="22" operator="containsText" text="Morning">
      <formula>NOT(ISERROR(SEARCH(("Morning"),(A4))))</formula>
    </cfRule>
  </conditionalFormatting>
  <conditionalFormatting sqref="A4:A43 B4 C4:D43 E4:O42 P4:P43 Q4:S42 B43 A49:A84 C49:S84">
    <cfRule type="containsText" dxfId="1" priority="23" operator="containsText" text="Afternoon">
      <formula>NOT(ISERROR(SEARCH(("Afternoon"),(A4))))</formula>
    </cfRule>
  </conditionalFormatting>
  <conditionalFormatting sqref="A4:S4 A43:D43 P43">
    <cfRule type="containsText" dxfId="3" priority="24" operator="containsText" text="Night">
      <formula>NOT(ISERROR(SEARCH(("Night"),(A4))))</formula>
    </cfRule>
  </conditionalFormatting>
  <conditionalFormatting sqref="A4:S4 A43:D43 P43">
    <cfRule type="containsText" dxfId="4" priority="25" operator="containsText" text="Evening">
      <formula>NOT(ISERROR(SEARCH(("Evening"),(A4))))</formula>
    </cfRule>
  </conditionalFormatting>
  <conditionalFormatting sqref="A4:S4 A43:D43 P43">
    <cfRule type="containsText" dxfId="5" priority="26" operator="containsText" text="Peak">
      <formula>NOT(ISERROR(SEARCH(("Peak"),(A4))))</formula>
    </cfRule>
  </conditionalFormatting>
  <conditionalFormatting sqref="B5:B42 B49:B84">
    <cfRule type="containsText" dxfId="1" priority="27" operator="containsText" text="Midday">
      <formula>NOT(ISERROR(SEARCH(("Midday"),(B5))))</formula>
    </cfRule>
  </conditionalFormatting>
  <conditionalFormatting sqref="B5:B42 B49:B84">
    <cfRule type="containsText" dxfId="2" priority="28" operator="containsText" text="Morning">
      <formula>NOT(ISERROR(SEARCH(("Morning"),(B5))))</formula>
    </cfRule>
  </conditionalFormatting>
  <conditionalFormatting sqref="B5:B42 B49:B84">
    <cfRule type="containsText" dxfId="0" priority="29" operator="containsText" text="Early Morning">
      <formula>NOT(ISERROR(SEARCH(("Early Morning"),(B5))))</formula>
    </cfRule>
  </conditionalFormatting>
  <conditionalFormatting sqref="B91:B118">
    <cfRule type="containsText" dxfId="0" priority="30" operator="containsText" text="Early Morning">
      <formula>NOT(ISERROR(SEARCH(("Early Morning"),(B91))))</formula>
    </cfRule>
  </conditionalFormatting>
  <conditionalFormatting sqref="B91:B118">
    <cfRule type="containsText" dxfId="1" priority="31" operator="containsText" text="Midday">
      <formula>NOT(ISERROR(SEARCH(("Midday"),(B91))))</formula>
    </cfRule>
  </conditionalFormatting>
  <conditionalFormatting sqref="B91:B118">
    <cfRule type="containsText" dxfId="2" priority="32" operator="containsText" text="Morning">
      <formula>NOT(ISERROR(SEARCH(("Morning"),(B91))))</formula>
    </cfRule>
  </conditionalFormatting>
  <conditionalFormatting sqref="B117:B118">
    <cfRule type="containsText" dxfId="3" priority="33" operator="containsText" text="Night">
      <formula>NOT(ISERROR(SEARCH(("Night"),(B117))))</formula>
    </cfRule>
  </conditionalFormatting>
  <conditionalFormatting sqref="B5:S42">
    <cfRule type="containsText" dxfId="3" priority="34" operator="containsText" text="Night">
      <formula>NOT(ISERROR(SEARCH(("Night"),(B5))))</formula>
    </cfRule>
  </conditionalFormatting>
  <conditionalFormatting sqref="B5:S42">
    <cfRule type="containsText" dxfId="4" priority="35" operator="containsText" text="Evening">
      <formula>NOT(ISERROR(SEARCH(("Evening"),(B5))))</formula>
    </cfRule>
  </conditionalFormatting>
  <conditionalFormatting sqref="B5:S42">
    <cfRule type="containsText" dxfId="5" priority="36" operator="containsText" text="Peak">
      <formula>NOT(ISERROR(SEARCH(("Peak"),(B5))))</formula>
    </cfRule>
  </conditionalFormatting>
  <conditionalFormatting sqref="C91:S111">
    <cfRule type="containsText" dxfId="1" priority="37" operator="containsText" text="Afternoon">
      <formula>NOT(ISERROR(SEARCH(("Afternoon"),(C91))))</formula>
    </cfRule>
  </conditionalFormatting>
  <conditionalFormatting sqref="C91:S111">
    <cfRule type="containsText" dxfId="2" priority="38" operator="containsText" text="Morning">
      <formula>NOT(ISERROR(SEARCH(("Morning"),(C91))))</formula>
    </cfRule>
  </conditionalFormatting>
  <conditionalFormatting sqref="R82:S84">
    <cfRule type="containsText" dxfId="3" priority="39" operator="containsText" text="Night">
      <formula>NOT(ISERROR(SEARCH(("Night"),(R82))))</formula>
    </cfRule>
  </conditionalFormatting>
  <conditionalFormatting sqref="R82:S84">
    <cfRule type="containsText" dxfId="4" priority="40" operator="containsText" text="Evening">
      <formula>NOT(ISERROR(SEARCH(("Evening"),(R82))))</formula>
    </cfRule>
  </conditionalFormatting>
  <conditionalFormatting sqref="R82:S84">
    <cfRule type="containsText" dxfId="5" priority="41" operator="containsText" text="Peak">
      <formula>NOT(ISERROR(SEARCH(("Peak"),(R82))))</formula>
    </cfRule>
  </conditionalFormatting>
  <conditionalFormatting sqref="R111:S111">
    <cfRule type="containsText" dxfId="3" priority="42" operator="containsText" text="Night">
      <formula>NOT(ISERROR(SEARCH(("Night"),(R111))))</formula>
    </cfRule>
  </conditionalFormatting>
  <conditionalFormatting sqref="R111:S111">
    <cfRule type="containsText" dxfId="4" priority="43" operator="containsText" text="Evening">
      <formula>NOT(ISERROR(SEARCH(("Evening"),(R111))))</formula>
    </cfRule>
  </conditionalFormatting>
  <conditionalFormatting sqref="R111:S111">
    <cfRule type="containsText" dxfId="5" priority="44" operator="containsText" text="Peak">
      <formula>NOT(ISERROR(SEARCH(("Peak"),(R111))))</formula>
    </cfRule>
  </conditionalFormatting>
  <conditionalFormatting sqref="R118:S118">
    <cfRule type="containsText" dxfId="3" priority="45" operator="containsText" text="Night">
      <formula>NOT(ISERROR(SEARCH(("Night"),(R118))))</formula>
    </cfRule>
  </conditionalFormatting>
  <conditionalFormatting sqref="R118:S118">
    <cfRule type="containsText" dxfId="4" priority="46" operator="containsText" text="Evening">
      <formula>NOT(ISERROR(SEARCH(("Evening"),(R118))))</formula>
    </cfRule>
  </conditionalFormatting>
  <conditionalFormatting sqref="R118:S118">
    <cfRule type="containsText" dxfId="5" priority="47" operator="containsText" text="Peak">
      <formula>NOT(ISERROR(SEARCH(("Peak"),(R118))))</formula>
    </cfRule>
  </conditionalFormatting>
  <conditionalFormatting sqref="R118:S118">
    <cfRule type="containsText" dxfId="4" priority="48" operator="containsText" text="Evening">
      <formula>NOT(ISERROR(SEARCH(("Evening"),(R118))))</formula>
    </cfRule>
  </conditionalFormatting>
  <conditionalFormatting sqref="R118:S118">
    <cfRule type="containsText" dxfId="5" priority="49" operator="containsText" text="Peak">
      <formula>NOT(ISERROR(SEARCH(("Peak"),(R118))))</formula>
    </cfRule>
  </conditionalFormatting>
  <conditionalFormatting sqref="R118:S118">
    <cfRule type="containsText" dxfId="1" priority="50" operator="containsText" text="Afternoon">
      <formula>NOT(ISERROR(SEARCH(("Afternoon"),(R118))))</formula>
    </cfRule>
  </conditionalFormatting>
  <conditionalFormatting sqref="R118:S118">
    <cfRule type="containsText" dxfId="2" priority="51" operator="containsText" text="Morning">
      <formula>NOT(ISERROR(SEARCH(("Morning"),(R118))))</formula>
    </cfRule>
  </conditionalFormatting>
  <conditionalFormatting sqref="X5:X42 X49:X84">
    <cfRule type="containsText" dxfId="3" priority="52" operator="containsText" text="Night">
      <formula>NOT(ISERROR(SEARCH(("Night"),(X5))))</formula>
    </cfRule>
  </conditionalFormatting>
  <conditionalFormatting sqref="X5:X42 X49:X84">
    <cfRule type="containsText" dxfId="4" priority="53" operator="containsText" text="Evening">
      <formula>NOT(ISERROR(SEARCH(("Evening"),(X5))))</formula>
    </cfRule>
  </conditionalFormatting>
  <conditionalFormatting sqref="X5:X42 X49:X84">
    <cfRule type="containsText" dxfId="5" priority="54" operator="containsText" text="Peak">
      <formula>NOT(ISERROR(SEARCH(("Peak"),(X5))))</formula>
    </cfRule>
  </conditionalFormatting>
  <conditionalFormatting sqref="X5:X42 X49:X84">
    <cfRule type="containsText" dxfId="1" priority="55" operator="containsText" text="Afternoon">
      <formula>NOT(ISERROR(SEARCH(("Afternoon"),(X5))))</formula>
    </cfRule>
  </conditionalFormatting>
  <conditionalFormatting sqref="X5:X42 X49:X84">
    <cfRule type="containsText" dxfId="2" priority="56" operator="containsText" text="Morning">
      <formula>NOT(ISERROR(SEARCH(("Morning"),(X5))))</formula>
    </cfRule>
  </conditionalFormatting>
  <conditionalFormatting sqref="X5:X42 X49:X84">
    <cfRule type="cellIs" dxfId="6" priority="57" operator="lessThan">
      <formula>20</formula>
    </cfRule>
  </conditionalFormatting>
  <conditionalFormatting sqref="X5:X42 X49:X84">
    <cfRule type="cellIs" dxfId="7" priority="58" operator="equal">
      <formula>30</formula>
    </cfRule>
  </conditionalFormatting>
  <conditionalFormatting sqref="X5:X42 X49:X84">
    <cfRule type="cellIs" dxfId="8" priority="59" operator="greaterThan">
      <formula>31</formula>
    </cfRule>
  </conditionalFormatting>
  <conditionalFormatting sqref="X5:X42 X49:X84">
    <cfRule type="cellIs" dxfId="9" priority="60" operator="between">
      <formula>19</formula>
      <formula>29</formula>
    </cfRule>
  </conditionalFormatting>
  <conditionalFormatting sqref="X91:X118">
    <cfRule type="containsText" dxfId="3" priority="61" operator="containsText" text="Night">
      <formula>NOT(ISERROR(SEARCH(("Night"),(X91))))</formula>
    </cfRule>
  </conditionalFormatting>
  <conditionalFormatting sqref="X91:X118">
    <cfRule type="containsText" dxfId="4" priority="62" operator="containsText" text="Evening">
      <formula>NOT(ISERROR(SEARCH(("Evening"),(X91))))</formula>
    </cfRule>
  </conditionalFormatting>
  <conditionalFormatting sqref="X91:X118">
    <cfRule type="containsText" dxfId="5" priority="63" operator="containsText" text="Peak">
      <formula>NOT(ISERROR(SEARCH(("Peak"),(X91))))</formula>
    </cfRule>
  </conditionalFormatting>
  <conditionalFormatting sqref="X91:X118">
    <cfRule type="containsText" dxfId="1" priority="64" operator="containsText" text="Afternoon">
      <formula>NOT(ISERROR(SEARCH(("Afternoon"),(X91))))</formula>
    </cfRule>
  </conditionalFormatting>
  <conditionalFormatting sqref="X91:X118">
    <cfRule type="containsText" dxfId="2" priority="65" operator="containsText" text="Morning">
      <formula>NOT(ISERROR(SEARCH(("Morning"),(X91))))</formula>
    </cfRule>
  </conditionalFormatting>
  <conditionalFormatting sqref="X91:X118">
    <cfRule type="cellIs" dxfId="6" priority="66" operator="lessThan">
      <formula>20</formula>
    </cfRule>
  </conditionalFormatting>
  <conditionalFormatting sqref="X91:X118">
    <cfRule type="cellIs" dxfId="7" priority="67" operator="equal">
      <formula>30</formula>
    </cfRule>
  </conditionalFormatting>
  <conditionalFormatting sqref="X91:X118">
    <cfRule type="cellIs" dxfId="8" priority="68" operator="greaterThan">
      <formula>31</formula>
    </cfRule>
  </conditionalFormatting>
  <conditionalFormatting sqref="X91:X118">
    <cfRule type="cellIs" dxfId="9" priority="69" operator="between">
      <formula>19</formula>
      <formula>29</formula>
    </cfRule>
  </conditionalFormatting>
  <conditionalFormatting sqref="Z6 Z8:Z10">
    <cfRule type="containsText" dxfId="10" priority="70" operator="containsText" text="Early Morning">
      <formula>NOT(ISERROR(SEARCH(("Early Morning"),(Z6))))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75"/>
    <col customWidth="1" min="4" max="4" width="11.0"/>
    <col customWidth="1" min="5" max="5" width="9.25"/>
    <col customWidth="1" min="6" max="6" width="11.0"/>
    <col customWidth="1" min="7" max="7" width="11.63"/>
    <col customWidth="1" min="8" max="8" width="9.25"/>
    <col customWidth="1" min="9" max="9" width="12.63"/>
    <col customWidth="1" min="10" max="10" width="9.63"/>
    <col customWidth="1" min="11" max="11" width="12.63"/>
    <col customWidth="1" min="12" max="12" width="12.25"/>
    <col customWidth="1" min="13" max="13" width="10.75"/>
    <col customWidth="1" min="14" max="14" width="3.25"/>
    <col customWidth="1" min="15" max="15" width="10.75"/>
    <col customWidth="1" min="16" max="16" width="7.75"/>
    <col customWidth="1" min="17" max="17" width="4.75"/>
    <col customWidth="1" min="18" max="18" width="11.63"/>
    <col customWidth="1" min="19" max="19" width="10.0"/>
    <col customWidth="1" min="20" max="25" width="8.63"/>
  </cols>
  <sheetData>
    <row r="1" ht="13.5" customHeight="1">
      <c r="A1" s="123" t="s">
        <v>58</v>
      </c>
      <c r="B1" s="73"/>
      <c r="C1" s="124" t="s">
        <v>83</v>
      </c>
      <c r="D1" s="162" t="s">
        <v>100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26"/>
    </row>
    <row r="2" ht="13.5" customHeight="1">
      <c r="A2" s="127"/>
      <c r="B2" s="73"/>
      <c r="C2" s="128" t="s">
        <v>62</v>
      </c>
      <c r="D2" s="128" t="s">
        <v>85</v>
      </c>
      <c r="E2" s="85"/>
      <c r="F2" s="128" t="s">
        <v>62</v>
      </c>
      <c r="G2" s="128" t="s">
        <v>85</v>
      </c>
      <c r="H2" s="85"/>
      <c r="I2" s="128" t="s">
        <v>62</v>
      </c>
      <c r="J2" s="128" t="s">
        <v>62</v>
      </c>
      <c r="K2" s="128" t="s">
        <v>62</v>
      </c>
      <c r="L2" s="128" t="s">
        <v>62</v>
      </c>
      <c r="M2" s="128" t="s">
        <v>85</v>
      </c>
      <c r="N2" s="85"/>
      <c r="O2" s="128" t="s">
        <v>62</v>
      </c>
      <c r="P2" s="129"/>
      <c r="Q2" s="129"/>
      <c r="R2" s="129"/>
      <c r="S2" s="129"/>
    </row>
    <row r="3" ht="13.5" customHeight="1">
      <c r="A3" s="127"/>
      <c r="B3" s="89" t="s">
        <v>63</v>
      </c>
      <c r="C3" s="130" t="s">
        <v>86</v>
      </c>
      <c r="D3" s="131" t="s">
        <v>101</v>
      </c>
      <c r="E3" s="132"/>
      <c r="F3" s="131" t="s">
        <v>101</v>
      </c>
      <c r="G3" s="131" t="s">
        <v>68</v>
      </c>
      <c r="H3" s="132"/>
      <c r="I3" s="131" t="s">
        <v>68</v>
      </c>
      <c r="J3" s="130" t="s">
        <v>70</v>
      </c>
      <c r="K3" s="131" t="s">
        <v>87</v>
      </c>
      <c r="L3" s="130" t="s">
        <v>71</v>
      </c>
      <c r="M3" s="131" t="s">
        <v>86</v>
      </c>
      <c r="N3" s="132"/>
      <c r="O3" s="133" t="s">
        <v>86</v>
      </c>
      <c r="P3" s="134"/>
      <c r="Q3" s="134"/>
      <c r="R3" s="134"/>
      <c r="S3" s="134"/>
    </row>
    <row r="4" ht="13.5" customHeight="1">
      <c r="A4" s="127"/>
      <c r="B4" s="89" t="s">
        <v>72</v>
      </c>
      <c r="C4" s="130">
        <v>1.0</v>
      </c>
      <c r="D4" s="128">
        <v>400.0</v>
      </c>
      <c r="E4" s="136" t="s">
        <v>69</v>
      </c>
      <c r="F4" s="128">
        <v>400.0</v>
      </c>
      <c r="G4" s="128">
        <v>569.0</v>
      </c>
      <c r="H4" s="136" t="s">
        <v>69</v>
      </c>
      <c r="I4" s="128">
        <v>569.0</v>
      </c>
      <c r="J4" s="128">
        <v>330.0</v>
      </c>
      <c r="K4" s="128">
        <v>441.0</v>
      </c>
      <c r="L4" s="128">
        <v>64.0</v>
      </c>
      <c r="M4" s="128">
        <v>1.0</v>
      </c>
      <c r="N4" s="136" t="s">
        <v>69</v>
      </c>
      <c r="O4" s="138">
        <v>1.0</v>
      </c>
      <c r="P4" s="139" t="s">
        <v>73</v>
      </c>
      <c r="Q4" s="139" t="s">
        <v>74</v>
      </c>
      <c r="R4" s="139" t="s">
        <v>69</v>
      </c>
      <c r="S4" s="139" t="s">
        <v>75</v>
      </c>
      <c r="T4" s="140" t="s">
        <v>76</v>
      </c>
    </row>
    <row r="5" ht="13.5" customHeight="1">
      <c r="A5" s="127"/>
      <c r="B5" s="39" t="s">
        <v>77</v>
      </c>
      <c r="C5" s="101">
        <v>0.2951388888888889</v>
      </c>
      <c r="D5" s="101">
        <v>0.3</v>
      </c>
      <c r="E5" s="99">
        <v>0.9999999999999964</v>
      </c>
      <c r="F5" s="101">
        <v>0.30069444444444443</v>
      </c>
      <c r="G5" s="101">
        <v>0.3055555555555555</v>
      </c>
      <c r="H5" s="99">
        <v>0.0</v>
      </c>
      <c r="I5" s="101">
        <v>0.3055555555555555</v>
      </c>
      <c r="J5" s="101">
        <v>0.3083333333333333</v>
      </c>
      <c r="K5" s="101">
        <v>0.31597222222222215</v>
      </c>
      <c r="L5" s="101">
        <v>0.31944444444444436</v>
      </c>
      <c r="M5" s="101">
        <v>0.3229166666666666</v>
      </c>
      <c r="N5" s="99">
        <v>5.0</v>
      </c>
      <c r="O5" s="101">
        <v>0.3263888888888888</v>
      </c>
      <c r="P5" s="103">
        <v>38.999999999999844</v>
      </c>
      <c r="Q5" s="103">
        <v>44.999999999999844</v>
      </c>
      <c r="R5" s="103">
        <v>5.9999999999999964</v>
      </c>
      <c r="S5" s="104">
        <v>0.15384615384615438</v>
      </c>
      <c r="T5" s="142"/>
    </row>
    <row r="6" ht="13.5" customHeight="1">
      <c r="A6" s="127"/>
      <c r="B6" s="39" t="s">
        <v>77</v>
      </c>
      <c r="C6" s="101">
        <v>0.3104166666666667</v>
      </c>
      <c r="D6" s="101">
        <v>0.31527777777777777</v>
      </c>
      <c r="E6" s="99">
        <v>0.9999999999999964</v>
      </c>
      <c r="F6" s="101">
        <v>0.3159722222222222</v>
      </c>
      <c r="G6" s="101">
        <v>0.3208333333333333</v>
      </c>
      <c r="H6" s="99">
        <v>0.0</v>
      </c>
      <c r="I6" s="101">
        <v>0.3208333333333333</v>
      </c>
      <c r="J6" s="101">
        <v>0.32361111111111107</v>
      </c>
      <c r="K6" s="101">
        <v>0.33124999999999993</v>
      </c>
      <c r="L6" s="101">
        <v>0.33472222222222214</v>
      </c>
      <c r="M6" s="101">
        <v>0.33819444444444435</v>
      </c>
      <c r="N6" s="99">
        <v>5.0</v>
      </c>
      <c r="O6" s="101">
        <v>0.34166666666666656</v>
      </c>
      <c r="P6" s="103">
        <v>38.999999999999844</v>
      </c>
      <c r="Q6" s="103">
        <v>44.999999999999844</v>
      </c>
      <c r="R6" s="103">
        <v>5.9999999999999964</v>
      </c>
      <c r="S6" s="104">
        <v>0.15384615384615438</v>
      </c>
      <c r="T6" s="142">
        <v>22.0</v>
      </c>
    </row>
    <row r="7" ht="13.5" customHeight="1">
      <c r="A7" s="127"/>
      <c r="B7" s="39" t="s">
        <v>77</v>
      </c>
      <c r="C7" s="101">
        <v>0.3263888888888888</v>
      </c>
      <c r="D7" s="101">
        <v>0.3312499999999999</v>
      </c>
      <c r="E7" s="99">
        <v>0.9999999999999964</v>
      </c>
      <c r="F7" s="101">
        <v>0.3319444444444443</v>
      </c>
      <c r="G7" s="101">
        <v>0.3368055555555554</v>
      </c>
      <c r="H7" s="99">
        <v>0.0</v>
      </c>
      <c r="I7" s="101">
        <v>0.3368055555555554</v>
      </c>
      <c r="J7" s="101">
        <v>0.3395833333333332</v>
      </c>
      <c r="K7" s="101">
        <v>0.34722222222222204</v>
      </c>
      <c r="L7" s="101">
        <v>0.35069444444444425</v>
      </c>
      <c r="M7" s="101">
        <v>0.35416666666666646</v>
      </c>
      <c r="N7" s="99">
        <v>5.0</v>
      </c>
      <c r="O7" s="101">
        <v>0.3576388888888887</v>
      </c>
      <c r="P7" s="103">
        <v>38.999999999999844</v>
      </c>
      <c r="Q7" s="103">
        <v>44.999999999999844</v>
      </c>
      <c r="R7" s="103">
        <v>5.9999999999999964</v>
      </c>
      <c r="S7" s="104">
        <v>0.15384615384615438</v>
      </c>
      <c r="T7" s="142">
        <v>22.999999999999837</v>
      </c>
    </row>
    <row r="8" ht="13.5" customHeight="1">
      <c r="A8" s="127"/>
      <c r="B8" s="39" t="s">
        <v>77</v>
      </c>
      <c r="C8" s="101">
        <v>0.34166666666666656</v>
      </c>
      <c r="D8" s="101">
        <v>0.34652777777777766</v>
      </c>
      <c r="E8" s="99">
        <v>0.9999999999999964</v>
      </c>
      <c r="F8" s="101">
        <v>0.3472222222222221</v>
      </c>
      <c r="G8" s="101">
        <v>0.3520833333333332</v>
      </c>
      <c r="H8" s="99">
        <v>0.0</v>
      </c>
      <c r="I8" s="101">
        <v>0.3520833333333332</v>
      </c>
      <c r="J8" s="101">
        <v>0.35486111111111096</v>
      </c>
      <c r="K8" s="101">
        <v>0.3624999999999998</v>
      </c>
      <c r="L8" s="101">
        <v>0.36597222222222203</v>
      </c>
      <c r="M8" s="101">
        <v>0.36944444444444424</v>
      </c>
      <c r="N8" s="99">
        <v>5.0</v>
      </c>
      <c r="O8" s="101">
        <v>0.37291666666666645</v>
      </c>
      <c r="P8" s="103">
        <v>38.999999999999844</v>
      </c>
      <c r="Q8" s="103">
        <v>44.999999999999844</v>
      </c>
      <c r="R8" s="103">
        <v>5.9999999999999964</v>
      </c>
      <c r="S8" s="104">
        <v>0.15384615384615438</v>
      </c>
      <c r="T8" s="142">
        <v>22.0</v>
      </c>
    </row>
    <row r="9" ht="13.5" customHeight="1">
      <c r="A9" s="127"/>
      <c r="B9" s="39" t="s">
        <v>77</v>
      </c>
      <c r="C9" s="101">
        <v>0.3576388888888887</v>
      </c>
      <c r="D9" s="101">
        <v>0.36249999999999977</v>
      </c>
      <c r="E9" s="99">
        <v>0.9999999999999964</v>
      </c>
      <c r="F9" s="101">
        <v>0.3631944444444442</v>
      </c>
      <c r="G9" s="101">
        <v>0.3680555555555553</v>
      </c>
      <c r="H9" s="99">
        <v>0.0</v>
      </c>
      <c r="I9" s="101">
        <v>0.3680555555555553</v>
      </c>
      <c r="J9" s="101">
        <v>0.37083333333333307</v>
      </c>
      <c r="K9" s="101">
        <v>0.37847222222222193</v>
      </c>
      <c r="L9" s="101">
        <v>0.38194444444444414</v>
      </c>
      <c r="M9" s="101">
        <v>0.38541666666666635</v>
      </c>
      <c r="N9" s="99">
        <v>5.0</v>
      </c>
      <c r="O9" s="101">
        <v>0.38888888888888856</v>
      </c>
      <c r="P9" s="103">
        <v>38.999999999999844</v>
      </c>
      <c r="Q9" s="103">
        <v>44.999999999999844</v>
      </c>
      <c r="R9" s="103">
        <v>5.9999999999999964</v>
      </c>
      <c r="S9" s="104">
        <v>0.15384615384615438</v>
      </c>
      <c r="T9" s="142">
        <v>22.999999999999837</v>
      </c>
    </row>
    <row r="10" ht="13.5" customHeight="1">
      <c r="A10" s="127"/>
      <c r="B10" s="141" t="s">
        <v>77</v>
      </c>
      <c r="C10" s="101">
        <v>0.37291666666666645</v>
      </c>
      <c r="D10" s="101">
        <v>0.37777777777777755</v>
      </c>
      <c r="E10" s="99">
        <v>0.9999999999999964</v>
      </c>
      <c r="F10" s="101">
        <v>0.378472222222222</v>
      </c>
      <c r="G10" s="101">
        <v>0.3833333333333331</v>
      </c>
      <c r="H10" s="99">
        <v>0.0</v>
      </c>
      <c r="I10" s="101">
        <v>0.3833333333333331</v>
      </c>
      <c r="J10" s="101">
        <v>0.38611111111111085</v>
      </c>
      <c r="K10" s="101">
        <v>0.3937499999999997</v>
      </c>
      <c r="L10" s="101">
        <v>0.3972222222222219</v>
      </c>
      <c r="M10" s="101">
        <v>0.40069444444444413</v>
      </c>
      <c r="N10" s="99">
        <v>5.0</v>
      </c>
      <c r="O10" s="101">
        <v>0.40416666666666634</v>
      </c>
      <c r="P10" s="103">
        <v>38.999999999999844</v>
      </c>
      <c r="Q10" s="103">
        <v>44.999999999999844</v>
      </c>
      <c r="R10" s="103">
        <v>5.9999999999999964</v>
      </c>
      <c r="S10" s="104">
        <v>0.15384615384615438</v>
      </c>
      <c r="T10" s="142">
        <v>22.0</v>
      </c>
    </row>
    <row r="11" ht="13.5" customHeight="1">
      <c r="A11" s="127"/>
      <c r="B11" s="141" t="s">
        <v>77</v>
      </c>
      <c r="C11" s="101">
        <v>0.38888888888888856</v>
      </c>
      <c r="D11" s="101">
        <v>0.39374999999999966</v>
      </c>
      <c r="E11" s="99">
        <v>0.9999999999999964</v>
      </c>
      <c r="F11" s="101">
        <v>0.3944444444444441</v>
      </c>
      <c r="G11" s="101">
        <v>0.3993055555555552</v>
      </c>
      <c r="H11" s="99">
        <v>0.0</v>
      </c>
      <c r="I11" s="101">
        <v>0.3993055555555552</v>
      </c>
      <c r="J11" s="101">
        <v>0.40208333333333296</v>
      </c>
      <c r="K11" s="101">
        <v>0.4097222222222218</v>
      </c>
      <c r="L11" s="101">
        <v>0.41319444444444403</v>
      </c>
      <c r="M11" s="101">
        <v>0.41666666666666624</v>
      </c>
      <c r="N11" s="99">
        <v>5.0</v>
      </c>
      <c r="O11" s="101">
        <v>0.42013888888888845</v>
      </c>
      <c r="P11" s="103">
        <v>38.999999999999844</v>
      </c>
      <c r="Q11" s="103">
        <v>44.999999999999844</v>
      </c>
      <c r="R11" s="103">
        <v>5.9999999999999964</v>
      </c>
      <c r="S11" s="104">
        <v>0.15384615384615438</v>
      </c>
      <c r="T11" s="142">
        <v>22.999999999999837</v>
      </c>
    </row>
    <row r="12" ht="13.5" customHeight="1">
      <c r="A12" s="127"/>
      <c r="B12" s="141" t="s">
        <v>77</v>
      </c>
      <c r="C12" s="101">
        <v>0.40416666666666634</v>
      </c>
      <c r="D12" s="101">
        <v>0.40902777777777743</v>
      </c>
      <c r="E12" s="99">
        <v>0.9999999999999964</v>
      </c>
      <c r="F12" s="101">
        <v>0.4097222222222219</v>
      </c>
      <c r="G12" s="101">
        <v>0.41458333333333297</v>
      </c>
      <c r="H12" s="99">
        <v>0.0</v>
      </c>
      <c r="I12" s="101">
        <v>0.41458333333333297</v>
      </c>
      <c r="J12" s="101">
        <v>0.41736111111111074</v>
      </c>
      <c r="K12" s="101">
        <v>0.4249999999999996</v>
      </c>
      <c r="L12" s="101">
        <v>0.4284722222222218</v>
      </c>
      <c r="M12" s="101">
        <v>0.431944444444444</v>
      </c>
      <c r="N12" s="99">
        <v>5.0</v>
      </c>
      <c r="O12" s="101">
        <v>0.43541666666666623</v>
      </c>
      <c r="P12" s="103">
        <v>38.999999999999844</v>
      </c>
      <c r="Q12" s="103">
        <v>44.999999999999844</v>
      </c>
      <c r="R12" s="103">
        <v>5.9999999999999964</v>
      </c>
      <c r="S12" s="104">
        <v>0.15384615384615438</v>
      </c>
      <c r="T12" s="142">
        <v>22.0</v>
      </c>
    </row>
    <row r="13" ht="13.5" customHeight="1">
      <c r="A13" s="127"/>
      <c r="B13" s="141" t="s">
        <v>77</v>
      </c>
      <c r="C13" s="101">
        <v>0.42013888888888845</v>
      </c>
      <c r="D13" s="101">
        <v>0.42499999999999954</v>
      </c>
      <c r="E13" s="99">
        <v>0.9999999999999964</v>
      </c>
      <c r="F13" s="101">
        <v>0.425694444444444</v>
      </c>
      <c r="G13" s="101">
        <v>0.4305555555555551</v>
      </c>
      <c r="H13" s="99">
        <v>0.0</v>
      </c>
      <c r="I13" s="101">
        <v>0.4305555555555551</v>
      </c>
      <c r="J13" s="101">
        <v>0.43333333333333285</v>
      </c>
      <c r="K13" s="101">
        <v>0.4409722222222217</v>
      </c>
      <c r="L13" s="101">
        <v>0.4444444444444439</v>
      </c>
      <c r="M13" s="101">
        <v>0.44791666666666613</v>
      </c>
      <c r="N13" s="99">
        <v>5.0</v>
      </c>
      <c r="O13" s="101">
        <v>0.45138888888888834</v>
      </c>
      <c r="P13" s="103">
        <v>38.999999999999844</v>
      </c>
      <c r="Q13" s="103">
        <v>44.999999999999844</v>
      </c>
      <c r="R13" s="103">
        <v>5.9999999999999964</v>
      </c>
      <c r="S13" s="104">
        <v>0.15384615384615438</v>
      </c>
      <c r="T13" s="142">
        <v>22.999999999999837</v>
      </c>
    </row>
    <row r="14" ht="13.5" customHeight="1">
      <c r="A14" s="127"/>
      <c r="B14" s="141" t="s">
        <v>77</v>
      </c>
      <c r="C14" s="101">
        <v>0.43541666666666623</v>
      </c>
      <c r="D14" s="101">
        <v>0.4402777777777773</v>
      </c>
      <c r="E14" s="99">
        <v>0.9999999999999964</v>
      </c>
      <c r="F14" s="101">
        <v>0.44097222222222177</v>
      </c>
      <c r="G14" s="101">
        <v>0.44583333333333286</v>
      </c>
      <c r="H14" s="99">
        <v>0.0</v>
      </c>
      <c r="I14" s="101">
        <v>0.44583333333333286</v>
      </c>
      <c r="J14" s="101">
        <v>0.4486111111111106</v>
      </c>
      <c r="K14" s="101">
        <v>0.4562499999999995</v>
      </c>
      <c r="L14" s="101">
        <v>0.4597222222222217</v>
      </c>
      <c r="M14" s="101">
        <v>0.4631944444444439</v>
      </c>
      <c r="N14" s="99">
        <v>7.0</v>
      </c>
      <c r="O14" s="101">
        <v>0.468055555555555</v>
      </c>
      <c r="P14" s="103">
        <v>38.99999999999983</v>
      </c>
      <c r="Q14" s="103">
        <v>46.99999999999983</v>
      </c>
      <c r="R14" s="103">
        <v>7.9999999999999964</v>
      </c>
      <c r="S14" s="104">
        <v>0.20512820512820593</v>
      </c>
      <c r="T14" s="142">
        <v>23.999999999999993</v>
      </c>
    </row>
    <row r="15" ht="13.5" customHeight="1">
      <c r="A15" s="127"/>
      <c r="B15" s="141" t="s">
        <v>78</v>
      </c>
      <c r="C15" s="101">
        <v>0.45138888888888834</v>
      </c>
      <c r="D15" s="101">
        <v>0.4576388888888883</v>
      </c>
      <c r="E15" s="99">
        <v>0.9999999999999964</v>
      </c>
      <c r="F15" s="101">
        <v>0.45833333333333276</v>
      </c>
      <c r="G15" s="101">
        <v>0.4638888888888883</v>
      </c>
      <c r="H15" s="99">
        <v>0.0</v>
      </c>
      <c r="I15" s="101">
        <v>0.4638888888888883</v>
      </c>
      <c r="J15" s="101">
        <v>0.46666666666666606</v>
      </c>
      <c r="K15" s="101">
        <v>0.4749999999999994</v>
      </c>
      <c r="L15" s="101">
        <v>0.4798611111111105</v>
      </c>
      <c r="M15" s="101">
        <v>0.4833333333333327</v>
      </c>
      <c r="N15" s="99">
        <v>4.0</v>
      </c>
      <c r="O15" s="101">
        <v>0.4861111111111105</v>
      </c>
      <c r="P15" s="103">
        <v>44.9999999999999</v>
      </c>
      <c r="Q15" s="103">
        <v>49.9999999999999</v>
      </c>
      <c r="R15" s="103">
        <v>4.9999999999999964</v>
      </c>
      <c r="S15" s="104">
        <v>0.11111111111111127</v>
      </c>
      <c r="T15" s="142">
        <v>25.999999999999908</v>
      </c>
    </row>
    <row r="16" ht="13.5" customHeight="1">
      <c r="A16" s="127"/>
      <c r="B16" s="141" t="s">
        <v>78</v>
      </c>
      <c r="C16" s="101">
        <v>0.468055555555555</v>
      </c>
      <c r="D16" s="101">
        <v>0.474305555555555</v>
      </c>
      <c r="E16" s="99">
        <v>0.9999999999999964</v>
      </c>
      <c r="F16" s="101">
        <v>0.4749999999999994</v>
      </c>
      <c r="G16" s="101">
        <v>0.48055555555555496</v>
      </c>
      <c r="H16" s="99">
        <v>0.0</v>
      </c>
      <c r="I16" s="101">
        <v>0.48055555555555496</v>
      </c>
      <c r="J16" s="101">
        <v>0.4833333333333327</v>
      </c>
      <c r="K16" s="101">
        <v>0.4916666666666661</v>
      </c>
      <c r="L16" s="101">
        <v>0.4965277777777772</v>
      </c>
      <c r="M16" s="101">
        <v>0.4999999999999994</v>
      </c>
      <c r="N16" s="99">
        <v>5.0</v>
      </c>
      <c r="O16" s="101">
        <v>0.5034722222222217</v>
      </c>
      <c r="P16" s="103">
        <v>44.999999999999986</v>
      </c>
      <c r="Q16" s="103">
        <v>50.99999999999998</v>
      </c>
      <c r="R16" s="103">
        <v>5.9999999999999964</v>
      </c>
      <c r="S16" s="104">
        <v>0.1333333333333333</v>
      </c>
      <c r="T16" s="142">
        <v>25.00000000000007</v>
      </c>
    </row>
    <row r="17" ht="13.5" customHeight="1">
      <c r="A17" s="127"/>
      <c r="B17" s="141" t="s">
        <v>78</v>
      </c>
      <c r="C17" s="101">
        <v>0.4861111111111105</v>
      </c>
      <c r="D17" s="101">
        <v>0.49236111111111047</v>
      </c>
      <c r="E17" s="99">
        <v>0.9999999999999964</v>
      </c>
      <c r="F17" s="101">
        <v>0.4930555555555549</v>
      </c>
      <c r="G17" s="101">
        <v>0.49861111111111045</v>
      </c>
      <c r="H17" s="99">
        <v>0.0</v>
      </c>
      <c r="I17" s="101">
        <v>0.49861111111111045</v>
      </c>
      <c r="J17" s="101">
        <v>0.5013888888888882</v>
      </c>
      <c r="K17" s="101">
        <v>0.5097222222222215</v>
      </c>
      <c r="L17" s="101">
        <v>0.5145833333333326</v>
      </c>
      <c r="M17" s="101">
        <v>0.5180555555555548</v>
      </c>
      <c r="N17" s="99">
        <v>5.0</v>
      </c>
      <c r="O17" s="101">
        <v>0.521527777777777</v>
      </c>
      <c r="P17" s="103">
        <v>44.999999999999815</v>
      </c>
      <c r="Q17" s="103">
        <v>50.999999999999815</v>
      </c>
      <c r="R17" s="103">
        <v>5.9999999999999964</v>
      </c>
      <c r="S17" s="104">
        <v>0.1333333333333338</v>
      </c>
      <c r="T17" s="142">
        <v>25.999999999999748</v>
      </c>
    </row>
    <row r="18" ht="13.5" customHeight="1">
      <c r="A18" s="127"/>
      <c r="B18" s="141" t="s">
        <v>78</v>
      </c>
      <c r="C18" s="101">
        <v>0.5034722222222217</v>
      </c>
      <c r="D18" s="101">
        <v>0.5097222222222216</v>
      </c>
      <c r="E18" s="99">
        <v>0.9999999999999964</v>
      </c>
      <c r="F18" s="101">
        <v>0.5104166666666661</v>
      </c>
      <c r="G18" s="101">
        <v>0.5159722222222216</v>
      </c>
      <c r="H18" s="99">
        <v>0.0</v>
      </c>
      <c r="I18" s="101">
        <v>0.5159722222222216</v>
      </c>
      <c r="J18" s="101">
        <v>0.5187499999999994</v>
      </c>
      <c r="K18" s="101">
        <v>0.5270833333333327</v>
      </c>
      <c r="L18" s="101">
        <v>0.5319444444444438</v>
      </c>
      <c r="M18" s="101">
        <v>0.535416666666666</v>
      </c>
      <c r="N18" s="99">
        <v>5.0</v>
      </c>
      <c r="O18" s="101">
        <v>0.5388888888888882</v>
      </c>
      <c r="P18" s="103">
        <v>44.999999999999815</v>
      </c>
      <c r="Q18" s="103">
        <v>50.999999999999815</v>
      </c>
      <c r="R18" s="103">
        <v>5.9999999999999964</v>
      </c>
      <c r="S18" s="104">
        <v>0.1333333333333338</v>
      </c>
      <c r="T18" s="142">
        <v>25.00000000000007</v>
      </c>
    </row>
    <row r="19" ht="13.5" customHeight="1">
      <c r="A19" s="127"/>
      <c r="B19" s="141" t="s">
        <v>78</v>
      </c>
      <c r="C19" s="161">
        <v>0.521527777777777</v>
      </c>
      <c r="D19" s="101">
        <v>0.527777777777777</v>
      </c>
      <c r="E19" s="99">
        <v>0.9999999999999964</v>
      </c>
      <c r="F19" s="101">
        <v>0.5284722222222215</v>
      </c>
      <c r="G19" s="101">
        <v>0.534027777777777</v>
      </c>
      <c r="H19" s="99">
        <v>0.0</v>
      </c>
      <c r="I19" s="101">
        <v>0.534027777777777</v>
      </c>
      <c r="J19" s="101">
        <v>0.5368055555555548</v>
      </c>
      <c r="K19" s="101">
        <v>0.5451388888888881</v>
      </c>
      <c r="L19" s="101">
        <v>0.5499999999999992</v>
      </c>
      <c r="M19" s="101">
        <v>0.5534722222222214</v>
      </c>
      <c r="N19" s="99">
        <v>5.0</v>
      </c>
      <c r="O19" s="101">
        <v>0.5569444444444436</v>
      </c>
      <c r="P19" s="103">
        <v>44.999999999999815</v>
      </c>
      <c r="Q19" s="103">
        <v>50.999999999999815</v>
      </c>
      <c r="R19" s="103">
        <v>5.9999999999999964</v>
      </c>
      <c r="S19" s="104">
        <v>0.1333333333333338</v>
      </c>
      <c r="T19" s="142">
        <v>25.999999999999748</v>
      </c>
    </row>
    <row r="20" ht="13.5" customHeight="1">
      <c r="A20" s="127"/>
      <c r="B20" s="141" t="s">
        <v>78</v>
      </c>
      <c r="C20" s="101">
        <v>0.5388888888888882</v>
      </c>
      <c r="D20" s="101">
        <v>0.5451388888888882</v>
      </c>
      <c r="E20" s="99">
        <v>0.9999999999999964</v>
      </c>
      <c r="F20" s="101">
        <v>0.5458333333333326</v>
      </c>
      <c r="G20" s="101">
        <v>0.5513888888888882</v>
      </c>
      <c r="H20" s="99">
        <v>0.0</v>
      </c>
      <c r="I20" s="101">
        <v>0.5513888888888882</v>
      </c>
      <c r="J20" s="101">
        <v>0.5541666666666659</v>
      </c>
      <c r="K20" s="101">
        <v>0.5624999999999992</v>
      </c>
      <c r="L20" s="101">
        <v>0.5673611111111103</v>
      </c>
      <c r="M20" s="101">
        <v>0.5708333333333325</v>
      </c>
      <c r="N20" s="99">
        <v>7.0</v>
      </c>
      <c r="O20" s="101">
        <v>0.5756944444444436</v>
      </c>
      <c r="P20" s="103">
        <v>44.999999999999815</v>
      </c>
      <c r="Q20" s="103">
        <v>52.999999999999815</v>
      </c>
      <c r="R20" s="103">
        <v>7.9999999999999964</v>
      </c>
      <c r="S20" s="104">
        <v>0.17777777777777842</v>
      </c>
      <c r="T20" s="142">
        <v>27.000000000000064</v>
      </c>
    </row>
    <row r="21" ht="13.5" customHeight="1">
      <c r="A21" s="127"/>
      <c r="B21" s="141" t="s">
        <v>78</v>
      </c>
      <c r="C21" s="101">
        <v>0.5569444444444436</v>
      </c>
      <c r="D21" s="101">
        <v>0.5631944444444436</v>
      </c>
      <c r="E21" s="99">
        <v>0.9999999999999964</v>
      </c>
      <c r="F21" s="101">
        <v>0.563888888888888</v>
      </c>
      <c r="G21" s="101">
        <v>0.5694444444444435</v>
      </c>
      <c r="H21" s="99">
        <v>0.0</v>
      </c>
      <c r="I21" s="101">
        <v>0.5694444444444435</v>
      </c>
      <c r="J21" s="101">
        <v>0.5722222222222213</v>
      </c>
      <c r="K21" s="101">
        <v>0.5805555555555546</v>
      </c>
      <c r="L21" s="101">
        <v>0.5854166666666657</v>
      </c>
      <c r="M21" s="101">
        <v>0.5888888888888879</v>
      </c>
      <c r="N21" s="99">
        <v>7.0</v>
      </c>
      <c r="O21" s="101">
        <v>0.593749999999999</v>
      </c>
      <c r="P21" s="103">
        <v>44.999999999999815</v>
      </c>
      <c r="Q21" s="103">
        <v>52.999999999999815</v>
      </c>
      <c r="R21" s="103">
        <v>7.9999999999999964</v>
      </c>
      <c r="S21" s="104">
        <v>0.17777777777777842</v>
      </c>
      <c r="T21" s="142">
        <v>25.999999999999748</v>
      </c>
    </row>
    <row r="22" ht="13.5" customHeight="1">
      <c r="A22" s="127"/>
      <c r="B22" s="141" t="s">
        <v>78</v>
      </c>
      <c r="C22" s="101">
        <v>0.5756944444444436</v>
      </c>
      <c r="D22" s="101">
        <v>0.5819444444444436</v>
      </c>
      <c r="E22" s="99">
        <v>0.9999999999999964</v>
      </c>
      <c r="F22" s="101">
        <v>0.582638888888888</v>
      </c>
      <c r="G22" s="101">
        <v>0.5881944444444436</v>
      </c>
      <c r="H22" s="99">
        <v>0.0</v>
      </c>
      <c r="I22" s="101">
        <v>0.5881944444444436</v>
      </c>
      <c r="J22" s="101">
        <v>0.5909722222222213</v>
      </c>
      <c r="K22" s="101">
        <v>0.5993055555555546</v>
      </c>
      <c r="L22" s="101">
        <v>0.6041666666666657</v>
      </c>
      <c r="M22" s="101">
        <v>0.607638888888888</v>
      </c>
      <c r="N22" s="99">
        <v>6.0</v>
      </c>
      <c r="O22" s="101">
        <v>0.6118055555555546</v>
      </c>
      <c r="P22" s="103">
        <v>44.999999999999815</v>
      </c>
      <c r="Q22" s="103">
        <v>51.999999999999815</v>
      </c>
      <c r="R22" s="103">
        <v>6.9999999999999964</v>
      </c>
      <c r="S22" s="104">
        <v>0.1555555555555561</v>
      </c>
      <c r="T22" s="142">
        <v>26.000000000000068</v>
      </c>
    </row>
    <row r="23" ht="13.5" customHeight="1">
      <c r="A23" s="127"/>
      <c r="B23" s="141" t="s">
        <v>7</v>
      </c>
      <c r="C23" s="161">
        <v>0.593749999999999</v>
      </c>
      <c r="D23" s="101">
        <v>0.599999999999999</v>
      </c>
      <c r="E23" s="99">
        <v>0.9999999999999964</v>
      </c>
      <c r="F23" s="101">
        <v>0.6006944444444434</v>
      </c>
      <c r="G23" s="101">
        <v>0.6069444444444434</v>
      </c>
      <c r="H23" s="99">
        <v>0.0</v>
      </c>
      <c r="I23" s="101">
        <v>0.6069444444444434</v>
      </c>
      <c r="J23" s="101">
        <v>0.6097222222222212</v>
      </c>
      <c r="K23" s="101">
        <v>0.6180555555555545</v>
      </c>
      <c r="L23" s="101">
        <v>0.6229166666666656</v>
      </c>
      <c r="M23" s="101">
        <v>0.6263888888888878</v>
      </c>
      <c r="N23" s="99">
        <v>5.0</v>
      </c>
      <c r="O23" s="101">
        <v>0.62986111111111</v>
      </c>
      <c r="P23" s="103">
        <v>45.999999999999815</v>
      </c>
      <c r="Q23" s="103">
        <v>51.999999999999815</v>
      </c>
      <c r="R23" s="103">
        <v>5.9999999999999964</v>
      </c>
      <c r="S23" s="104">
        <v>0.1304347826086961</v>
      </c>
      <c r="T23" s="142">
        <v>25.999999999999748</v>
      </c>
    </row>
    <row r="24" ht="13.5" customHeight="1">
      <c r="A24" s="127"/>
      <c r="B24" s="141" t="s">
        <v>7</v>
      </c>
      <c r="C24" s="101">
        <v>0.6118055555555546</v>
      </c>
      <c r="D24" s="101">
        <v>0.6180555555555546</v>
      </c>
      <c r="E24" s="99">
        <v>0.9999999999999964</v>
      </c>
      <c r="F24" s="101">
        <v>0.618749999999999</v>
      </c>
      <c r="G24" s="101">
        <v>0.624999999999999</v>
      </c>
      <c r="H24" s="99">
        <v>0.0</v>
      </c>
      <c r="I24" s="101">
        <v>0.624999999999999</v>
      </c>
      <c r="J24" s="101">
        <v>0.6277777777777768</v>
      </c>
      <c r="K24" s="101">
        <v>0.6361111111111101</v>
      </c>
      <c r="L24" s="101">
        <v>0.6409722222222212</v>
      </c>
      <c r="M24" s="101">
        <v>0.6444444444444434</v>
      </c>
      <c r="N24" s="99">
        <v>5.0</v>
      </c>
      <c r="O24" s="101">
        <v>0.6479166666666656</v>
      </c>
      <c r="P24" s="103">
        <v>45.999999999999815</v>
      </c>
      <c r="Q24" s="103">
        <v>51.999999999999815</v>
      </c>
      <c r="R24" s="103">
        <v>5.9999999999999964</v>
      </c>
      <c r="S24" s="104">
        <v>0.1304347826086961</v>
      </c>
      <c r="T24" s="142">
        <v>26.000000000000068</v>
      </c>
    </row>
    <row r="25" ht="13.5" customHeight="1">
      <c r="A25" s="127"/>
      <c r="B25" s="141" t="s">
        <v>7</v>
      </c>
      <c r="C25" s="101">
        <v>0.62986111111111</v>
      </c>
      <c r="D25" s="101">
        <v>0.63611111111111</v>
      </c>
      <c r="E25" s="99">
        <v>0.9999999999999964</v>
      </c>
      <c r="F25" s="101">
        <v>0.6368055555555544</v>
      </c>
      <c r="G25" s="101">
        <v>0.6430555555555544</v>
      </c>
      <c r="H25" s="99">
        <v>0.0</v>
      </c>
      <c r="I25" s="101">
        <v>0.6430555555555544</v>
      </c>
      <c r="J25" s="101">
        <v>0.6458333333333321</v>
      </c>
      <c r="K25" s="101">
        <v>0.6541666666666655</v>
      </c>
      <c r="L25" s="101">
        <v>0.6590277777777765</v>
      </c>
      <c r="M25" s="101">
        <v>0.6624999999999988</v>
      </c>
      <c r="N25" s="99">
        <v>5.0</v>
      </c>
      <c r="O25" s="101">
        <v>0.665972222222221</v>
      </c>
      <c r="P25" s="103">
        <v>45.999999999999815</v>
      </c>
      <c r="Q25" s="103">
        <v>51.999999999999815</v>
      </c>
      <c r="R25" s="103">
        <v>5.9999999999999964</v>
      </c>
      <c r="S25" s="104">
        <v>0.1304347826086961</v>
      </c>
      <c r="T25" s="142">
        <v>25.999999999999748</v>
      </c>
    </row>
    <row r="26" ht="13.5" customHeight="1">
      <c r="A26" s="127"/>
      <c r="B26" s="141" t="s">
        <v>7</v>
      </c>
      <c r="C26" s="101">
        <v>0.6479166666666656</v>
      </c>
      <c r="D26" s="101">
        <v>0.6541666666666656</v>
      </c>
      <c r="E26" s="99">
        <v>0.9999999999999964</v>
      </c>
      <c r="F26" s="101">
        <v>0.65486111111111</v>
      </c>
      <c r="G26" s="101">
        <v>0.66111111111111</v>
      </c>
      <c r="H26" s="99">
        <v>0.0</v>
      </c>
      <c r="I26" s="101">
        <v>0.66111111111111</v>
      </c>
      <c r="J26" s="101">
        <v>0.6638888888888878</v>
      </c>
      <c r="K26" s="101">
        <v>0.672222222222221</v>
      </c>
      <c r="L26" s="101">
        <v>0.6770833333333321</v>
      </c>
      <c r="M26" s="101">
        <v>0.6805555555555544</v>
      </c>
      <c r="N26" s="99">
        <v>5.0</v>
      </c>
      <c r="O26" s="101">
        <v>0.6840277777777766</v>
      </c>
      <c r="P26" s="103">
        <v>45.999999999999815</v>
      </c>
      <c r="Q26" s="103">
        <v>51.999999999999815</v>
      </c>
      <c r="R26" s="103">
        <v>5.9999999999999964</v>
      </c>
      <c r="S26" s="104">
        <v>0.1304347826086961</v>
      </c>
      <c r="T26" s="142">
        <v>26.000000000000068</v>
      </c>
    </row>
    <row r="27" ht="13.5" customHeight="1">
      <c r="A27" s="127"/>
      <c r="B27" s="141" t="s">
        <v>7</v>
      </c>
      <c r="C27" s="163">
        <v>0.665972222222221</v>
      </c>
      <c r="D27" s="101">
        <v>0.6722222222222209</v>
      </c>
      <c r="E27" s="99">
        <v>0.9999999999999964</v>
      </c>
      <c r="F27" s="101">
        <v>0.6729166666666654</v>
      </c>
      <c r="G27" s="101">
        <v>0.6791666666666654</v>
      </c>
      <c r="H27" s="99">
        <v>0.0</v>
      </c>
      <c r="I27" s="101">
        <v>0.6791666666666654</v>
      </c>
      <c r="J27" s="101">
        <v>0.6819444444444431</v>
      </c>
      <c r="K27" s="101">
        <v>0.6902777777777764</v>
      </c>
      <c r="L27" s="101">
        <v>0.6951388888888875</v>
      </c>
      <c r="M27" s="101">
        <v>0.6986111111111097</v>
      </c>
      <c r="N27" s="99">
        <v>5.0</v>
      </c>
      <c r="O27" s="101">
        <v>0.702083333333332</v>
      </c>
      <c r="P27" s="103">
        <v>45.999999999999815</v>
      </c>
      <c r="Q27" s="103">
        <v>51.999999999999815</v>
      </c>
      <c r="R27" s="103">
        <v>5.9999999999999964</v>
      </c>
      <c r="S27" s="104">
        <v>0.1304347826086961</v>
      </c>
      <c r="T27" s="142">
        <v>25.999999999999748</v>
      </c>
    </row>
    <row r="28" ht="13.5" customHeight="1">
      <c r="A28" s="127"/>
      <c r="B28" s="141" t="s">
        <v>79</v>
      </c>
      <c r="C28" s="163">
        <v>0.6840277777777766</v>
      </c>
      <c r="D28" s="101">
        <v>0.6902777777777765</v>
      </c>
      <c r="E28" s="99">
        <v>0.9999999999999964</v>
      </c>
      <c r="F28" s="101">
        <v>0.690972222222221</v>
      </c>
      <c r="G28" s="101">
        <v>0.6965277777777765</v>
      </c>
      <c r="H28" s="99">
        <v>0.0</v>
      </c>
      <c r="I28" s="101">
        <v>0.6965277777777765</v>
      </c>
      <c r="J28" s="101">
        <v>0.6993055555555543</v>
      </c>
      <c r="K28" s="101">
        <v>0.7069444444444432</v>
      </c>
      <c r="L28" s="101">
        <v>0.7104166666666654</v>
      </c>
      <c r="M28" s="101">
        <v>0.7138888888888876</v>
      </c>
      <c r="N28" s="99">
        <v>7.0</v>
      </c>
      <c r="O28" s="101">
        <v>0.7187499999999987</v>
      </c>
      <c r="P28" s="103">
        <v>41.99999999999983</v>
      </c>
      <c r="Q28" s="103">
        <v>49.99999999999982</v>
      </c>
      <c r="R28" s="103">
        <v>7.9999999999999964</v>
      </c>
      <c r="S28" s="104">
        <v>0.19047619047619116</v>
      </c>
      <c r="T28" s="142">
        <v>24.000000000000075</v>
      </c>
    </row>
    <row r="29" ht="13.5" customHeight="1">
      <c r="A29" s="127"/>
      <c r="B29" s="141" t="s">
        <v>79</v>
      </c>
      <c r="C29" s="161">
        <v>0.702083333333332</v>
      </c>
      <c r="D29" s="101">
        <v>0.7083333333333319</v>
      </c>
      <c r="E29" s="99">
        <v>0.9999999999999964</v>
      </c>
      <c r="F29" s="101">
        <v>0.7090277777777764</v>
      </c>
      <c r="G29" s="101">
        <v>0.7145833333333319</v>
      </c>
      <c r="H29" s="99">
        <v>0.0</v>
      </c>
      <c r="I29" s="101">
        <v>0.7145833333333319</v>
      </c>
      <c r="J29" s="101">
        <v>0.7173611111111097</v>
      </c>
      <c r="K29" s="101">
        <v>0.7249999999999985</v>
      </c>
      <c r="L29" s="101">
        <v>0.7284722222222207</v>
      </c>
      <c r="M29" s="101">
        <v>0.731944444444443</v>
      </c>
      <c r="N29" s="99">
        <v>5.0</v>
      </c>
      <c r="O29" s="101">
        <v>0.7354166666666652</v>
      </c>
      <c r="P29" s="103">
        <v>41.99999999999983</v>
      </c>
      <c r="Q29" s="103">
        <v>47.99999999999983</v>
      </c>
      <c r="R29" s="103">
        <v>5.9999999999999964</v>
      </c>
      <c r="S29" s="104">
        <v>0.14285714285714335</v>
      </c>
      <c r="T29" s="142">
        <v>23.999999999999755</v>
      </c>
    </row>
    <row r="30" ht="13.5" customHeight="1">
      <c r="A30" s="127"/>
      <c r="B30" s="141" t="s">
        <v>79</v>
      </c>
      <c r="C30" s="161">
        <v>0.7187499999999987</v>
      </c>
      <c r="D30" s="101">
        <v>0.7249999999999986</v>
      </c>
      <c r="E30" s="99">
        <v>0.9999999999999964</v>
      </c>
      <c r="F30" s="101">
        <v>0.7256944444444431</v>
      </c>
      <c r="G30" s="101">
        <v>0.7312499999999986</v>
      </c>
      <c r="H30" s="99">
        <v>0.0</v>
      </c>
      <c r="I30" s="101">
        <v>0.7312499999999986</v>
      </c>
      <c r="J30" s="101">
        <v>0.7340277777777764</v>
      </c>
      <c r="K30" s="101">
        <v>0.7416666666666653</v>
      </c>
      <c r="L30" s="101">
        <v>0.7451388888888875</v>
      </c>
      <c r="M30" s="101">
        <v>0.7486111111111097</v>
      </c>
      <c r="N30" s="99">
        <v>5.0</v>
      </c>
      <c r="O30" s="101">
        <v>0.7520833333333319</v>
      </c>
      <c r="P30" s="103">
        <v>41.99999999999983</v>
      </c>
      <c r="Q30" s="103">
        <v>47.99999999999983</v>
      </c>
      <c r="R30" s="103">
        <v>5.9999999999999964</v>
      </c>
      <c r="S30" s="104">
        <v>0.14285714285714335</v>
      </c>
      <c r="T30" s="142">
        <v>24.000000000000075</v>
      </c>
    </row>
    <row r="31" ht="13.5" customHeight="1">
      <c r="A31" s="127"/>
      <c r="B31" s="141" t="s">
        <v>79</v>
      </c>
      <c r="C31" s="161">
        <v>0.7354166666666652</v>
      </c>
      <c r="D31" s="101">
        <v>0.7416666666666651</v>
      </c>
      <c r="E31" s="99">
        <v>0.9999999999999964</v>
      </c>
      <c r="F31" s="101">
        <v>0.7423611111111096</v>
      </c>
      <c r="G31" s="101">
        <v>0.7479166666666651</v>
      </c>
      <c r="H31" s="99">
        <v>0.0</v>
      </c>
      <c r="I31" s="101">
        <v>0.7479166666666651</v>
      </c>
      <c r="J31" s="101">
        <v>0.7506944444444429</v>
      </c>
      <c r="K31" s="101">
        <v>0.7583333333333317</v>
      </c>
      <c r="L31" s="101">
        <v>0.761805555555554</v>
      </c>
      <c r="M31" s="101">
        <v>0.7652777777777762</v>
      </c>
      <c r="N31" s="99">
        <v>5.0</v>
      </c>
      <c r="O31" s="101">
        <v>0.7687499999999984</v>
      </c>
      <c r="P31" s="103">
        <v>41.99999999999983</v>
      </c>
      <c r="Q31" s="103">
        <v>47.99999999999983</v>
      </c>
      <c r="R31" s="103">
        <v>5.9999999999999964</v>
      </c>
      <c r="S31" s="104">
        <v>0.14285714285714335</v>
      </c>
      <c r="T31" s="142">
        <v>23.999999999999755</v>
      </c>
    </row>
    <row r="32" ht="13.5" customHeight="1">
      <c r="A32" s="127"/>
      <c r="B32" s="141" t="s">
        <v>79</v>
      </c>
      <c r="C32" s="163">
        <v>0.7520833333333319</v>
      </c>
      <c r="D32" s="101">
        <v>0.7583333333333319</v>
      </c>
      <c r="E32" s="99">
        <v>0.9999999999999964</v>
      </c>
      <c r="F32" s="101">
        <v>0.7590277777777763</v>
      </c>
      <c r="G32" s="101">
        <v>0.7645833333333318</v>
      </c>
      <c r="H32" s="99">
        <v>0.0</v>
      </c>
      <c r="I32" s="101">
        <v>0.7645833333333318</v>
      </c>
      <c r="J32" s="101">
        <v>0.7673611111111096</v>
      </c>
      <c r="K32" s="101">
        <v>0.7749999999999985</v>
      </c>
      <c r="L32" s="101">
        <v>0.7784722222222207</v>
      </c>
      <c r="M32" s="101">
        <v>0.7819444444444429</v>
      </c>
      <c r="N32" s="99">
        <v>5.0</v>
      </c>
      <c r="O32" s="101">
        <v>0.7854166666666651</v>
      </c>
      <c r="P32" s="103">
        <v>41.99999999999983</v>
      </c>
      <c r="Q32" s="103">
        <v>47.99999999999983</v>
      </c>
      <c r="R32" s="103">
        <v>5.9999999999999964</v>
      </c>
      <c r="S32" s="104">
        <v>0.14285714285714335</v>
      </c>
      <c r="T32" s="142">
        <v>24.000000000000075</v>
      </c>
    </row>
    <row r="33" ht="13.5" customHeight="1">
      <c r="A33" s="127"/>
      <c r="B33" s="141" t="s">
        <v>79</v>
      </c>
      <c r="C33" s="161">
        <v>0.7687499999999984</v>
      </c>
      <c r="D33" s="101">
        <v>0.7749999999999984</v>
      </c>
      <c r="E33" s="99">
        <v>0.9999999999999964</v>
      </c>
      <c r="F33" s="101">
        <v>0.7756944444444428</v>
      </c>
      <c r="G33" s="101">
        <v>0.7812499999999983</v>
      </c>
      <c r="H33" s="99">
        <v>0.0</v>
      </c>
      <c r="I33" s="101">
        <v>0.7812499999999983</v>
      </c>
      <c r="J33" s="101">
        <v>0.7840277777777761</v>
      </c>
      <c r="K33" s="101">
        <v>0.791666666666665</v>
      </c>
      <c r="L33" s="101">
        <v>0.7951388888888872</v>
      </c>
      <c r="M33" s="101">
        <v>0.7986111111111094</v>
      </c>
      <c r="N33" s="99">
        <v>5.0</v>
      </c>
      <c r="O33" s="101">
        <v>0.8020833333333316</v>
      </c>
      <c r="P33" s="103">
        <v>41.99999999999983</v>
      </c>
      <c r="Q33" s="103">
        <v>47.99999999999983</v>
      </c>
      <c r="R33" s="103">
        <v>5.9999999999999964</v>
      </c>
      <c r="S33" s="104">
        <v>0.14285714285714335</v>
      </c>
      <c r="T33" s="142">
        <v>23.999999999999755</v>
      </c>
    </row>
    <row r="34" ht="13.5" customHeight="1">
      <c r="A34" s="127"/>
      <c r="B34" s="141" t="s">
        <v>79</v>
      </c>
      <c r="C34" s="163">
        <v>0.7854166666666651</v>
      </c>
      <c r="D34" s="101">
        <v>0.7916666666666651</v>
      </c>
      <c r="E34" s="99">
        <v>0.9999999999999964</v>
      </c>
      <c r="F34" s="101">
        <v>0.7923611111111095</v>
      </c>
      <c r="G34" s="101">
        <v>0.797916666666665</v>
      </c>
      <c r="H34" s="99">
        <v>0.0</v>
      </c>
      <c r="I34" s="101">
        <v>0.797916666666665</v>
      </c>
      <c r="J34" s="101">
        <v>0.8006944444444428</v>
      </c>
      <c r="K34" s="101">
        <v>0.8083333333333317</v>
      </c>
      <c r="L34" s="101">
        <v>0.8118055555555539</v>
      </c>
      <c r="M34" s="101">
        <v>0.8152777777777761</v>
      </c>
      <c r="N34" s="99">
        <v>5.0</v>
      </c>
      <c r="O34" s="101">
        <v>0.8187499999999983</v>
      </c>
      <c r="P34" s="103">
        <v>41.99999999999983</v>
      </c>
      <c r="Q34" s="103">
        <v>47.99999999999983</v>
      </c>
      <c r="R34" s="103">
        <v>5.9999999999999964</v>
      </c>
      <c r="S34" s="104">
        <v>0.14285714285714335</v>
      </c>
      <c r="T34" s="142">
        <v>24.000000000000075</v>
      </c>
    </row>
    <row r="35" ht="13.5" customHeight="1">
      <c r="A35" s="127"/>
      <c r="B35" s="141" t="s">
        <v>79</v>
      </c>
      <c r="C35" s="101">
        <v>0.8020833333333316</v>
      </c>
      <c r="D35" s="101">
        <v>0.8083333333333316</v>
      </c>
      <c r="E35" s="99">
        <v>0.9999999999999964</v>
      </c>
      <c r="F35" s="101">
        <v>0.809027777777776</v>
      </c>
      <c r="G35" s="101">
        <v>0.8145833333333315</v>
      </c>
      <c r="H35" s="99">
        <v>0.0</v>
      </c>
      <c r="I35" s="101">
        <v>0.8145833333333315</v>
      </c>
      <c r="J35" s="101">
        <v>0.8173611111111093</v>
      </c>
      <c r="K35" s="101">
        <v>0.8249999999999982</v>
      </c>
      <c r="L35" s="101">
        <v>0.8284722222222204</v>
      </c>
      <c r="M35" s="101">
        <v>0.8319444444444426</v>
      </c>
      <c r="N35" s="99">
        <v>5.0</v>
      </c>
      <c r="O35" s="101">
        <v>0.8354166666666648</v>
      </c>
      <c r="P35" s="103">
        <v>41.99999999999983</v>
      </c>
      <c r="Q35" s="103">
        <v>47.99999999999983</v>
      </c>
      <c r="R35" s="103">
        <v>5.9999999999999964</v>
      </c>
      <c r="S35" s="104">
        <v>0.14285714285714335</v>
      </c>
      <c r="T35" s="142">
        <v>23.999999999999755</v>
      </c>
    </row>
    <row r="36" ht="13.5" customHeight="1">
      <c r="A36" s="127"/>
      <c r="B36" s="141" t="s">
        <v>79</v>
      </c>
      <c r="C36" s="101">
        <v>0.8187499999999983</v>
      </c>
      <c r="D36" s="101">
        <v>0.8249999999999983</v>
      </c>
      <c r="E36" s="99">
        <v>0.9999999999999964</v>
      </c>
      <c r="F36" s="101">
        <v>0.8256944444444427</v>
      </c>
      <c r="G36" s="101">
        <v>0.8312499999999983</v>
      </c>
      <c r="H36" s="99">
        <v>0.0</v>
      </c>
      <c r="I36" s="101">
        <v>0.8312499999999983</v>
      </c>
      <c r="J36" s="101">
        <v>0.834027777777776</v>
      </c>
      <c r="K36" s="101">
        <v>0.8416666666666649</v>
      </c>
      <c r="L36" s="101">
        <v>0.8451388888888871</v>
      </c>
      <c r="M36" s="101">
        <v>0.8486111111111093</v>
      </c>
      <c r="N36" s="99">
        <v>5.0</v>
      </c>
      <c r="O36" s="101">
        <v>0.8520833333333315</v>
      </c>
      <c r="P36" s="103">
        <v>41.99999999999983</v>
      </c>
      <c r="Q36" s="103">
        <v>47.99999999999983</v>
      </c>
      <c r="R36" s="103">
        <v>5.9999999999999964</v>
      </c>
      <c r="S36" s="104">
        <v>0.14285714285714335</v>
      </c>
      <c r="T36" s="142">
        <v>24.000000000000075</v>
      </c>
    </row>
    <row r="37" ht="13.5" customHeight="1">
      <c r="A37" s="127"/>
      <c r="B37" s="141" t="s">
        <v>79</v>
      </c>
      <c r="C37" s="101">
        <v>0.8354166666666648</v>
      </c>
      <c r="D37" s="101">
        <v>0.8416666666666648</v>
      </c>
      <c r="E37" s="99">
        <v>0.9999999999999964</v>
      </c>
      <c r="F37" s="101">
        <v>0.8423611111111092</v>
      </c>
      <c r="G37" s="101">
        <v>0.8479166666666648</v>
      </c>
      <c r="H37" s="99">
        <v>0.0</v>
      </c>
      <c r="I37" s="101">
        <v>0.8479166666666648</v>
      </c>
      <c r="J37" s="101">
        <v>0.8506944444444425</v>
      </c>
      <c r="K37" s="101">
        <v>0.8583333333333314</v>
      </c>
      <c r="L37" s="101">
        <v>0.8618055555555536</v>
      </c>
      <c r="M37" s="101">
        <v>0.8652777777777758</v>
      </c>
      <c r="N37" s="99">
        <v>5.0</v>
      </c>
      <c r="O37" s="101">
        <v>0.868749999999998</v>
      </c>
      <c r="P37" s="103">
        <v>41.99999999999983</v>
      </c>
      <c r="Q37" s="103">
        <v>47.99999999999983</v>
      </c>
      <c r="R37" s="103">
        <v>5.9999999999999964</v>
      </c>
      <c r="S37" s="104">
        <v>0.14285714285714335</v>
      </c>
      <c r="T37" s="142">
        <v>23.999999999999755</v>
      </c>
    </row>
    <row r="38" ht="13.5" customHeight="1">
      <c r="A38" s="127"/>
      <c r="B38" s="141" t="s">
        <v>98</v>
      </c>
      <c r="C38" s="101">
        <v>0.8520833333333315</v>
      </c>
      <c r="D38" s="101">
        <v>0.8569444444444426</v>
      </c>
      <c r="E38" s="99">
        <v>0.9999999999999964</v>
      </c>
      <c r="F38" s="101">
        <v>0.8576388888888871</v>
      </c>
      <c r="G38" s="101">
        <v>0.8631944444444426</v>
      </c>
      <c r="H38" s="99">
        <v>0.0</v>
      </c>
      <c r="I38" s="101">
        <v>0.8631944444444426</v>
      </c>
      <c r="J38" s="101">
        <v>0.8659722222222204</v>
      </c>
      <c r="K38" s="101">
        <v>0.8736111111111092</v>
      </c>
      <c r="L38" s="101">
        <v>0.8770833333333314</v>
      </c>
      <c r="M38" s="101">
        <v>0.8805555555555536</v>
      </c>
      <c r="N38" s="99">
        <v>7.0</v>
      </c>
      <c r="O38" s="101">
        <v>0.8854166666666647</v>
      </c>
      <c r="P38" s="103">
        <v>39.99999999999983</v>
      </c>
      <c r="Q38" s="103">
        <v>47.99999999999983</v>
      </c>
      <c r="R38" s="103">
        <v>7.9999999999999964</v>
      </c>
      <c r="S38" s="104">
        <v>0.20000000000000076</v>
      </c>
      <c r="T38" s="142">
        <v>24.000000000000075</v>
      </c>
    </row>
    <row r="39" ht="13.5" customHeight="1">
      <c r="A39" s="127"/>
      <c r="B39" s="141" t="s">
        <v>98</v>
      </c>
      <c r="C39" s="101">
        <v>0.868749999999998</v>
      </c>
      <c r="D39" s="101">
        <v>0.8736111111111091</v>
      </c>
      <c r="E39" s="99">
        <v>0.9999999999999964</v>
      </c>
      <c r="F39" s="101">
        <v>0.8743055555555536</v>
      </c>
      <c r="G39" s="101">
        <v>0.8798611111111091</v>
      </c>
      <c r="H39" s="99">
        <v>0.0</v>
      </c>
      <c r="I39" s="101">
        <v>0.8798611111111091</v>
      </c>
      <c r="J39" s="101">
        <v>0.8826388888888869</v>
      </c>
      <c r="K39" s="101">
        <v>0.8902777777777757</v>
      </c>
      <c r="L39" s="101">
        <v>0.8937499999999979</v>
      </c>
      <c r="M39" s="101">
        <v>0.8972222222222201</v>
      </c>
      <c r="N39" s="99"/>
      <c r="O39" s="155"/>
      <c r="P39" s="103">
        <v>39.99999999999986</v>
      </c>
      <c r="Q39" s="103">
        <v>40.99999999999986</v>
      </c>
      <c r="R39" s="103">
        <v>0.9999999999999964</v>
      </c>
      <c r="S39" s="104">
        <v>0.025</v>
      </c>
      <c r="T39" s="142">
        <v>23.999999999999755</v>
      </c>
    </row>
    <row r="40" ht="13.5" customHeight="1">
      <c r="A40" s="127"/>
      <c r="B40" s="141" t="s">
        <v>98</v>
      </c>
      <c r="C40" s="101">
        <v>0.8854166666666647</v>
      </c>
      <c r="D40" s="101">
        <v>0.8902777777777758</v>
      </c>
      <c r="E40" s="99">
        <v>0.9999999999999964</v>
      </c>
      <c r="F40" s="101">
        <v>0.8909722222222203</v>
      </c>
      <c r="G40" s="101">
        <v>0.8965277777777758</v>
      </c>
      <c r="H40" s="99">
        <v>0.0</v>
      </c>
      <c r="I40" s="101">
        <v>0.8965277777777758</v>
      </c>
      <c r="J40" s="101">
        <v>0.8993055555555536</v>
      </c>
      <c r="K40" s="101">
        <v>0.9069444444444424</v>
      </c>
      <c r="L40" s="101">
        <v>0.9104166666666647</v>
      </c>
      <c r="M40" s="101">
        <v>0.9138888888888869</v>
      </c>
      <c r="N40" s="99">
        <v>4.0</v>
      </c>
      <c r="O40" s="101">
        <v>0.9166666666666646</v>
      </c>
      <c r="P40" s="103">
        <v>39.999999999999844</v>
      </c>
      <c r="Q40" s="103">
        <v>44.999999999999844</v>
      </c>
      <c r="R40" s="103">
        <v>4.9999999999999964</v>
      </c>
      <c r="S40" s="104">
        <v>0.1250000000000004</v>
      </c>
      <c r="T40" s="142">
        <v>24.000000000000075</v>
      </c>
    </row>
    <row r="41" ht="13.5" customHeight="1">
      <c r="A41" s="127"/>
      <c r="B41" s="141" t="s">
        <v>98</v>
      </c>
      <c r="C41" s="101">
        <v>0.9166666666666646</v>
      </c>
      <c r="D41" s="101">
        <v>0.9215277777777757</v>
      </c>
      <c r="E41" s="99">
        <v>0.9999999999999964</v>
      </c>
      <c r="F41" s="101">
        <v>0.9222222222222202</v>
      </c>
      <c r="G41" s="101">
        <v>0.9277777777777757</v>
      </c>
      <c r="H41" s="99">
        <v>0.0</v>
      </c>
      <c r="I41" s="101">
        <v>0.9277777777777757</v>
      </c>
      <c r="J41" s="101">
        <v>0.9305555555555535</v>
      </c>
      <c r="K41" s="101">
        <v>0.9381944444444423</v>
      </c>
      <c r="L41" s="101">
        <v>0.9416666666666645</v>
      </c>
      <c r="M41" s="101">
        <v>0.9451388888888868</v>
      </c>
      <c r="N41" s="99"/>
      <c r="O41" s="155">
        <v>0.9451388888888868</v>
      </c>
      <c r="P41" s="103">
        <v>39.99999999999986</v>
      </c>
      <c r="Q41" s="103">
        <v>40.99999999999986</v>
      </c>
      <c r="R41" s="103">
        <v>0.9999999999999964</v>
      </c>
      <c r="S41" s="104">
        <v>0.025</v>
      </c>
      <c r="T41" s="142">
        <v>44.999999999999844</v>
      </c>
    </row>
    <row r="42" ht="13.5" customHeight="1">
      <c r="A42" s="156"/>
      <c r="M42" s="110" t="s">
        <v>81</v>
      </c>
      <c r="P42" s="157">
        <v>25.99999999999988</v>
      </c>
      <c r="Q42" s="164">
        <v>29.68333333333321</v>
      </c>
      <c r="R42" s="159">
        <v>3.6833333333333327</v>
      </c>
      <c r="S42" s="104">
        <v>0.1416666666666673</v>
      </c>
    </row>
    <row r="43" ht="13.5" customHeight="1">
      <c r="A43" s="123" t="s">
        <v>82</v>
      </c>
      <c r="B43" s="118"/>
      <c r="C43" s="160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</row>
    <row r="44" ht="13.5" customHeight="1">
      <c r="A44" s="127"/>
      <c r="B44" s="73"/>
      <c r="C44" s="124" t="s">
        <v>83</v>
      </c>
      <c r="D44" s="162" t="s">
        <v>100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</row>
    <row r="45" ht="13.5" customHeight="1">
      <c r="A45" s="127"/>
      <c r="B45" s="73"/>
      <c r="C45" s="128" t="s">
        <v>62</v>
      </c>
      <c r="D45" s="128" t="s">
        <v>85</v>
      </c>
      <c r="E45" s="85"/>
      <c r="F45" s="128" t="s">
        <v>62</v>
      </c>
      <c r="G45" s="128" t="s">
        <v>85</v>
      </c>
      <c r="H45" s="85"/>
      <c r="I45" s="128" t="s">
        <v>62</v>
      </c>
      <c r="J45" s="128" t="s">
        <v>62</v>
      </c>
      <c r="K45" s="128" t="s">
        <v>62</v>
      </c>
      <c r="L45" s="128" t="s">
        <v>62</v>
      </c>
      <c r="M45" s="128" t="s">
        <v>85</v>
      </c>
      <c r="N45" s="85"/>
      <c r="O45" s="128" t="s">
        <v>62</v>
      </c>
      <c r="P45" s="129"/>
      <c r="Q45" s="129"/>
      <c r="R45" s="129"/>
    </row>
    <row r="46" ht="13.5" customHeight="1">
      <c r="A46" s="127"/>
      <c r="B46" s="89" t="s">
        <v>63</v>
      </c>
      <c r="C46" s="130" t="s">
        <v>86</v>
      </c>
      <c r="D46" s="131" t="s">
        <v>101</v>
      </c>
      <c r="E46" s="132"/>
      <c r="F46" s="131" t="s">
        <v>101</v>
      </c>
      <c r="G46" s="131" t="s">
        <v>68</v>
      </c>
      <c r="H46" s="132"/>
      <c r="I46" s="131" t="s">
        <v>68</v>
      </c>
      <c r="J46" s="130" t="s">
        <v>70</v>
      </c>
      <c r="K46" s="131" t="s">
        <v>87</v>
      </c>
      <c r="L46" s="130" t="s">
        <v>71</v>
      </c>
      <c r="M46" s="131" t="s">
        <v>86</v>
      </c>
      <c r="N46" s="132"/>
      <c r="O46" s="133" t="s">
        <v>86</v>
      </c>
      <c r="P46" s="134"/>
      <c r="Q46" s="134"/>
      <c r="R46" s="134"/>
    </row>
    <row r="47" ht="13.5" customHeight="1">
      <c r="A47" s="127"/>
      <c r="B47" s="89" t="s">
        <v>72</v>
      </c>
      <c r="C47" s="130">
        <v>1.0</v>
      </c>
      <c r="D47" s="128">
        <v>400.0</v>
      </c>
      <c r="E47" s="136" t="s">
        <v>69</v>
      </c>
      <c r="F47" s="128">
        <v>400.0</v>
      </c>
      <c r="G47" s="128">
        <v>569.0</v>
      </c>
      <c r="H47" s="136" t="s">
        <v>69</v>
      </c>
      <c r="I47" s="128">
        <v>569.0</v>
      </c>
      <c r="J47" s="128">
        <v>330.0</v>
      </c>
      <c r="K47" s="128">
        <v>441.0</v>
      </c>
      <c r="L47" s="128">
        <v>64.0</v>
      </c>
      <c r="M47" s="128">
        <v>1.0</v>
      </c>
      <c r="N47" s="136" t="s">
        <v>69</v>
      </c>
      <c r="O47" s="138">
        <v>1.0</v>
      </c>
      <c r="P47" s="139" t="s">
        <v>73</v>
      </c>
      <c r="Q47" s="139" t="s">
        <v>74</v>
      </c>
      <c r="R47" s="139" t="s">
        <v>69</v>
      </c>
      <c r="S47" s="104" t="s">
        <v>75</v>
      </c>
      <c r="T47" s="140" t="s">
        <v>76</v>
      </c>
    </row>
    <row r="48" ht="13.5" customHeight="1">
      <c r="A48" s="127"/>
      <c r="B48" s="39" t="s">
        <v>77</v>
      </c>
      <c r="C48" s="100">
        <v>0.3020833333333333</v>
      </c>
      <c r="D48" s="101">
        <v>0.3069444444444444</v>
      </c>
      <c r="E48" s="99">
        <v>0.9999999999999964</v>
      </c>
      <c r="F48" s="101">
        <v>0.30763888888888885</v>
      </c>
      <c r="G48" s="101">
        <v>0.31249999999999994</v>
      </c>
      <c r="H48" s="99">
        <v>0.0</v>
      </c>
      <c r="I48" s="101">
        <v>0.31249999999999994</v>
      </c>
      <c r="J48" s="101">
        <v>0.3152777777777777</v>
      </c>
      <c r="K48" s="101">
        <v>0.3229166666666666</v>
      </c>
      <c r="L48" s="101">
        <v>0.3263888888888888</v>
      </c>
      <c r="M48" s="101">
        <v>0.329861111111111</v>
      </c>
      <c r="N48" s="99">
        <v>5.0</v>
      </c>
      <c r="O48" s="101">
        <v>0.3333333333333332</v>
      </c>
      <c r="P48" s="103">
        <v>38.999999999999844</v>
      </c>
      <c r="Q48" s="103">
        <v>44.999999999999844</v>
      </c>
      <c r="R48" s="103">
        <v>5.9999999999999964</v>
      </c>
      <c r="S48" s="104">
        <v>0.15384615384615438</v>
      </c>
      <c r="T48" s="142"/>
    </row>
    <row r="49" ht="13.5" customHeight="1">
      <c r="A49" s="127"/>
      <c r="B49" s="39" t="s">
        <v>77</v>
      </c>
      <c r="C49" s="101">
        <v>0.3333333333333333</v>
      </c>
      <c r="D49" s="101">
        <v>0.3381944444444444</v>
      </c>
      <c r="E49" s="99">
        <v>0.9999999999999964</v>
      </c>
      <c r="F49" s="101">
        <v>0.33888888888888885</v>
      </c>
      <c r="G49" s="101">
        <v>0.34374999999999994</v>
      </c>
      <c r="H49" s="99">
        <v>0.0</v>
      </c>
      <c r="I49" s="101">
        <v>0.34374999999999994</v>
      </c>
      <c r="J49" s="101">
        <v>0.3465277777777777</v>
      </c>
      <c r="K49" s="101">
        <v>0.3541666666666666</v>
      </c>
      <c r="L49" s="101">
        <v>0.3576388888888888</v>
      </c>
      <c r="M49" s="101">
        <v>0.361111111111111</v>
      </c>
      <c r="N49" s="99">
        <v>5.0</v>
      </c>
      <c r="O49" s="101">
        <v>0.3645833333333332</v>
      </c>
      <c r="P49" s="103">
        <v>38.999999999999844</v>
      </c>
      <c r="Q49" s="103">
        <v>44.999999999999844</v>
      </c>
      <c r="R49" s="103">
        <v>5.9999999999999964</v>
      </c>
      <c r="S49" s="104">
        <v>0.15384615384615438</v>
      </c>
      <c r="T49" s="142">
        <v>45.0</v>
      </c>
    </row>
    <row r="50" ht="13.5" customHeight="1">
      <c r="A50" s="127"/>
      <c r="B50" s="39" t="s">
        <v>77</v>
      </c>
      <c r="C50" s="100">
        <v>0.3486111111111111</v>
      </c>
      <c r="D50" s="101">
        <v>0.3534722222222222</v>
      </c>
      <c r="E50" s="99">
        <v>0.9999999999999964</v>
      </c>
      <c r="F50" s="101">
        <v>0.35416666666666663</v>
      </c>
      <c r="G50" s="101">
        <v>0.3590277777777777</v>
      </c>
      <c r="H50" s="99">
        <v>0.0</v>
      </c>
      <c r="I50" s="101">
        <v>0.3590277777777777</v>
      </c>
      <c r="J50" s="101">
        <v>0.3618055555555555</v>
      </c>
      <c r="K50" s="101">
        <v>0.36944444444444435</v>
      </c>
      <c r="L50" s="101">
        <v>0.37291666666666656</v>
      </c>
      <c r="M50" s="101">
        <v>0.3763888888888888</v>
      </c>
      <c r="N50" s="99">
        <v>5.0</v>
      </c>
      <c r="O50" s="101">
        <v>0.379861111111111</v>
      </c>
      <c r="P50" s="103">
        <v>38.999999999999844</v>
      </c>
      <c r="Q50" s="103">
        <v>44.999999999999844</v>
      </c>
      <c r="R50" s="103">
        <v>5.9999999999999964</v>
      </c>
      <c r="S50" s="104">
        <v>0.15384615384615438</v>
      </c>
      <c r="T50" s="142">
        <v>22.0</v>
      </c>
    </row>
    <row r="51" ht="13.5" customHeight="1">
      <c r="A51" s="127"/>
      <c r="B51" s="39" t="s">
        <v>77</v>
      </c>
      <c r="C51" s="101">
        <v>0.3645833333333332</v>
      </c>
      <c r="D51" s="101">
        <v>0.3694444444444443</v>
      </c>
      <c r="E51" s="99">
        <v>0.9999999999999964</v>
      </c>
      <c r="F51" s="101">
        <v>0.37013888888888874</v>
      </c>
      <c r="G51" s="101">
        <v>0.37499999999999983</v>
      </c>
      <c r="H51" s="99">
        <v>0.0</v>
      </c>
      <c r="I51" s="101">
        <v>0.37499999999999983</v>
      </c>
      <c r="J51" s="101">
        <v>0.3777777777777776</v>
      </c>
      <c r="K51" s="101">
        <v>0.38541666666666646</v>
      </c>
      <c r="L51" s="101">
        <v>0.3888888888888887</v>
      </c>
      <c r="M51" s="101">
        <v>0.3923611111111109</v>
      </c>
      <c r="N51" s="99">
        <v>5.0</v>
      </c>
      <c r="O51" s="101">
        <v>0.3958333333333331</v>
      </c>
      <c r="P51" s="103">
        <v>38.999999999999844</v>
      </c>
      <c r="Q51" s="103">
        <v>44.999999999999844</v>
      </c>
      <c r="R51" s="103">
        <v>5.9999999999999964</v>
      </c>
      <c r="S51" s="104">
        <v>0.15384615384615438</v>
      </c>
      <c r="T51" s="142">
        <v>22.999999999999837</v>
      </c>
    </row>
    <row r="52" ht="13.5" customHeight="1">
      <c r="A52" s="127"/>
      <c r="B52" s="39" t="s">
        <v>77</v>
      </c>
      <c r="C52" s="101">
        <v>0.379861111111111</v>
      </c>
      <c r="D52" s="101">
        <v>0.3847222222222221</v>
      </c>
      <c r="E52" s="99">
        <v>0.9999999999999964</v>
      </c>
      <c r="F52" s="101">
        <v>0.3854166666666665</v>
      </c>
      <c r="G52" s="101">
        <v>0.3902777777777776</v>
      </c>
      <c r="H52" s="99">
        <v>0.0</v>
      </c>
      <c r="I52" s="101">
        <v>0.3902777777777776</v>
      </c>
      <c r="J52" s="101">
        <v>0.3930555555555554</v>
      </c>
      <c r="K52" s="101">
        <v>0.40069444444444424</v>
      </c>
      <c r="L52" s="101">
        <v>0.40416666666666645</v>
      </c>
      <c r="M52" s="101">
        <v>0.40763888888888866</v>
      </c>
      <c r="N52" s="99">
        <v>5.0</v>
      </c>
      <c r="O52" s="101">
        <v>0.41111111111111087</v>
      </c>
      <c r="P52" s="103">
        <v>38.999999999999844</v>
      </c>
      <c r="Q52" s="103">
        <v>44.999999999999844</v>
      </c>
      <c r="R52" s="103">
        <v>5.9999999999999964</v>
      </c>
      <c r="S52" s="104">
        <v>0.15384615384615438</v>
      </c>
      <c r="T52" s="142">
        <v>22.0</v>
      </c>
    </row>
    <row r="53" ht="13.5" customHeight="1">
      <c r="A53" s="127"/>
      <c r="B53" s="141" t="s">
        <v>77</v>
      </c>
      <c r="C53" s="101">
        <v>0.3958333333333331</v>
      </c>
      <c r="D53" s="101">
        <v>0.4006944444444442</v>
      </c>
      <c r="E53" s="99">
        <v>0.9999999999999964</v>
      </c>
      <c r="F53" s="101">
        <v>0.40138888888888863</v>
      </c>
      <c r="G53" s="101">
        <v>0.4062499999999997</v>
      </c>
      <c r="H53" s="99">
        <v>0.0</v>
      </c>
      <c r="I53" s="101">
        <v>0.4062499999999997</v>
      </c>
      <c r="J53" s="101">
        <v>0.4090277777777775</v>
      </c>
      <c r="K53" s="101">
        <v>0.41666666666666635</v>
      </c>
      <c r="L53" s="101">
        <v>0.42013888888888856</v>
      </c>
      <c r="M53" s="101">
        <v>0.42361111111111077</v>
      </c>
      <c r="N53" s="99">
        <v>5.0</v>
      </c>
      <c r="O53" s="101">
        <v>0.427083333333333</v>
      </c>
      <c r="P53" s="103">
        <v>38.999999999999844</v>
      </c>
      <c r="Q53" s="103">
        <v>44.999999999999844</v>
      </c>
      <c r="R53" s="103">
        <v>5.9999999999999964</v>
      </c>
      <c r="S53" s="104">
        <v>0.15384615384615438</v>
      </c>
      <c r="T53" s="142">
        <v>22.999999999999837</v>
      </c>
    </row>
    <row r="54" ht="13.5" customHeight="1">
      <c r="A54" s="127"/>
      <c r="B54" s="141" t="s">
        <v>77</v>
      </c>
      <c r="C54" s="101">
        <v>0.41111111111111087</v>
      </c>
      <c r="D54" s="101">
        <v>0.41597222222222197</v>
      </c>
      <c r="E54" s="99">
        <v>0.9999999999999964</v>
      </c>
      <c r="F54" s="101">
        <v>0.4166666666666664</v>
      </c>
      <c r="G54" s="101">
        <v>0.4215277777777775</v>
      </c>
      <c r="H54" s="99">
        <v>0.0</v>
      </c>
      <c r="I54" s="101">
        <v>0.4215277777777775</v>
      </c>
      <c r="J54" s="101">
        <v>0.42430555555555527</v>
      </c>
      <c r="K54" s="101">
        <v>0.43194444444444413</v>
      </c>
      <c r="L54" s="101">
        <v>0.43541666666666634</v>
      </c>
      <c r="M54" s="101">
        <v>0.43888888888888855</v>
      </c>
      <c r="N54" s="99">
        <v>5.0</v>
      </c>
      <c r="O54" s="101">
        <v>0.44236111111111076</v>
      </c>
      <c r="P54" s="103">
        <v>38.999999999999844</v>
      </c>
      <c r="Q54" s="103">
        <v>44.999999999999844</v>
      </c>
      <c r="R54" s="103">
        <v>5.9999999999999964</v>
      </c>
      <c r="S54" s="104">
        <v>0.15384615384615438</v>
      </c>
      <c r="T54" s="142">
        <v>22.0</v>
      </c>
    </row>
    <row r="55" ht="13.5" customHeight="1">
      <c r="A55" s="127"/>
      <c r="B55" s="141" t="s">
        <v>77</v>
      </c>
      <c r="C55" s="101">
        <v>0.427083333333333</v>
      </c>
      <c r="D55" s="101">
        <v>0.4319444444444441</v>
      </c>
      <c r="E55" s="99">
        <v>0.9999999999999964</v>
      </c>
      <c r="F55" s="101">
        <v>0.4326388888888885</v>
      </c>
      <c r="G55" s="101">
        <v>0.4374999999999996</v>
      </c>
      <c r="H55" s="99">
        <v>0.0</v>
      </c>
      <c r="I55" s="101">
        <v>0.4374999999999996</v>
      </c>
      <c r="J55" s="101">
        <v>0.4402777777777774</v>
      </c>
      <c r="K55" s="101">
        <v>0.44791666666666624</v>
      </c>
      <c r="L55" s="101">
        <v>0.45138888888888845</v>
      </c>
      <c r="M55" s="101">
        <v>0.45486111111111066</v>
      </c>
      <c r="N55" s="99">
        <v>5.0</v>
      </c>
      <c r="O55" s="101">
        <v>0.45833333333333287</v>
      </c>
      <c r="P55" s="103">
        <v>38.999999999999844</v>
      </c>
      <c r="Q55" s="103">
        <v>44.999999999999844</v>
      </c>
      <c r="R55" s="103">
        <v>5.9999999999999964</v>
      </c>
      <c r="S55" s="104">
        <v>0.15384615384615438</v>
      </c>
      <c r="T55" s="142">
        <v>22.999999999999837</v>
      </c>
    </row>
    <row r="56" ht="13.5" customHeight="1">
      <c r="A56" s="127"/>
      <c r="B56" s="141" t="s">
        <v>77</v>
      </c>
      <c r="C56" s="101">
        <v>0.44236111111111076</v>
      </c>
      <c r="D56" s="101">
        <v>0.44722222222222185</v>
      </c>
      <c r="E56" s="99">
        <v>0.9999999999999964</v>
      </c>
      <c r="F56" s="101">
        <v>0.4479166666666663</v>
      </c>
      <c r="G56" s="101">
        <v>0.4527777777777774</v>
      </c>
      <c r="H56" s="99">
        <v>0.0</v>
      </c>
      <c r="I56" s="101">
        <v>0.4527777777777774</v>
      </c>
      <c r="J56" s="101">
        <v>0.45555555555555516</v>
      </c>
      <c r="K56" s="101">
        <v>0.463194444444444</v>
      </c>
      <c r="L56" s="101">
        <v>0.46666666666666623</v>
      </c>
      <c r="M56" s="101">
        <v>0.47013888888888844</v>
      </c>
      <c r="N56" s="99">
        <v>5.0</v>
      </c>
      <c r="O56" s="101">
        <v>0.47361111111111065</v>
      </c>
      <c r="P56" s="103">
        <v>38.999999999999844</v>
      </c>
      <c r="Q56" s="103">
        <v>44.999999999999844</v>
      </c>
      <c r="R56" s="103">
        <v>5.9999999999999964</v>
      </c>
      <c r="S56" s="104">
        <v>0.15384615384615438</v>
      </c>
      <c r="T56" s="142">
        <v>22.0</v>
      </c>
    </row>
    <row r="57" ht="13.5" customHeight="1">
      <c r="A57" s="127"/>
      <c r="B57" s="141" t="s">
        <v>77</v>
      </c>
      <c r="C57" s="101">
        <v>0.45833333333333287</v>
      </c>
      <c r="D57" s="101">
        <v>0.46319444444444396</v>
      </c>
      <c r="E57" s="99">
        <v>0.9999999999999964</v>
      </c>
      <c r="F57" s="101">
        <v>0.4638888888888884</v>
      </c>
      <c r="G57" s="101">
        <v>0.4687499999999995</v>
      </c>
      <c r="H57" s="99">
        <v>0.0</v>
      </c>
      <c r="I57" s="101">
        <v>0.4687499999999995</v>
      </c>
      <c r="J57" s="101">
        <v>0.47152777777777727</v>
      </c>
      <c r="K57" s="101">
        <v>0.47916666666666613</v>
      </c>
      <c r="L57" s="101">
        <v>0.48263888888888834</v>
      </c>
      <c r="M57" s="101">
        <v>0.48611111111111055</v>
      </c>
      <c r="N57" s="99">
        <v>5.0</v>
      </c>
      <c r="O57" s="101">
        <v>0.48958333333333276</v>
      </c>
      <c r="P57" s="103">
        <v>38.999999999999844</v>
      </c>
      <c r="Q57" s="103">
        <v>44.999999999999844</v>
      </c>
      <c r="R57" s="103">
        <v>5.9999999999999964</v>
      </c>
      <c r="S57" s="104">
        <v>0.15384615384615438</v>
      </c>
      <c r="T57" s="142">
        <v>22.999999999999837</v>
      </c>
    </row>
    <row r="58" ht="13.5" customHeight="1">
      <c r="A58" s="127"/>
      <c r="B58" s="141" t="s">
        <v>77</v>
      </c>
      <c r="C58" s="101">
        <v>0.47361111111111065</v>
      </c>
      <c r="D58" s="101">
        <v>0.47847222222222174</v>
      </c>
      <c r="E58" s="99">
        <v>0.9999999999999964</v>
      </c>
      <c r="F58" s="101">
        <v>0.4791666666666662</v>
      </c>
      <c r="G58" s="101">
        <v>0.4840277777777773</v>
      </c>
      <c r="H58" s="99">
        <v>0.0</v>
      </c>
      <c r="I58" s="101">
        <v>0.4840277777777773</v>
      </c>
      <c r="J58" s="101">
        <v>0.48680555555555505</v>
      </c>
      <c r="K58" s="101">
        <v>0.4944444444444439</v>
      </c>
      <c r="L58" s="101">
        <v>0.4979166666666661</v>
      </c>
      <c r="M58" s="101">
        <v>0.5013888888888883</v>
      </c>
      <c r="N58" s="99">
        <v>5.0</v>
      </c>
      <c r="O58" s="101">
        <v>0.5048611111111105</v>
      </c>
      <c r="P58" s="103">
        <v>38.999999999999844</v>
      </c>
      <c r="Q58" s="103">
        <v>44.999999999999844</v>
      </c>
      <c r="R58" s="103">
        <v>5.9999999999999964</v>
      </c>
      <c r="S58" s="104">
        <v>0.15384615384615438</v>
      </c>
      <c r="T58" s="142">
        <v>22.0</v>
      </c>
    </row>
    <row r="59" ht="13.5" customHeight="1">
      <c r="A59" s="127"/>
      <c r="B59" s="141" t="s">
        <v>77</v>
      </c>
      <c r="C59" s="101">
        <v>0.48958333333333276</v>
      </c>
      <c r="D59" s="101">
        <v>0.49444444444444385</v>
      </c>
      <c r="E59" s="99">
        <v>0.9999999999999964</v>
      </c>
      <c r="F59" s="101">
        <v>0.4951388888888883</v>
      </c>
      <c r="G59" s="101">
        <v>0.4999999999999994</v>
      </c>
      <c r="H59" s="99">
        <v>0.0</v>
      </c>
      <c r="I59" s="101">
        <v>0.4999999999999994</v>
      </c>
      <c r="J59" s="101">
        <v>0.5027777777777772</v>
      </c>
      <c r="K59" s="101">
        <v>0.5104166666666661</v>
      </c>
      <c r="L59" s="101">
        <v>0.5138888888888883</v>
      </c>
      <c r="M59" s="101">
        <v>0.5173611111111105</v>
      </c>
      <c r="N59" s="99">
        <v>5.0</v>
      </c>
      <c r="O59" s="101">
        <v>0.5208333333333327</v>
      </c>
      <c r="P59" s="103">
        <v>38.99999999999993</v>
      </c>
      <c r="Q59" s="103">
        <v>44.99999999999992</v>
      </c>
      <c r="R59" s="103">
        <v>5.9999999999999964</v>
      </c>
      <c r="S59" s="104">
        <v>0.15384615384615405</v>
      </c>
      <c r="T59" s="142">
        <v>22.99999999999992</v>
      </c>
    </row>
    <row r="60" ht="13.5" customHeight="1">
      <c r="A60" s="127"/>
      <c r="B60" s="141" t="s">
        <v>77</v>
      </c>
      <c r="C60" s="101">
        <v>0.5048611111111105</v>
      </c>
      <c r="D60" s="101">
        <v>0.5097222222222216</v>
      </c>
      <c r="E60" s="99">
        <v>0.9999999999999964</v>
      </c>
      <c r="F60" s="101">
        <v>0.5104166666666661</v>
      </c>
      <c r="G60" s="101">
        <v>0.5152777777777772</v>
      </c>
      <c r="H60" s="99">
        <v>0.0</v>
      </c>
      <c r="I60" s="101">
        <v>0.5152777777777772</v>
      </c>
      <c r="J60" s="101">
        <v>0.5180555555555549</v>
      </c>
      <c r="K60" s="101">
        <v>0.5256944444444438</v>
      </c>
      <c r="L60" s="101">
        <v>0.529166666666666</v>
      </c>
      <c r="M60" s="101">
        <v>0.5326388888888882</v>
      </c>
      <c r="N60" s="99">
        <v>5.0</v>
      </c>
      <c r="O60" s="101">
        <v>0.5361111111111104</v>
      </c>
      <c r="P60" s="103">
        <v>38.999999999999844</v>
      </c>
      <c r="Q60" s="103">
        <v>44.999999999999844</v>
      </c>
      <c r="R60" s="103">
        <v>5.9999999999999964</v>
      </c>
      <c r="S60" s="104">
        <v>0.15384615384615438</v>
      </c>
      <c r="T60" s="142">
        <v>21.999999999999922</v>
      </c>
    </row>
    <row r="61" ht="13.5" customHeight="1">
      <c r="A61" s="127"/>
      <c r="B61" s="141" t="s">
        <v>77</v>
      </c>
      <c r="C61" s="101">
        <v>0.5208333333333327</v>
      </c>
      <c r="D61" s="101">
        <v>0.5256944444444438</v>
      </c>
      <c r="E61" s="99">
        <v>0.9999999999999964</v>
      </c>
      <c r="F61" s="101">
        <v>0.5263888888888882</v>
      </c>
      <c r="G61" s="101">
        <v>0.5312499999999993</v>
      </c>
      <c r="H61" s="99">
        <v>0.0</v>
      </c>
      <c r="I61" s="101">
        <v>0.5312499999999993</v>
      </c>
      <c r="J61" s="101">
        <v>0.5340277777777771</v>
      </c>
      <c r="K61" s="101">
        <v>0.541666666666666</v>
      </c>
      <c r="L61" s="101">
        <v>0.5451388888888882</v>
      </c>
      <c r="M61" s="101">
        <v>0.5486111111111104</v>
      </c>
      <c r="N61" s="99">
        <v>7.0</v>
      </c>
      <c r="O61" s="101">
        <v>0.5534722222222215</v>
      </c>
      <c r="P61" s="103">
        <v>38.99999999999983</v>
      </c>
      <c r="Q61" s="103">
        <v>46.99999999999983</v>
      </c>
      <c r="R61" s="103">
        <v>7.9999999999999964</v>
      </c>
      <c r="S61" s="104">
        <v>0.20512820512820593</v>
      </c>
      <c r="T61" s="142">
        <v>24.99999999999991</v>
      </c>
    </row>
    <row r="62" ht="13.5" customHeight="1">
      <c r="A62" s="127"/>
      <c r="B62" s="141" t="s">
        <v>78</v>
      </c>
      <c r="C62" s="101">
        <v>0.5361111111111104</v>
      </c>
      <c r="D62" s="101">
        <v>0.5423611111111104</v>
      </c>
      <c r="E62" s="99">
        <v>0.9999999999999964</v>
      </c>
      <c r="F62" s="101">
        <v>0.5430555555555548</v>
      </c>
      <c r="G62" s="101">
        <v>0.5486111111111104</v>
      </c>
      <c r="H62" s="99">
        <v>0.0</v>
      </c>
      <c r="I62" s="101">
        <v>0.5486111111111104</v>
      </c>
      <c r="J62" s="101">
        <v>0.5513888888888882</v>
      </c>
      <c r="K62" s="101">
        <v>0.5597222222222215</v>
      </c>
      <c r="L62" s="101">
        <v>0.5645833333333325</v>
      </c>
      <c r="M62" s="101">
        <v>0.5680555555555548</v>
      </c>
      <c r="N62" s="99">
        <v>4.0</v>
      </c>
      <c r="O62" s="101">
        <v>0.5708333333333325</v>
      </c>
      <c r="P62" s="103">
        <v>44.99999999999983</v>
      </c>
      <c r="Q62" s="103">
        <v>49.99999999999982</v>
      </c>
      <c r="R62" s="103">
        <v>4.9999999999999964</v>
      </c>
      <c r="S62" s="104">
        <v>0.11111111111111145</v>
      </c>
      <c r="T62" s="142">
        <v>24.99999999999991</v>
      </c>
    </row>
    <row r="63" ht="13.5" customHeight="1">
      <c r="A63" s="127"/>
      <c r="B63" s="141" t="s">
        <v>78</v>
      </c>
      <c r="C63" s="101">
        <v>0.5534722222222215</v>
      </c>
      <c r="D63" s="101">
        <v>0.5597222222222215</v>
      </c>
      <c r="E63" s="99">
        <v>0.9999999999999964</v>
      </c>
      <c r="F63" s="101">
        <v>0.5604166666666659</v>
      </c>
      <c r="G63" s="101">
        <v>0.5659722222222214</v>
      </c>
      <c r="H63" s="99">
        <v>0.0</v>
      </c>
      <c r="I63" s="101">
        <v>0.5659722222222214</v>
      </c>
      <c r="J63" s="101">
        <v>0.5687499999999992</v>
      </c>
      <c r="K63" s="101">
        <v>0.5770833333333325</v>
      </c>
      <c r="L63" s="101">
        <v>0.5819444444444436</v>
      </c>
      <c r="M63" s="101">
        <v>0.5854166666666658</v>
      </c>
      <c r="N63" s="99">
        <v>5.0</v>
      </c>
      <c r="O63" s="101">
        <v>0.588888888888888</v>
      </c>
      <c r="P63" s="103">
        <v>44.999999999999815</v>
      </c>
      <c r="Q63" s="103">
        <v>50.999999999999815</v>
      </c>
      <c r="R63" s="103">
        <v>5.9999999999999964</v>
      </c>
      <c r="S63" s="104">
        <v>0.1333333333333338</v>
      </c>
      <c r="T63" s="142">
        <v>25.999999999999908</v>
      </c>
    </row>
    <row r="64" ht="13.5" customHeight="1">
      <c r="A64" s="127"/>
      <c r="B64" s="141" t="s">
        <v>78</v>
      </c>
      <c r="C64" s="101">
        <v>0.5708333333333325</v>
      </c>
      <c r="D64" s="101">
        <v>0.5770833333333325</v>
      </c>
      <c r="E64" s="99">
        <v>0.9999999999999964</v>
      </c>
      <c r="F64" s="101">
        <v>0.577777777777777</v>
      </c>
      <c r="G64" s="101">
        <v>0.5833333333333325</v>
      </c>
      <c r="H64" s="99">
        <v>0.0</v>
      </c>
      <c r="I64" s="101">
        <v>0.5833333333333325</v>
      </c>
      <c r="J64" s="101">
        <v>0.5861111111111103</v>
      </c>
      <c r="K64" s="101">
        <v>0.5944444444444436</v>
      </c>
      <c r="L64" s="101">
        <v>0.5993055555555546</v>
      </c>
      <c r="M64" s="101">
        <v>0.6027777777777769</v>
      </c>
      <c r="N64" s="99">
        <v>7.0</v>
      </c>
      <c r="O64" s="101">
        <v>0.607638888888888</v>
      </c>
      <c r="P64" s="103">
        <v>44.999999999999815</v>
      </c>
      <c r="Q64" s="103">
        <v>52.999999999999815</v>
      </c>
      <c r="R64" s="103">
        <v>7.9999999999999964</v>
      </c>
      <c r="S64" s="104">
        <v>0.17777777777777842</v>
      </c>
      <c r="T64" s="142">
        <v>26.999999999999904</v>
      </c>
    </row>
    <row r="65" ht="13.5" customHeight="1">
      <c r="A65" s="127"/>
      <c r="B65" s="141" t="s">
        <v>78</v>
      </c>
      <c r="C65" s="101">
        <v>0.588888888888888</v>
      </c>
      <c r="D65" s="101">
        <v>0.595138888888888</v>
      </c>
      <c r="E65" s="99">
        <v>0.9999999999999964</v>
      </c>
      <c r="F65" s="101">
        <v>0.5958333333333324</v>
      </c>
      <c r="G65" s="101">
        <v>0.601388888888888</v>
      </c>
      <c r="H65" s="99">
        <v>0.0</v>
      </c>
      <c r="I65" s="101">
        <v>0.601388888888888</v>
      </c>
      <c r="J65" s="101">
        <v>0.6041666666666657</v>
      </c>
      <c r="K65" s="101">
        <v>0.612499999999999</v>
      </c>
      <c r="L65" s="101">
        <v>0.6173611111111101</v>
      </c>
      <c r="M65" s="101">
        <v>0.6208333333333323</v>
      </c>
      <c r="N65" s="99">
        <v>7.0</v>
      </c>
      <c r="O65" s="101">
        <v>0.6256944444444434</v>
      </c>
      <c r="P65" s="103">
        <v>44.999999999999815</v>
      </c>
      <c r="Q65" s="103">
        <v>52.999999999999815</v>
      </c>
      <c r="R65" s="103">
        <v>7.9999999999999964</v>
      </c>
      <c r="S65" s="104">
        <v>0.17777777777777842</v>
      </c>
      <c r="T65" s="142">
        <v>25.999999999999908</v>
      </c>
    </row>
    <row r="66" ht="13.5" customHeight="1">
      <c r="A66" s="127"/>
      <c r="B66" s="141" t="s">
        <v>78</v>
      </c>
      <c r="C66" s="101">
        <v>0.607638888888888</v>
      </c>
      <c r="D66" s="101">
        <v>0.6138888888888879</v>
      </c>
      <c r="E66" s="99">
        <v>0.9999999999999964</v>
      </c>
      <c r="F66" s="101">
        <v>0.6145833333333324</v>
      </c>
      <c r="G66" s="101">
        <v>0.6201388888888879</v>
      </c>
      <c r="H66" s="99">
        <v>0.0</v>
      </c>
      <c r="I66" s="101">
        <v>0.6201388888888879</v>
      </c>
      <c r="J66" s="101">
        <v>0.6229166666666657</v>
      </c>
      <c r="K66" s="101">
        <v>0.631249999999999</v>
      </c>
      <c r="L66" s="101">
        <v>0.6361111111111101</v>
      </c>
      <c r="M66" s="101">
        <v>0.6395833333333323</v>
      </c>
      <c r="N66" s="99">
        <v>5.0</v>
      </c>
      <c r="O66" s="101">
        <v>0.6430555555555545</v>
      </c>
      <c r="P66" s="103">
        <v>44.999999999999815</v>
      </c>
      <c r="Q66" s="103">
        <v>50.999999999999815</v>
      </c>
      <c r="R66" s="103">
        <v>5.9999999999999964</v>
      </c>
      <c r="S66" s="104">
        <v>0.1333333333333338</v>
      </c>
      <c r="T66" s="142">
        <v>24.99999999999991</v>
      </c>
    </row>
    <row r="67" ht="13.5" customHeight="1">
      <c r="A67" s="127"/>
      <c r="B67" s="141" t="s">
        <v>78</v>
      </c>
      <c r="C67" s="101">
        <v>0.6256944444444434</v>
      </c>
      <c r="D67" s="101">
        <v>0.6319444444444434</v>
      </c>
      <c r="E67" s="99">
        <v>0.9999999999999964</v>
      </c>
      <c r="F67" s="101">
        <v>0.6326388888888879</v>
      </c>
      <c r="G67" s="101">
        <v>0.6381944444444434</v>
      </c>
      <c r="H67" s="99">
        <v>0.0</v>
      </c>
      <c r="I67" s="101">
        <v>0.6381944444444434</v>
      </c>
      <c r="J67" s="101">
        <v>0.6409722222222212</v>
      </c>
      <c r="K67" s="101">
        <v>0.6493055555555545</v>
      </c>
      <c r="L67" s="101">
        <v>0.6541666666666656</v>
      </c>
      <c r="M67" s="101">
        <v>0.6576388888888878</v>
      </c>
      <c r="N67" s="99">
        <v>5.0</v>
      </c>
      <c r="O67" s="101">
        <v>0.66111111111111</v>
      </c>
      <c r="P67" s="103">
        <v>44.999999999999815</v>
      </c>
      <c r="Q67" s="103">
        <v>50.999999999999815</v>
      </c>
      <c r="R67" s="103">
        <v>5.9999999999999964</v>
      </c>
      <c r="S67" s="104">
        <v>0.1333333333333338</v>
      </c>
      <c r="T67" s="142">
        <v>25.999999999999908</v>
      </c>
    </row>
    <row r="68" ht="13.5" customHeight="1">
      <c r="A68" s="127"/>
      <c r="B68" s="141" t="s">
        <v>78</v>
      </c>
      <c r="C68" s="101">
        <v>0.6430555555555545</v>
      </c>
      <c r="D68" s="101">
        <v>0.6493055555555545</v>
      </c>
      <c r="E68" s="99">
        <v>0.9999999999999964</v>
      </c>
      <c r="F68" s="101">
        <v>0.6499999999999989</v>
      </c>
      <c r="G68" s="101">
        <v>0.6555555555555544</v>
      </c>
      <c r="H68" s="99">
        <v>0.0</v>
      </c>
      <c r="I68" s="101">
        <v>0.6555555555555544</v>
      </c>
      <c r="J68" s="101">
        <v>0.6583333333333322</v>
      </c>
      <c r="K68" s="101">
        <v>0.6666666666666655</v>
      </c>
      <c r="L68" s="101">
        <v>0.6715277777777766</v>
      </c>
      <c r="M68" s="101">
        <v>0.6749999999999988</v>
      </c>
      <c r="N68" s="99">
        <v>5.0</v>
      </c>
      <c r="O68" s="101">
        <v>0.678472222222221</v>
      </c>
      <c r="P68" s="103">
        <v>44.999999999999815</v>
      </c>
      <c r="Q68" s="103">
        <v>50.999999999999815</v>
      </c>
      <c r="R68" s="103">
        <v>5.9999999999999964</v>
      </c>
      <c r="S68" s="104">
        <v>0.1333333333333338</v>
      </c>
      <c r="T68" s="142">
        <v>24.99999999999991</v>
      </c>
    </row>
    <row r="69" ht="13.5" customHeight="1">
      <c r="A69" s="127"/>
      <c r="B69" s="141" t="s">
        <v>78</v>
      </c>
      <c r="C69" s="101">
        <v>0.66111111111111</v>
      </c>
      <c r="D69" s="101">
        <v>0.66736111111111</v>
      </c>
      <c r="E69" s="99">
        <v>0.9999999999999964</v>
      </c>
      <c r="F69" s="101">
        <v>0.6680555555555544</v>
      </c>
      <c r="G69" s="101">
        <v>0.6736111111111099</v>
      </c>
      <c r="H69" s="99">
        <v>0.0</v>
      </c>
      <c r="I69" s="101">
        <v>0.6736111111111099</v>
      </c>
      <c r="J69" s="101">
        <v>0.6763888888888877</v>
      </c>
      <c r="K69" s="101">
        <v>0.684722222222221</v>
      </c>
      <c r="L69" s="101">
        <v>0.6895833333333321</v>
      </c>
      <c r="M69" s="101">
        <v>0.6930555555555543</v>
      </c>
      <c r="N69" s="99">
        <v>5.0</v>
      </c>
      <c r="O69" s="101">
        <v>0.6965277777777765</v>
      </c>
      <c r="P69" s="103">
        <v>44.999999999999815</v>
      </c>
      <c r="Q69" s="103">
        <v>50.999999999999815</v>
      </c>
      <c r="R69" s="103">
        <v>5.9999999999999964</v>
      </c>
      <c r="S69" s="104">
        <v>0.1333333333333338</v>
      </c>
      <c r="T69" s="142">
        <v>25.999999999999908</v>
      </c>
    </row>
    <row r="70" ht="13.5" customHeight="1">
      <c r="A70" s="127"/>
      <c r="B70" s="141" t="s">
        <v>78</v>
      </c>
      <c r="C70" s="101">
        <v>0.678472222222221</v>
      </c>
      <c r="D70" s="101">
        <v>0.684722222222221</v>
      </c>
      <c r="E70" s="99">
        <v>0.9999999999999964</v>
      </c>
      <c r="F70" s="101">
        <v>0.6854166666666655</v>
      </c>
      <c r="G70" s="101">
        <v>0.690972222222221</v>
      </c>
      <c r="H70" s="99">
        <v>0.0</v>
      </c>
      <c r="I70" s="101">
        <v>0.690972222222221</v>
      </c>
      <c r="J70" s="101">
        <v>0.6937499999999988</v>
      </c>
      <c r="K70" s="101">
        <v>0.7020833333333321</v>
      </c>
      <c r="L70" s="101">
        <v>0.7069444444444432</v>
      </c>
      <c r="M70" s="101">
        <v>0.7104166666666654</v>
      </c>
      <c r="N70" s="99">
        <v>5.0</v>
      </c>
      <c r="O70" s="101">
        <v>0.7138888888888876</v>
      </c>
      <c r="P70" s="103">
        <v>44.999999999999815</v>
      </c>
      <c r="Q70" s="103">
        <v>50.999999999999815</v>
      </c>
      <c r="R70" s="103">
        <v>5.9999999999999964</v>
      </c>
      <c r="S70" s="104">
        <v>0.1333333333333338</v>
      </c>
      <c r="T70" s="142">
        <v>24.99999999999991</v>
      </c>
    </row>
    <row r="71" ht="13.5" customHeight="1">
      <c r="A71" s="127"/>
      <c r="B71" s="141" t="s">
        <v>78</v>
      </c>
      <c r="C71" s="101">
        <v>0.6965277777777765</v>
      </c>
      <c r="D71" s="101">
        <v>0.7027777777777765</v>
      </c>
      <c r="E71" s="99">
        <v>0.9999999999999964</v>
      </c>
      <c r="F71" s="101">
        <v>0.7034722222222209</v>
      </c>
      <c r="G71" s="101">
        <v>0.7090277777777765</v>
      </c>
      <c r="H71" s="99">
        <v>0.0</v>
      </c>
      <c r="I71" s="101">
        <v>0.7090277777777765</v>
      </c>
      <c r="J71" s="101">
        <v>0.7118055555555542</v>
      </c>
      <c r="K71" s="101">
        <v>0.7201388888888876</v>
      </c>
      <c r="L71" s="101">
        <v>0.7249999999999986</v>
      </c>
      <c r="M71" s="101">
        <v>0.7284722222222209</v>
      </c>
      <c r="N71" s="99">
        <v>5.0</v>
      </c>
      <c r="O71" s="101">
        <v>0.7319444444444431</v>
      </c>
      <c r="P71" s="103">
        <v>44.999999999999815</v>
      </c>
      <c r="Q71" s="103">
        <v>50.999999999999815</v>
      </c>
      <c r="R71" s="103">
        <v>5.9999999999999964</v>
      </c>
      <c r="S71" s="104">
        <v>0.1333333333333338</v>
      </c>
      <c r="T71" s="142">
        <v>25.999999999999908</v>
      </c>
    </row>
    <row r="72" ht="13.5" customHeight="1">
      <c r="A72" s="127"/>
      <c r="B72" s="141" t="s">
        <v>78</v>
      </c>
      <c r="C72" s="161">
        <v>0.7138888888888876</v>
      </c>
      <c r="D72" s="101">
        <v>0.7201388888888876</v>
      </c>
      <c r="E72" s="99">
        <v>0.9999999999999964</v>
      </c>
      <c r="F72" s="101">
        <v>0.720833333333332</v>
      </c>
      <c r="G72" s="101">
        <v>0.7263888888888875</v>
      </c>
      <c r="H72" s="99">
        <v>0.0</v>
      </c>
      <c r="I72" s="101">
        <v>0.7263888888888875</v>
      </c>
      <c r="J72" s="101">
        <v>0.7291666666666653</v>
      </c>
      <c r="K72" s="101">
        <v>0.7374999999999986</v>
      </c>
      <c r="L72" s="101">
        <v>0.7423611111111097</v>
      </c>
      <c r="M72" s="101">
        <v>0.7458333333333319</v>
      </c>
      <c r="N72" s="99">
        <v>5.0</v>
      </c>
      <c r="O72" s="101">
        <v>0.7493055555555541</v>
      </c>
      <c r="P72" s="103">
        <v>44.999999999999815</v>
      </c>
      <c r="Q72" s="103">
        <v>50.999999999999815</v>
      </c>
      <c r="R72" s="103">
        <v>5.9999999999999964</v>
      </c>
      <c r="S72" s="104">
        <v>0.1333333333333338</v>
      </c>
      <c r="T72" s="142">
        <v>24.99999999999991</v>
      </c>
    </row>
    <row r="73" ht="13.5" customHeight="1">
      <c r="A73" s="127"/>
      <c r="B73" s="141" t="s">
        <v>78</v>
      </c>
      <c r="C73" s="101">
        <v>0.7319444444444431</v>
      </c>
      <c r="D73" s="101">
        <v>0.738194444444443</v>
      </c>
      <c r="E73" s="99">
        <v>0.9999999999999964</v>
      </c>
      <c r="F73" s="101">
        <v>0.7388888888888875</v>
      </c>
      <c r="G73" s="101">
        <v>0.744444444444443</v>
      </c>
      <c r="H73" s="99">
        <v>0.0</v>
      </c>
      <c r="I73" s="101">
        <v>0.744444444444443</v>
      </c>
      <c r="J73" s="101">
        <v>0.7472222222222208</v>
      </c>
      <c r="K73" s="101">
        <v>0.7555555555555541</v>
      </c>
      <c r="L73" s="101">
        <v>0.7604166666666652</v>
      </c>
      <c r="M73" s="101">
        <v>0.7638888888888874</v>
      </c>
      <c r="N73" s="99">
        <v>5.0</v>
      </c>
      <c r="O73" s="101">
        <v>0.7673611111111096</v>
      </c>
      <c r="P73" s="103">
        <v>44.999999999999815</v>
      </c>
      <c r="Q73" s="103">
        <v>50.999999999999815</v>
      </c>
      <c r="R73" s="103">
        <v>5.9999999999999964</v>
      </c>
      <c r="S73" s="104">
        <v>0.1333333333333338</v>
      </c>
      <c r="T73" s="142">
        <v>25.999999999999908</v>
      </c>
    </row>
    <row r="74" ht="13.5" customHeight="1">
      <c r="A74" s="127"/>
      <c r="B74" s="141" t="s">
        <v>78</v>
      </c>
      <c r="C74" s="101">
        <v>0.7493055555555541</v>
      </c>
      <c r="D74" s="101">
        <v>0.7555555555555541</v>
      </c>
      <c r="E74" s="99">
        <v>0.9999999999999964</v>
      </c>
      <c r="F74" s="101">
        <v>0.7562499999999985</v>
      </c>
      <c r="G74" s="101">
        <v>0.7618055555555541</v>
      </c>
      <c r="H74" s="99">
        <v>0.0</v>
      </c>
      <c r="I74" s="101">
        <v>0.7618055555555541</v>
      </c>
      <c r="J74" s="101">
        <v>0.7645833333333318</v>
      </c>
      <c r="K74" s="101">
        <v>0.7729166666666651</v>
      </c>
      <c r="L74" s="101">
        <v>0.7777777777777762</v>
      </c>
      <c r="M74" s="101">
        <v>0.7812499999999984</v>
      </c>
      <c r="N74" s="99">
        <v>5.0</v>
      </c>
      <c r="O74" s="101">
        <v>0.7847222222222207</v>
      </c>
      <c r="P74" s="103">
        <v>44.999999999999815</v>
      </c>
      <c r="Q74" s="103">
        <v>50.999999999999815</v>
      </c>
      <c r="R74" s="103">
        <v>5.9999999999999964</v>
      </c>
      <c r="S74" s="104">
        <v>0.1333333333333338</v>
      </c>
      <c r="T74" s="142">
        <v>24.99999999999991</v>
      </c>
    </row>
    <row r="75" ht="13.5" customHeight="1">
      <c r="A75" s="127"/>
      <c r="B75" s="141" t="s">
        <v>78</v>
      </c>
      <c r="C75" s="101">
        <v>0.7673611111111096</v>
      </c>
      <c r="D75" s="101">
        <v>0.7736111111111096</v>
      </c>
      <c r="E75" s="99">
        <v>0.9999999999999964</v>
      </c>
      <c r="F75" s="101">
        <v>0.774305555555554</v>
      </c>
      <c r="G75" s="101">
        <v>0.7798611111111096</v>
      </c>
      <c r="H75" s="99">
        <v>0.0</v>
      </c>
      <c r="I75" s="101">
        <v>0.7798611111111096</v>
      </c>
      <c r="J75" s="101">
        <v>0.7826388888888873</v>
      </c>
      <c r="K75" s="101">
        <v>0.7909722222222206</v>
      </c>
      <c r="L75" s="101">
        <v>0.7958333333333317</v>
      </c>
      <c r="M75" s="101">
        <v>0.7993055555555539</v>
      </c>
      <c r="N75" s="99">
        <v>5.0</v>
      </c>
      <c r="O75" s="101">
        <v>0.8027777777777761</v>
      </c>
      <c r="P75" s="103">
        <v>44.999999999999815</v>
      </c>
      <c r="Q75" s="103">
        <v>50.999999999999815</v>
      </c>
      <c r="R75" s="103">
        <v>5.9999999999999964</v>
      </c>
      <c r="S75" s="104">
        <v>0.1333333333333338</v>
      </c>
      <c r="T75" s="142">
        <v>25.999999999999908</v>
      </c>
    </row>
    <row r="76" ht="13.5" customHeight="1">
      <c r="A76" s="127"/>
      <c r="B76" s="141" t="s">
        <v>79</v>
      </c>
      <c r="C76" s="101">
        <v>0.7847222222222207</v>
      </c>
      <c r="D76" s="101">
        <v>0.7909722222222206</v>
      </c>
      <c r="E76" s="99">
        <v>0.9999999999999964</v>
      </c>
      <c r="F76" s="101">
        <v>0.7916666666666651</v>
      </c>
      <c r="G76" s="101">
        <v>0.7972222222222206</v>
      </c>
      <c r="H76" s="99">
        <v>0.0</v>
      </c>
      <c r="I76" s="101">
        <v>0.7972222222222206</v>
      </c>
      <c r="J76" s="101">
        <v>0.7999999999999984</v>
      </c>
      <c r="K76" s="101">
        <v>0.8076388888888872</v>
      </c>
      <c r="L76" s="101">
        <v>0.8111111111111095</v>
      </c>
      <c r="M76" s="101">
        <v>0.8145833333333317</v>
      </c>
      <c r="N76" s="99">
        <v>7.0</v>
      </c>
      <c r="O76" s="101">
        <v>0.8194444444444428</v>
      </c>
      <c r="P76" s="103">
        <v>41.99999999999983</v>
      </c>
      <c r="Q76" s="103">
        <v>49.99999999999982</v>
      </c>
      <c r="R76" s="103">
        <v>7.9999999999999964</v>
      </c>
      <c r="S76" s="104">
        <v>0.19047619047619116</v>
      </c>
      <c r="T76" s="142">
        <v>23.999999999999915</v>
      </c>
    </row>
    <row r="77" ht="13.5" customHeight="1">
      <c r="A77" s="127"/>
      <c r="B77" s="141" t="s">
        <v>79</v>
      </c>
      <c r="C77" s="101">
        <v>0.8027777777777761</v>
      </c>
      <c r="D77" s="101">
        <v>0.8090277777777761</v>
      </c>
      <c r="E77" s="99">
        <v>0.9999999999999964</v>
      </c>
      <c r="F77" s="101">
        <v>0.8097222222222206</v>
      </c>
      <c r="G77" s="101">
        <v>0.8152777777777761</v>
      </c>
      <c r="H77" s="99">
        <v>0.0</v>
      </c>
      <c r="I77" s="101">
        <v>0.8152777777777761</v>
      </c>
      <c r="J77" s="101">
        <v>0.8180555555555539</v>
      </c>
      <c r="K77" s="101">
        <v>0.8256944444444427</v>
      </c>
      <c r="L77" s="101">
        <v>0.8291666666666649</v>
      </c>
      <c r="M77" s="101">
        <v>0.8326388888888872</v>
      </c>
      <c r="N77" s="99">
        <v>5.0</v>
      </c>
      <c r="O77" s="101">
        <v>0.8361111111111094</v>
      </c>
      <c r="P77" s="103">
        <v>41.99999999999983</v>
      </c>
      <c r="Q77" s="103">
        <v>47.99999999999983</v>
      </c>
      <c r="R77" s="103">
        <v>5.9999999999999964</v>
      </c>
      <c r="S77" s="104">
        <v>0.14285714285714335</v>
      </c>
      <c r="T77" s="142">
        <v>23.999999999999915</v>
      </c>
    </row>
    <row r="78" ht="13.5" customHeight="1">
      <c r="A78" s="127"/>
      <c r="B78" s="141" t="s">
        <v>79</v>
      </c>
      <c r="C78" s="101">
        <v>0.8194444444444428</v>
      </c>
      <c r="D78" s="101">
        <v>0.8256944444444427</v>
      </c>
      <c r="E78" s="99">
        <v>0.9999999999999964</v>
      </c>
      <c r="F78" s="101">
        <v>0.8263888888888872</v>
      </c>
      <c r="G78" s="101">
        <v>0.8319444444444427</v>
      </c>
      <c r="H78" s="99">
        <v>0.0</v>
      </c>
      <c r="I78" s="101">
        <v>0.8319444444444427</v>
      </c>
      <c r="J78" s="101">
        <v>0.8347222222222205</v>
      </c>
      <c r="K78" s="101">
        <v>0.8423611111111093</v>
      </c>
      <c r="L78" s="101">
        <v>0.8458333333333315</v>
      </c>
      <c r="M78" s="101">
        <v>0.8493055555555538</v>
      </c>
      <c r="N78" s="99">
        <v>5.0</v>
      </c>
      <c r="O78" s="101">
        <v>0.852777777777776</v>
      </c>
      <c r="P78" s="103">
        <v>41.99999999999983</v>
      </c>
      <c r="Q78" s="103">
        <v>47.99999999999983</v>
      </c>
      <c r="R78" s="103">
        <v>5.9999999999999964</v>
      </c>
      <c r="S78" s="104">
        <v>0.14285714285714335</v>
      </c>
      <c r="T78" s="142">
        <v>23.999999999999915</v>
      </c>
    </row>
    <row r="79" ht="13.5" customHeight="1">
      <c r="A79" s="127"/>
      <c r="B79" s="141" t="s">
        <v>79</v>
      </c>
      <c r="C79" s="101">
        <v>0.8361111111111094</v>
      </c>
      <c r="D79" s="101">
        <v>0.8423611111111093</v>
      </c>
      <c r="E79" s="99">
        <v>0.9999999999999964</v>
      </c>
      <c r="F79" s="101">
        <v>0.8430555555555538</v>
      </c>
      <c r="G79" s="101">
        <v>0.8486111111111093</v>
      </c>
      <c r="H79" s="99">
        <v>0.0</v>
      </c>
      <c r="I79" s="101">
        <v>0.8486111111111093</v>
      </c>
      <c r="J79" s="101">
        <v>0.8513888888888871</v>
      </c>
      <c r="K79" s="101">
        <v>0.859027777777776</v>
      </c>
      <c r="L79" s="101">
        <v>0.8624999999999982</v>
      </c>
      <c r="M79" s="101">
        <v>0.8659722222222204</v>
      </c>
      <c r="N79" s="99">
        <v>5.0</v>
      </c>
      <c r="O79" s="101">
        <v>0.8694444444444426</v>
      </c>
      <c r="P79" s="103">
        <v>41.99999999999983</v>
      </c>
      <c r="Q79" s="103">
        <v>47.99999999999983</v>
      </c>
      <c r="R79" s="103">
        <v>5.9999999999999964</v>
      </c>
      <c r="S79" s="104">
        <v>0.14285714285714335</v>
      </c>
      <c r="T79" s="142">
        <v>23.999999999999915</v>
      </c>
    </row>
    <row r="80" ht="13.5" customHeight="1">
      <c r="A80" s="127"/>
      <c r="B80" s="141" t="s">
        <v>98</v>
      </c>
      <c r="C80" s="101">
        <v>0.852777777777776</v>
      </c>
      <c r="D80" s="101">
        <v>0.8576388888888871</v>
      </c>
      <c r="E80" s="99">
        <v>0.9999999999999964</v>
      </c>
      <c r="F80" s="101">
        <v>0.8583333333333315</v>
      </c>
      <c r="G80" s="101">
        <v>0.863888888888887</v>
      </c>
      <c r="H80" s="99">
        <v>0.0</v>
      </c>
      <c r="I80" s="101">
        <v>0.863888888888887</v>
      </c>
      <c r="J80" s="101">
        <v>0.8666666666666648</v>
      </c>
      <c r="K80" s="101">
        <v>0.8743055555555537</v>
      </c>
      <c r="L80" s="101">
        <v>0.8777777777777759</v>
      </c>
      <c r="M80" s="101">
        <v>0.8812499999999981</v>
      </c>
      <c r="N80" s="99">
        <v>6.0</v>
      </c>
      <c r="O80" s="101">
        <v>0.8854166666666647</v>
      </c>
      <c r="P80" s="103">
        <v>39.99999999999983</v>
      </c>
      <c r="Q80" s="103">
        <v>46.99999999999983</v>
      </c>
      <c r="R80" s="103">
        <v>6.9999999999999964</v>
      </c>
      <c r="S80" s="104">
        <v>0.17500000000000066</v>
      </c>
      <c r="T80" s="142">
        <v>22.99999999999992</v>
      </c>
    </row>
    <row r="81" ht="13.5" customHeight="1">
      <c r="A81" s="127"/>
      <c r="B81" s="141" t="s">
        <v>98</v>
      </c>
      <c r="C81" s="101">
        <v>0.8694444444444426</v>
      </c>
      <c r="D81" s="101">
        <v>0.8743055555555537</v>
      </c>
      <c r="E81" s="99">
        <v>0.9999999999999964</v>
      </c>
      <c r="F81" s="101">
        <v>0.8749999999999981</v>
      </c>
      <c r="G81" s="101">
        <v>0.8805555555555536</v>
      </c>
      <c r="H81" s="99">
        <v>0.0</v>
      </c>
      <c r="I81" s="101">
        <v>0.8805555555555536</v>
      </c>
      <c r="J81" s="101">
        <v>0.8833333333333314</v>
      </c>
      <c r="K81" s="101">
        <v>0.8909722222222203</v>
      </c>
      <c r="L81" s="101">
        <v>0.8944444444444425</v>
      </c>
      <c r="M81" s="101">
        <v>0.8979166666666647</v>
      </c>
      <c r="N81" s="99"/>
      <c r="O81" s="155"/>
      <c r="P81" s="103">
        <v>39.99999999999986</v>
      </c>
      <c r="Q81" s="103">
        <v>40.99999999999986</v>
      </c>
      <c r="R81" s="103">
        <v>0.9999999999999964</v>
      </c>
      <c r="S81" s="104">
        <v>0.025</v>
      </c>
      <c r="T81" s="142">
        <v>23.999999999999915</v>
      </c>
    </row>
    <row r="82" ht="13.5" customHeight="1">
      <c r="A82" s="127"/>
      <c r="B82" s="141" t="s">
        <v>98</v>
      </c>
      <c r="C82" s="101">
        <v>0.8854166666666647</v>
      </c>
      <c r="D82" s="101">
        <v>0.8902777777777758</v>
      </c>
      <c r="E82" s="99">
        <v>0.9999999999999964</v>
      </c>
      <c r="F82" s="101">
        <v>0.8909722222222203</v>
      </c>
      <c r="G82" s="101">
        <v>0.8965277777777758</v>
      </c>
      <c r="H82" s="99">
        <v>0.0</v>
      </c>
      <c r="I82" s="101">
        <v>0.8965277777777758</v>
      </c>
      <c r="J82" s="101">
        <v>0.8993055555555536</v>
      </c>
      <c r="K82" s="101">
        <v>0.9069444444444424</v>
      </c>
      <c r="L82" s="101">
        <v>0.9104166666666647</v>
      </c>
      <c r="M82" s="101">
        <v>0.9138888888888869</v>
      </c>
      <c r="N82" s="99">
        <v>9.0</v>
      </c>
      <c r="O82" s="101">
        <v>0.9201388888888868</v>
      </c>
      <c r="P82" s="103">
        <v>39.99999999999983</v>
      </c>
      <c r="Q82" s="103">
        <v>49.99999999999982</v>
      </c>
      <c r="R82" s="103">
        <v>9.999999999999996</v>
      </c>
      <c r="S82" s="104">
        <v>0.250000000000001</v>
      </c>
      <c r="T82" s="142">
        <v>22.99999999999992</v>
      </c>
    </row>
    <row r="83" ht="13.5" customHeight="1">
      <c r="A83" s="127"/>
      <c r="B83" s="141" t="s">
        <v>98</v>
      </c>
      <c r="C83" s="101">
        <v>0.9201388888888868</v>
      </c>
      <c r="D83" s="101">
        <v>0.9249999999999979</v>
      </c>
      <c r="E83" s="99">
        <v>0.9999999999999964</v>
      </c>
      <c r="F83" s="101">
        <v>0.9256944444444424</v>
      </c>
      <c r="G83" s="101">
        <v>0.9312499999999979</v>
      </c>
      <c r="H83" s="99">
        <v>0.0</v>
      </c>
      <c r="I83" s="101">
        <v>0.9312499999999979</v>
      </c>
      <c r="J83" s="101">
        <v>0.9340277777777757</v>
      </c>
      <c r="K83" s="101">
        <v>0.9416666666666645</v>
      </c>
      <c r="L83" s="101">
        <v>0.9451388888888868</v>
      </c>
      <c r="M83" s="101">
        <v>0.948611111111109</v>
      </c>
      <c r="N83" s="99"/>
      <c r="O83" s="155">
        <v>0.948611111111109</v>
      </c>
      <c r="P83" s="103">
        <v>39.99999999999986</v>
      </c>
      <c r="Q83" s="103">
        <v>40.99999999999986</v>
      </c>
      <c r="R83" s="103">
        <v>0.9999999999999964</v>
      </c>
      <c r="S83" s="104">
        <v>0.025</v>
      </c>
      <c r="T83" s="142">
        <v>49.99999999999982</v>
      </c>
    </row>
    <row r="84" ht="13.5" customHeight="1">
      <c r="A84" s="156"/>
      <c r="M84" s="110" t="s">
        <v>81</v>
      </c>
      <c r="P84" s="157">
        <v>25.066666666666546</v>
      </c>
      <c r="Q84" s="112">
        <v>28.69999999999988</v>
      </c>
      <c r="R84" s="159">
        <v>3.633333333333333</v>
      </c>
      <c r="S84" s="104">
        <v>0.14494680851063899</v>
      </c>
    </row>
    <row r="85" ht="13.5" customHeight="1">
      <c r="A85" s="123" t="s">
        <v>99</v>
      </c>
      <c r="B85" s="118"/>
      <c r="C85" s="160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</row>
    <row r="86" ht="13.5" customHeight="1">
      <c r="A86" s="127"/>
      <c r="B86" s="73"/>
      <c r="C86" s="124" t="s">
        <v>83</v>
      </c>
      <c r="D86" s="162" t="s">
        <v>100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</row>
    <row r="87" ht="13.5" customHeight="1">
      <c r="A87" s="127"/>
      <c r="B87" s="73"/>
      <c r="C87" s="128" t="s">
        <v>62</v>
      </c>
      <c r="D87" s="128" t="s">
        <v>85</v>
      </c>
      <c r="E87" s="85"/>
      <c r="F87" s="128" t="s">
        <v>62</v>
      </c>
      <c r="G87" s="128" t="s">
        <v>85</v>
      </c>
      <c r="H87" s="85"/>
      <c r="I87" s="128" t="s">
        <v>62</v>
      </c>
      <c r="J87" s="128" t="s">
        <v>62</v>
      </c>
      <c r="K87" s="128" t="s">
        <v>62</v>
      </c>
      <c r="L87" s="128" t="s">
        <v>62</v>
      </c>
      <c r="M87" s="128" t="s">
        <v>85</v>
      </c>
      <c r="N87" s="85"/>
      <c r="O87" s="128" t="s">
        <v>62</v>
      </c>
      <c r="P87" s="129"/>
      <c r="Q87" s="129"/>
      <c r="R87" s="129"/>
    </row>
    <row r="88" ht="13.5" customHeight="1">
      <c r="A88" s="127"/>
      <c r="B88" s="89" t="s">
        <v>63</v>
      </c>
      <c r="C88" s="130" t="s">
        <v>86</v>
      </c>
      <c r="D88" s="131" t="s">
        <v>101</v>
      </c>
      <c r="E88" s="132"/>
      <c r="F88" s="131" t="s">
        <v>101</v>
      </c>
      <c r="G88" s="131" t="s">
        <v>68</v>
      </c>
      <c r="H88" s="132"/>
      <c r="I88" s="131" t="s">
        <v>68</v>
      </c>
      <c r="J88" s="130" t="s">
        <v>70</v>
      </c>
      <c r="K88" s="131" t="s">
        <v>87</v>
      </c>
      <c r="L88" s="130" t="s">
        <v>71</v>
      </c>
      <c r="M88" s="131" t="s">
        <v>86</v>
      </c>
      <c r="N88" s="132"/>
      <c r="O88" s="133" t="s">
        <v>86</v>
      </c>
      <c r="P88" s="134"/>
      <c r="Q88" s="134"/>
      <c r="R88" s="134"/>
    </row>
    <row r="89" ht="13.5" customHeight="1">
      <c r="A89" s="127"/>
      <c r="B89" s="89" t="s">
        <v>72</v>
      </c>
      <c r="C89" s="130">
        <v>1.0</v>
      </c>
      <c r="D89" s="128">
        <v>400.0</v>
      </c>
      <c r="E89" s="136" t="s">
        <v>69</v>
      </c>
      <c r="F89" s="128">
        <v>400.0</v>
      </c>
      <c r="G89" s="128">
        <v>569.0</v>
      </c>
      <c r="H89" s="136" t="s">
        <v>69</v>
      </c>
      <c r="I89" s="128">
        <v>569.0</v>
      </c>
      <c r="J89" s="128">
        <v>330.0</v>
      </c>
      <c r="K89" s="128">
        <v>441.0</v>
      </c>
      <c r="L89" s="128">
        <v>64.0</v>
      </c>
      <c r="M89" s="128">
        <v>1.0</v>
      </c>
      <c r="N89" s="136" t="s">
        <v>69</v>
      </c>
      <c r="O89" s="138">
        <v>1.0</v>
      </c>
      <c r="P89" s="139" t="s">
        <v>73</v>
      </c>
      <c r="Q89" s="139" t="s">
        <v>74</v>
      </c>
      <c r="R89" s="139" t="s">
        <v>69</v>
      </c>
      <c r="S89" s="104" t="s">
        <v>75</v>
      </c>
      <c r="T89" s="140" t="s">
        <v>76</v>
      </c>
    </row>
    <row r="90" ht="13.5" customHeight="1">
      <c r="A90" s="127"/>
      <c r="B90" s="39" t="s">
        <v>77</v>
      </c>
      <c r="C90" s="100">
        <v>0.3055555555555556</v>
      </c>
      <c r="D90" s="101">
        <v>0.3104166666666667</v>
      </c>
      <c r="E90" s="99">
        <v>0.9999999999999964</v>
      </c>
      <c r="F90" s="101">
        <v>0.3111111111111111</v>
      </c>
      <c r="G90" s="101">
        <v>0.3159722222222222</v>
      </c>
      <c r="H90" s="99">
        <v>0.0</v>
      </c>
      <c r="I90" s="101">
        <v>0.3159722222222222</v>
      </c>
      <c r="J90" s="101">
        <v>0.31875</v>
      </c>
      <c r="K90" s="101">
        <v>0.32638888888888884</v>
      </c>
      <c r="L90" s="101">
        <v>0.32986111111111105</v>
      </c>
      <c r="M90" s="101">
        <v>0.33333333333333326</v>
      </c>
      <c r="N90" s="99">
        <v>5.0</v>
      </c>
      <c r="O90" s="101">
        <v>0.33680555555555547</v>
      </c>
      <c r="P90" s="103">
        <v>38.999999999999844</v>
      </c>
      <c r="Q90" s="103">
        <v>44.999999999999844</v>
      </c>
      <c r="R90" s="103">
        <v>5.9999999999999964</v>
      </c>
      <c r="S90" s="104">
        <v>0.15384615384615438</v>
      </c>
      <c r="T90" s="142"/>
    </row>
    <row r="91" ht="13.5" customHeight="1">
      <c r="A91" s="127"/>
      <c r="B91" s="39" t="s">
        <v>77</v>
      </c>
      <c r="C91" s="101">
        <v>0.3368055555555556</v>
      </c>
      <c r="D91" s="101">
        <v>0.3416666666666667</v>
      </c>
      <c r="E91" s="99">
        <v>0.9999999999999964</v>
      </c>
      <c r="F91" s="101">
        <v>0.3423611111111111</v>
      </c>
      <c r="G91" s="101">
        <v>0.3472222222222222</v>
      </c>
      <c r="H91" s="99">
        <v>0.0</v>
      </c>
      <c r="I91" s="101">
        <v>0.3472222222222222</v>
      </c>
      <c r="J91" s="101">
        <v>0.35</v>
      </c>
      <c r="K91" s="101">
        <v>0.35763888888888884</v>
      </c>
      <c r="L91" s="101">
        <v>0.36111111111111105</v>
      </c>
      <c r="M91" s="101">
        <v>0.36458333333333326</v>
      </c>
      <c r="N91" s="99">
        <v>5.0</v>
      </c>
      <c r="O91" s="101">
        <v>0.36805555555555547</v>
      </c>
      <c r="P91" s="103">
        <v>38.999999999999844</v>
      </c>
      <c r="Q91" s="103">
        <v>44.999999999999844</v>
      </c>
      <c r="R91" s="103">
        <v>5.9999999999999964</v>
      </c>
      <c r="S91" s="104">
        <v>0.15384615384615438</v>
      </c>
      <c r="T91" s="142">
        <v>45.0</v>
      </c>
    </row>
    <row r="92" ht="13.5" customHeight="1">
      <c r="A92" s="127"/>
      <c r="B92" s="39" t="s">
        <v>77</v>
      </c>
      <c r="C92" s="101">
        <v>0.3680555555555556</v>
      </c>
      <c r="D92" s="101">
        <v>0.3729166666666667</v>
      </c>
      <c r="E92" s="99">
        <v>0.9999999999999964</v>
      </c>
      <c r="F92" s="101">
        <v>0.3736111111111111</v>
      </c>
      <c r="G92" s="101">
        <v>0.3784722222222222</v>
      </c>
      <c r="H92" s="99">
        <v>0.0</v>
      </c>
      <c r="I92" s="101">
        <v>0.3784722222222222</v>
      </c>
      <c r="J92" s="101">
        <v>0.38125</v>
      </c>
      <c r="K92" s="101">
        <v>0.38888888888888884</v>
      </c>
      <c r="L92" s="101">
        <v>0.39236111111111105</v>
      </c>
      <c r="M92" s="101">
        <v>0.39583333333333326</v>
      </c>
      <c r="N92" s="99">
        <v>5.0</v>
      </c>
      <c r="O92" s="101">
        <v>0.39930555555555547</v>
      </c>
      <c r="P92" s="103">
        <v>38.999999999999844</v>
      </c>
      <c r="Q92" s="103">
        <v>44.999999999999844</v>
      </c>
      <c r="R92" s="103">
        <v>5.9999999999999964</v>
      </c>
      <c r="S92" s="104">
        <v>0.15384615384615438</v>
      </c>
      <c r="T92" s="142">
        <v>45.0</v>
      </c>
    </row>
    <row r="93" ht="13.5" customHeight="1">
      <c r="A93" s="127"/>
      <c r="B93" s="39" t="s">
        <v>77</v>
      </c>
      <c r="C93" s="101">
        <v>0.3993055555555556</v>
      </c>
      <c r="D93" s="101">
        <v>0.4041666666666667</v>
      </c>
      <c r="E93" s="99">
        <v>0.9999999999999964</v>
      </c>
      <c r="F93" s="101">
        <v>0.4048611111111111</v>
      </c>
      <c r="G93" s="101">
        <v>0.4097222222222222</v>
      </c>
      <c r="H93" s="99">
        <v>0.0</v>
      </c>
      <c r="I93" s="101">
        <v>0.4097222222222222</v>
      </c>
      <c r="J93" s="101">
        <v>0.4125</v>
      </c>
      <c r="K93" s="101">
        <v>0.42013888888888884</v>
      </c>
      <c r="L93" s="101">
        <v>0.42361111111111105</v>
      </c>
      <c r="M93" s="101">
        <v>0.42708333333333326</v>
      </c>
      <c r="N93" s="99">
        <v>5.0</v>
      </c>
      <c r="O93" s="101">
        <v>0.43055555555555547</v>
      </c>
      <c r="P93" s="103">
        <v>38.999999999999844</v>
      </c>
      <c r="Q93" s="103">
        <v>44.999999999999844</v>
      </c>
      <c r="R93" s="103">
        <v>5.9999999999999964</v>
      </c>
      <c r="S93" s="104">
        <v>0.15384615384615438</v>
      </c>
      <c r="T93" s="142">
        <v>45.0</v>
      </c>
    </row>
    <row r="94" ht="13.5" customHeight="1">
      <c r="A94" s="127"/>
      <c r="B94" s="39" t="s">
        <v>77</v>
      </c>
      <c r="C94" s="101">
        <v>0.4305555555555556</v>
      </c>
      <c r="D94" s="101">
        <v>0.4354166666666667</v>
      </c>
      <c r="E94" s="99">
        <v>0.9999999999999964</v>
      </c>
      <c r="F94" s="101">
        <v>0.4361111111111111</v>
      </c>
      <c r="G94" s="101">
        <v>0.4409722222222222</v>
      </c>
      <c r="H94" s="99">
        <v>0.0</v>
      </c>
      <c r="I94" s="101">
        <v>0.4409722222222222</v>
      </c>
      <c r="J94" s="101">
        <v>0.44375</v>
      </c>
      <c r="K94" s="101">
        <v>0.45138888888888884</v>
      </c>
      <c r="L94" s="101">
        <v>0.45486111111111105</v>
      </c>
      <c r="M94" s="101">
        <v>0.45833333333333326</v>
      </c>
      <c r="N94" s="99">
        <v>5.0</v>
      </c>
      <c r="O94" s="101">
        <v>0.46180555555555547</v>
      </c>
      <c r="P94" s="103">
        <v>38.999999999999844</v>
      </c>
      <c r="Q94" s="103">
        <v>44.999999999999844</v>
      </c>
      <c r="R94" s="103">
        <v>5.9999999999999964</v>
      </c>
      <c r="S94" s="104">
        <v>0.15384615384615438</v>
      </c>
      <c r="T94" s="142">
        <v>45.0</v>
      </c>
    </row>
    <row r="95" ht="13.5" customHeight="1">
      <c r="A95" s="127"/>
      <c r="B95" s="141" t="s">
        <v>77</v>
      </c>
      <c r="C95" s="101">
        <v>0.4618055555555556</v>
      </c>
      <c r="D95" s="101">
        <v>0.4666666666666667</v>
      </c>
      <c r="E95" s="99">
        <v>0.9999999999999964</v>
      </c>
      <c r="F95" s="101">
        <v>0.4673611111111111</v>
      </c>
      <c r="G95" s="101">
        <v>0.4722222222222222</v>
      </c>
      <c r="H95" s="99">
        <v>0.0</v>
      </c>
      <c r="I95" s="101">
        <v>0.4722222222222222</v>
      </c>
      <c r="J95" s="101">
        <v>0.475</v>
      </c>
      <c r="K95" s="101">
        <v>0.48263888888888884</v>
      </c>
      <c r="L95" s="101">
        <v>0.48611111111111105</v>
      </c>
      <c r="M95" s="101">
        <v>0.48958333333333326</v>
      </c>
      <c r="N95" s="99">
        <v>5.0</v>
      </c>
      <c r="O95" s="101">
        <v>0.49305555555555547</v>
      </c>
      <c r="P95" s="103">
        <v>38.999999999999844</v>
      </c>
      <c r="Q95" s="103">
        <v>44.999999999999844</v>
      </c>
      <c r="R95" s="103">
        <v>5.9999999999999964</v>
      </c>
      <c r="S95" s="104">
        <v>0.15384615384615438</v>
      </c>
      <c r="T95" s="142">
        <v>45.0</v>
      </c>
    </row>
    <row r="96" ht="13.5" customHeight="1">
      <c r="A96" s="127"/>
      <c r="B96" s="141" t="s">
        <v>77</v>
      </c>
      <c r="C96" s="100">
        <v>0.47708333333333336</v>
      </c>
      <c r="D96" s="101">
        <v>0.48194444444444445</v>
      </c>
      <c r="E96" s="99">
        <v>0.9999999999999964</v>
      </c>
      <c r="F96" s="101">
        <v>0.4826388888888889</v>
      </c>
      <c r="G96" s="101">
        <v>0.4875</v>
      </c>
      <c r="H96" s="99">
        <v>0.0</v>
      </c>
      <c r="I96" s="101">
        <v>0.4875</v>
      </c>
      <c r="J96" s="101">
        <v>0.49027777777777776</v>
      </c>
      <c r="K96" s="101">
        <v>0.4979166666666666</v>
      </c>
      <c r="L96" s="101">
        <v>0.5013888888888889</v>
      </c>
      <c r="M96" s="101">
        <v>0.5048611111111111</v>
      </c>
      <c r="N96" s="99">
        <v>5.0</v>
      </c>
      <c r="O96" s="101">
        <v>0.5083333333333333</v>
      </c>
      <c r="P96" s="103">
        <v>38.99999999999993</v>
      </c>
      <c r="Q96" s="103">
        <v>44.99999999999992</v>
      </c>
      <c r="R96" s="103">
        <v>5.9999999999999964</v>
      </c>
      <c r="S96" s="104">
        <v>0.15384615384615405</v>
      </c>
      <c r="T96" s="142">
        <v>22.00000000000008</v>
      </c>
    </row>
    <row r="97" ht="13.5" customHeight="1">
      <c r="A97" s="127"/>
      <c r="B97" s="141" t="s">
        <v>77</v>
      </c>
      <c r="C97" s="101">
        <v>0.49305555555555547</v>
      </c>
      <c r="D97" s="101">
        <v>0.49791666666666656</v>
      </c>
      <c r="E97" s="99">
        <v>0.9999999999999964</v>
      </c>
      <c r="F97" s="101">
        <v>0.498611111111111</v>
      </c>
      <c r="G97" s="101">
        <v>0.5034722222222221</v>
      </c>
      <c r="H97" s="99">
        <v>0.0</v>
      </c>
      <c r="I97" s="101">
        <v>0.5034722222222221</v>
      </c>
      <c r="J97" s="101">
        <v>0.5062499999999999</v>
      </c>
      <c r="K97" s="101">
        <v>0.5138888888888887</v>
      </c>
      <c r="L97" s="101">
        <v>0.5173611111111109</v>
      </c>
      <c r="M97" s="101">
        <v>0.5208333333333331</v>
      </c>
      <c r="N97" s="99">
        <v>5.0</v>
      </c>
      <c r="O97" s="101">
        <v>0.5243055555555554</v>
      </c>
      <c r="P97" s="103">
        <v>38.999999999999844</v>
      </c>
      <c r="Q97" s="103">
        <v>44.999999999999844</v>
      </c>
      <c r="R97" s="103">
        <v>5.9999999999999964</v>
      </c>
      <c r="S97" s="104">
        <v>0.15384615384615438</v>
      </c>
      <c r="T97" s="142">
        <v>22.99999999999976</v>
      </c>
    </row>
    <row r="98" ht="13.5" customHeight="1">
      <c r="A98" s="127"/>
      <c r="B98" s="141" t="s">
        <v>78</v>
      </c>
      <c r="C98" s="101">
        <v>0.5083333333333333</v>
      </c>
      <c r="D98" s="101">
        <v>0.5145833333333333</v>
      </c>
      <c r="E98" s="99">
        <v>0.9999999999999964</v>
      </c>
      <c r="F98" s="101">
        <v>0.5152777777777777</v>
      </c>
      <c r="G98" s="101">
        <v>0.5208333333333333</v>
      </c>
      <c r="H98" s="99">
        <v>0.0</v>
      </c>
      <c r="I98" s="101">
        <v>0.5208333333333333</v>
      </c>
      <c r="J98" s="101">
        <v>0.523611111111111</v>
      </c>
      <c r="K98" s="101">
        <v>0.5319444444444443</v>
      </c>
      <c r="L98" s="101">
        <v>0.5368055555555554</v>
      </c>
      <c r="M98" s="101">
        <v>0.5402777777777776</v>
      </c>
      <c r="N98" s="99">
        <v>5.0</v>
      </c>
      <c r="O98" s="101">
        <v>0.5437499999999998</v>
      </c>
      <c r="P98" s="103">
        <v>44.999999999999815</v>
      </c>
      <c r="Q98" s="103">
        <v>50.999999999999815</v>
      </c>
      <c r="R98" s="103">
        <v>5.9999999999999964</v>
      </c>
      <c r="S98" s="104">
        <v>0.1333333333333338</v>
      </c>
      <c r="T98" s="142">
        <v>28.00000000000006</v>
      </c>
    </row>
    <row r="99" ht="13.5" customHeight="1">
      <c r="A99" s="127"/>
      <c r="B99" s="141" t="s">
        <v>78</v>
      </c>
      <c r="C99" s="161">
        <v>0.5243055555555554</v>
      </c>
      <c r="D99" s="101">
        <v>0.5305555555555553</v>
      </c>
      <c r="E99" s="99">
        <v>0.9999999999999964</v>
      </c>
      <c r="F99" s="101">
        <v>0.5312499999999998</v>
      </c>
      <c r="G99" s="101">
        <v>0.5368055555555553</v>
      </c>
      <c r="H99" s="99">
        <v>0.0</v>
      </c>
      <c r="I99" s="101">
        <v>0.5368055555555553</v>
      </c>
      <c r="J99" s="101">
        <v>0.5395833333333331</v>
      </c>
      <c r="K99" s="101">
        <v>0.5479166666666664</v>
      </c>
      <c r="L99" s="101">
        <v>0.5527777777777775</v>
      </c>
      <c r="M99" s="101">
        <v>0.5562499999999997</v>
      </c>
      <c r="N99" s="99">
        <v>7.0</v>
      </c>
      <c r="O99" s="101">
        <v>0.5611111111111108</v>
      </c>
      <c r="P99" s="103">
        <v>44.999999999999815</v>
      </c>
      <c r="Q99" s="103">
        <v>52.999999999999815</v>
      </c>
      <c r="R99" s="103">
        <v>7.9999999999999964</v>
      </c>
      <c r="S99" s="104">
        <v>0.17777777777777842</v>
      </c>
      <c r="T99" s="142">
        <v>24.99999999999975</v>
      </c>
    </row>
    <row r="100" ht="13.5" customHeight="1">
      <c r="A100" s="127"/>
      <c r="B100" s="141" t="s">
        <v>78</v>
      </c>
      <c r="C100" s="101">
        <v>0.5437499999999998</v>
      </c>
      <c r="D100" s="101">
        <v>0.5499999999999998</v>
      </c>
      <c r="E100" s="99">
        <v>0.9999999999999964</v>
      </c>
      <c r="F100" s="101">
        <v>0.5506944444444443</v>
      </c>
      <c r="G100" s="101">
        <v>0.5562499999999998</v>
      </c>
      <c r="H100" s="99">
        <v>0.0</v>
      </c>
      <c r="I100" s="101">
        <v>0.5562499999999998</v>
      </c>
      <c r="J100" s="101">
        <v>0.5590277777777776</v>
      </c>
      <c r="K100" s="101">
        <v>0.5673611111111109</v>
      </c>
      <c r="L100" s="101">
        <v>0.572222222222222</v>
      </c>
      <c r="M100" s="101">
        <v>0.5756944444444442</v>
      </c>
      <c r="N100" s="99">
        <v>5.0</v>
      </c>
      <c r="O100" s="101">
        <v>0.5791666666666664</v>
      </c>
      <c r="P100" s="103">
        <v>44.999999999999815</v>
      </c>
      <c r="Q100" s="103">
        <v>50.999999999999815</v>
      </c>
      <c r="R100" s="103">
        <v>5.9999999999999964</v>
      </c>
      <c r="S100" s="104">
        <v>0.1333333333333338</v>
      </c>
      <c r="T100" s="142">
        <v>26.000000000000068</v>
      </c>
    </row>
    <row r="101" ht="13.5" customHeight="1">
      <c r="A101" s="127"/>
      <c r="B101" s="141" t="s">
        <v>78</v>
      </c>
      <c r="C101" s="101">
        <v>0.5611111111111108</v>
      </c>
      <c r="D101" s="101">
        <v>0.5673611111111108</v>
      </c>
      <c r="E101" s="99">
        <v>0.9999999999999964</v>
      </c>
      <c r="F101" s="101">
        <v>0.5680555555555552</v>
      </c>
      <c r="G101" s="101">
        <v>0.5736111111111107</v>
      </c>
      <c r="H101" s="99">
        <v>0.0</v>
      </c>
      <c r="I101" s="101">
        <v>0.5736111111111107</v>
      </c>
      <c r="J101" s="101">
        <v>0.5763888888888885</v>
      </c>
      <c r="K101" s="101">
        <v>0.5847222222222218</v>
      </c>
      <c r="L101" s="101">
        <v>0.5895833333333329</v>
      </c>
      <c r="M101" s="101">
        <v>0.5930555555555551</v>
      </c>
      <c r="N101" s="99">
        <v>5.0</v>
      </c>
      <c r="O101" s="101">
        <v>0.5965277777777773</v>
      </c>
      <c r="P101" s="103">
        <v>44.999999999999815</v>
      </c>
      <c r="Q101" s="103">
        <v>50.999999999999815</v>
      </c>
      <c r="R101" s="103">
        <v>5.9999999999999964</v>
      </c>
      <c r="S101" s="104">
        <v>0.1333333333333338</v>
      </c>
      <c r="T101" s="142">
        <v>24.99999999999975</v>
      </c>
    </row>
    <row r="102" ht="13.5" customHeight="1">
      <c r="A102" s="127"/>
      <c r="B102" s="141" t="s">
        <v>78</v>
      </c>
      <c r="C102" s="101">
        <v>0.5791666666666664</v>
      </c>
      <c r="D102" s="101">
        <v>0.5854166666666664</v>
      </c>
      <c r="E102" s="99">
        <v>0.9999999999999964</v>
      </c>
      <c r="F102" s="101">
        <v>0.5861111111111108</v>
      </c>
      <c r="G102" s="101">
        <v>0.5916666666666663</v>
      </c>
      <c r="H102" s="99">
        <v>0.0</v>
      </c>
      <c r="I102" s="101">
        <v>0.5916666666666663</v>
      </c>
      <c r="J102" s="101">
        <v>0.5944444444444441</v>
      </c>
      <c r="K102" s="101">
        <v>0.6027777777777774</v>
      </c>
      <c r="L102" s="101">
        <v>0.6076388888888885</v>
      </c>
      <c r="M102" s="101">
        <v>0.6111111111111107</v>
      </c>
      <c r="N102" s="99">
        <v>5.0</v>
      </c>
      <c r="O102" s="101">
        <v>0.6145833333333329</v>
      </c>
      <c r="P102" s="103">
        <v>44.999999999999815</v>
      </c>
      <c r="Q102" s="103">
        <v>50.999999999999815</v>
      </c>
      <c r="R102" s="103">
        <v>5.9999999999999964</v>
      </c>
      <c r="S102" s="104">
        <v>0.1333333333333338</v>
      </c>
      <c r="T102" s="142">
        <v>26.000000000000068</v>
      </c>
    </row>
    <row r="103" ht="13.5" customHeight="1">
      <c r="A103" s="127"/>
      <c r="B103" s="141" t="s">
        <v>78</v>
      </c>
      <c r="C103" s="161">
        <v>0.5965277777777773</v>
      </c>
      <c r="D103" s="101">
        <v>0.6027777777777773</v>
      </c>
      <c r="E103" s="99">
        <v>0.9999999999999964</v>
      </c>
      <c r="F103" s="101">
        <v>0.6034722222222217</v>
      </c>
      <c r="G103" s="101">
        <v>0.6090277777777773</v>
      </c>
      <c r="H103" s="99">
        <v>0.0</v>
      </c>
      <c r="I103" s="101">
        <v>0.6090277777777773</v>
      </c>
      <c r="J103" s="101">
        <v>0.611805555555555</v>
      </c>
      <c r="K103" s="101">
        <v>0.6201388888888884</v>
      </c>
      <c r="L103" s="101">
        <v>0.6249999999999994</v>
      </c>
      <c r="M103" s="101">
        <v>0.6284722222222217</v>
      </c>
      <c r="N103" s="99">
        <v>5.0</v>
      </c>
      <c r="O103" s="101">
        <v>0.6319444444444439</v>
      </c>
      <c r="P103" s="103">
        <v>44.999999999999815</v>
      </c>
      <c r="Q103" s="103">
        <v>50.999999999999815</v>
      </c>
      <c r="R103" s="103">
        <v>5.9999999999999964</v>
      </c>
      <c r="S103" s="104">
        <v>0.1333333333333338</v>
      </c>
      <c r="T103" s="142">
        <v>24.99999999999975</v>
      </c>
    </row>
    <row r="104" ht="13.5" customHeight="1">
      <c r="A104" s="127"/>
      <c r="B104" s="141" t="s">
        <v>78</v>
      </c>
      <c r="C104" s="101">
        <v>0.6145833333333329</v>
      </c>
      <c r="D104" s="101">
        <v>0.6208333333333329</v>
      </c>
      <c r="E104" s="99">
        <v>0.9999999999999964</v>
      </c>
      <c r="F104" s="101">
        <v>0.6215277777777773</v>
      </c>
      <c r="G104" s="101">
        <v>0.6270833333333329</v>
      </c>
      <c r="H104" s="99">
        <v>0.0</v>
      </c>
      <c r="I104" s="101">
        <v>0.6270833333333329</v>
      </c>
      <c r="J104" s="101">
        <v>0.6298611111111106</v>
      </c>
      <c r="K104" s="101">
        <v>0.638194444444444</v>
      </c>
      <c r="L104" s="101">
        <v>0.643055555555555</v>
      </c>
      <c r="M104" s="101">
        <v>0.6465277777777773</v>
      </c>
      <c r="N104" s="99">
        <v>5.0</v>
      </c>
      <c r="O104" s="101">
        <v>0.6499999999999995</v>
      </c>
      <c r="P104" s="103">
        <v>44.999999999999815</v>
      </c>
      <c r="Q104" s="103">
        <v>50.999999999999815</v>
      </c>
      <c r="R104" s="103">
        <v>5.9999999999999964</v>
      </c>
      <c r="S104" s="104">
        <v>0.1333333333333338</v>
      </c>
      <c r="T104" s="142">
        <v>26.000000000000068</v>
      </c>
    </row>
    <row r="105" ht="13.5" customHeight="1">
      <c r="A105" s="127"/>
      <c r="B105" s="141" t="s">
        <v>78</v>
      </c>
      <c r="C105" s="101">
        <v>0.6319444444444439</v>
      </c>
      <c r="D105" s="101">
        <v>0.6381944444444438</v>
      </c>
      <c r="E105" s="99">
        <v>0.9999999999999964</v>
      </c>
      <c r="F105" s="101">
        <v>0.6388888888888883</v>
      </c>
      <c r="G105" s="101">
        <v>0.6444444444444438</v>
      </c>
      <c r="H105" s="99">
        <v>0.0</v>
      </c>
      <c r="I105" s="101">
        <v>0.6444444444444438</v>
      </c>
      <c r="J105" s="101">
        <v>0.6472222222222216</v>
      </c>
      <c r="K105" s="101">
        <v>0.6555555555555549</v>
      </c>
      <c r="L105" s="101">
        <v>0.660416666666666</v>
      </c>
      <c r="M105" s="101">
        <v>0.6638888888888882</v>
      </c>
      <c r="N105" s="99">
        <v>7.0</v>
      </c>
      <c r="O105" s="101">
        <v>0.6687499999999993</v>
      </c>
      <c r="P105" s="103">
        <v>44.999999999999815</v>
      </c>
      <c r="Q105" s="103">
        <v>52.999999999999815</v>
      </c>
      <c r="R105" s="103">
        <v>7.9999999999999964</v>
      </c>
      <c r="S105" s="104">
        <v>0.17777777777777842</v>
      </c>
      <c r="T105" s="142">
        <v>26.999999999999744</v>
      </c>
    </row>
    <row r="106" ht="13.5" customHeight="1">
      <c r="A106" s="127"/>
      <c r="B106" s="141" t="s">
        <v>78</v>
      </c>
      <c r="C106" s="101">
        <v>0.6499999999999995</v>
      </c>
      <c r="D106" s="101">
        <v>0.6562499999999994</v>
      </c>
      <c r="E106" s="99">
        <v>0.9999999999999964</v>
      </c>
      <c r="F106" s="101">
        <v>0.6569444444444439</v>
      </c>
      <c r="G106" s="101">
        <v>0.6624999999999994</v>
      </c>
      <c r="H106" s="99">
        <v>0.0</v>
      </c>
      <c r="I106" s="101">
        <v>0.6624999999999994</v>
      </c>
      <c r="J106" s="101">
        <v>0.6652777777777772</v>
      </c>
      <c r="K106" s="101">
        <v>0.6736111111111105</v>
      </c>
      <c r="L106" s="101">
        <v>0.6784722222222216</v>
      </c>
      <c r="M106" s="101">
        <v>0.6819444444444438</v>
      </c>
      <c r="N106" s="99">
        <v>5.0</v>
      </c>
      <c r="O106" s="101">
        <v>0.685416666666666</v>
      </c>
      <c r="P106" s="103">
        <v>44.999999999999815</v>
      </c>
      <c r="Q106" s="103">
        <v>50.999999999999815</v>
      </c>
      <c r="R106" s="103">
        <v>5.9999999999999964</v>
      </c>
      <c r="S106" s="104">
        <v>0.1333333333333338</v>
      </c>
      <c r="T106" s="142">
        <v>24.000000000000075</v>
      </c>
    </row>
    <row r="107" ht="13.5" customHeight="1">
      <c r="A107" s="127"/>
      <c r="B107" s="141" t="s">
        <v>79</v>
      </c>
      <c r="C107" s="161">
        <v>0.6687499999999993</v>
      </c>
      <c r="D107" s="101">
        <v>0.6749999999999993</v>
      </c>
      <c r="E107" s="99">
        <v>0.9999999999999964</v>
      </c>
      <c r="F107" s="101">
        <v>0.6756944444444437</v>
      </c>
      <c r="G107" s="101">
        <v>0.6812499999999992</v>
      </c>
      <c r="H107" s="99">
        <v>0.0</v>
      </c>
      <c r="I107" s="101">
        <v>0.6812499999999992</v>
      </c>
      <c r="J107" s="101">
        <v>0.684027777777777</v>
      </c>
      <c r="K107" s="101">
        <v>0.6916666666666659</v>
      </c>
      <c r="L107" s="101">
        <v>0.6951388888888881</v>
      </c>
      <c r="M107" s="101">
        <v>0.6986111111111103</v>
      </c>
      <c r="N107" s="99">
        <v>5.0</v>
      </c>
      <c r="O107" s="101">
        <v>0.7020833333333325</v>
      </c>
      <c r="P107" s="103">
        <v>41.99999999999983</v>
      </c>
      <c r="Q107" s="103">
        <v>47.99999999999983</v>
      </c>
      <c r="R107" s="103">
        <v>5.9999999999999964</v>
      </c>
      <c r="S107" s="104">
        <v>0.14285714285714335</v>
      </c>
      <c r="T107" s="142">
        <v>23.999999999999755</v>
      </c>
    </row>
    <row r="108" ht="13.5" customHeight="1">
      <c r="A108" s="127"/>
      <c r="B108" s="141" t="s">
        <v>79</v>
      </c>
      <c r="C108" s="161">
        <v>0.685416666666666</v>
      </c>
      <c r="D108" s="101">
        <v>0.691666666666666</v>
      </c>
      <c r="E108" s="99">
        <v>0.9999999999999964</v>
      </c>
      <c r="F108" s="101">
        <v>0.6923611111111104</v>
      </c>
      <c r="G108" s="101">
        <v>0.697916666666666</v>
      </c>
      <c r="H108" s="99">
        <v>0.0</v>
      </c>
      <c r="I108" s="101">
        <v>0.697916666666666</v>
      </c>
      <c r="J108" s="101">
        <v>0.7006944444444437</v>
      </c>
      <c r="K108" s="101">
        <v>0.7083333333333326</v>
      </c>
      <c r="L108" s="101">
        <v>0.7118055555555548</v>
      </c>
      <c r="M108" s="101">
        <v>0.715277777777777</v>
      </c>
      <c r="N108" s="99">
        <v>5.0</v>
      </c>
      <c r="O108" s="101">
        <v>0.7187499999999992</v>
      </c>
      <c r="P108" s="103">
        <v>41.99999999999983</v>
      </c>
      <c r="Q108" s="103">
        <v>47.99999999999983</v>
      </c>
      <c r="R108" s="103">
        <v>5.9999999999999964</v>
      </c>
      <c r="S108" s="104">
        <v>0.14285714285714335</v>
      </c>
      <c r="T108" s="142">
        <v>24.000000000000075</v>
      </c>
    </row>
    <row r="109" ht="13.5" customHeight="1">
      <c r="A109" s="127"/>
      <c r="B109" s="141" t="s">
        <v>79</v>
      </c>
      <c r="C109" s="161">
        <v>0.7020833333333325</v>
      </c>
      <c r="D109" s="101">
        <v>0.7083333333333325</v>
      </c>
      <c r="E109" s="99">
        <v>0.9999999999999964</v>
      </c>
      <c r="F109" s="101">
        <v>0.7090277777777769</v>
      </c>
      <c r="G109" s="101">
        <v>0.7145833333333325</v>
      </c>
      <c r="H109" s="99">
        <v>0.0</v>
      </c>
      <c r="I109" s="101">
        <v>0.7145833333333325</v>
      </c>
      <c r="J109" s="101">
        <v>0.7173611111111102</v>
      </c>
      <c r="K109" s="101">
        <v>0.7249999999999991</v>
      </c>
      <c r="L109" s="101">
        <v>0.7284722222222213</v>
      </c>
      <c r="M109" s="101">
        <v>0.7319444444444435</v>
      </c>
      <c r="N109" s="99">
        <v>5.0</v>
      </c>
      <c r="O109" s="101">
        <v>0.7354166666666657</v>
      </c>
      <c r="P109" s="103">
        <v>41.99999999999983</v>
      </c>
      <c r="Q109" s="103">
        <v>47.99999999999983</v>
      </c>
      <c r="R109" s="103">
        <v>5.9999999999999964</v>
      </c>
      <c r="S109" s="104">
        <v>0.14285714285714335</v>
      </c>
      <c r="T109" s="142">
        <v>23.999999999999755</v>
      </c>
    </row>
    <row r="110" ht="13.5" customHeight="1">
      <c r="A110" s="127"/>
      <c r="B110" s="141" t="s">
        <v>79</v>
      </c>
      <c r="C110" s="101">
        <v>0.7187499999999992</v>
      </c>
      <c r="D110" s="101">
        <v>0.7249999999999992</v>
      </c>
      <c r="E110" s="99">
        <v>0.9999999999999964</v>
      </c>
      <c r="F110" s="101">
        <v>0.7256944444444436</v>
      </c>
      <c r="G110" s="101">
        <v>0.7312499999999992</v>
      </c>
      <c r="H110" s="99">
        <v>0.0</v>
      </c>
      <c r="I110" s="101">
        <v>0.7312499999999992</v>
      </c>
      <c r="J110" s="101">
        <v>0.734027777777777</v>
      </c>
      <c r="K110" s="101">
        <v>0.7416666666666658</v>
      </c>
      <c r="L110" s="101">
        <v>0.745138888888888</v>
      </c>
      <c r="M110" s="101">
        <v>0.7486111111111102</v>
      </c>
      <c r="N110" s="99"/>
      <c r="O110" s="155"/>
      <c r="P110" s="103">
        <v>41.999999999999844</v>
      </c>
      <c r="Q110" s="103">
        <v>42.999999999999844</v>
      </c>
      <c r="R110" s="103">
        <v>0.9999999999999964</v>
      </c>
      <c r="S110" s="104">
        <v>0.023809523809523815</v>
      </c>
      <c r="T110" s="142">
        <v>24.000000000000075</v>
      </c>
    </row>
    <row r="111" ht="13.5" customHeight="1">
      <c r="A111" s="127"/>
      <c r="B111" s="141" t="s">
        <v>79</v>
      </c>
      <c r="C111" s="101">
        <v>0.7354166666666657</v>
      </c>
      <c r="D111" s="101">
        <v>0.7416666666666657</v>
      </c>
      <c r="E111" s="99">
        <v>0.9999999999999964</v>
      </c>
      <c r="F111" s="101">
        <v>0.7423611111111101</v>
      </c>
      <c r="G111" s="101">
        <v>0.7479166666666657</v>
      </c>
      <c r="H111" s="99">
        <v>0.0</v>
      </c>
      <c r="I111" s="101">
        <v>0.7479166666666657</v>
      </c>
      <c r="J111" s="101">
        <v>0.7506944444444434</v>
      </c>
      <c r="K111" s="101">
        <v>0.7583333333333323</v>
      </c>
      <c r="L111" s="101">
        <v>0.7618055555555545</v>
      </c>
      <c r="M111" s="101">
        <v>0.7652777777777767</v>
      </c>
      <c r="N111" s="99">
        <v>7.0</v>
      </c>
      <c r="O111" s="101">
        <v>0.7701388888888878</v>
      </c>
      <c r="P111" s="103">
        <v>41.99999999999983</v>
      </c>
      <c r="Q111" s="103">
        <v>49.99999999999982</v>
      </c>
      <c r="R111" s="103">
        <v>7.9999999999999964</v>
      </c>
      <c r="S111" s="104">
        <v>0.19047619047619116</v>
      </c>
      <c r="T111" s="142">
        <v>23.999999999999755</v>
      </c>
    </row>
    <row r="112" ht="13.5" customHeight="1">
      <c r="A112" s="127"/>
      <c r="B112" s="141" t="s">
        <v>79</v>
      </c>
      <c r="C112" s="101">
        <v>0.7701388888888878</v>
      </c>
      <c r="D112" s="101">
        <v>0.7763888888888878</v>
      </c>
      <c r="E112" s="99">
        <v>0.9999999999999964</v>
      </c>
      <c r="F112" s="101">
        <v>0.7770833333333322</v>
      </c>
      <c r="G112" s="101">
        <v>0.7826388888888878</v>
      </c>
      <c r="H112" s="99">
        <v>0.0</v>
      </c>
      <c r="I112" s="101">
        <v>0.7826388888888878</v>
      </c>
      <c r="J112" s="101">
        <v>0.7854166666666655</v>
      </c>
      <c r="K112" s="101">
        <v>0.7930555555555544</v>
      </c>
      <c r="L112" s="101">
        <v>0.7965277777777766</v>
      </c>
      <c r="M112" s="101">
        <v>0.7999999999999988</v>
      </c>
      <c r="N112" s="99">
        <v>5.0</v>
      </c>
      <c r="O112" s="101">
        <v>0.803472222222221</v>
      </c>
      <c r="P112" s="103">
        <v>41.99999999999983</v>
      </c>
      <c r="Q112" s="103">
        <v>47.99999999999983</v>
      </c>
      <c r="R112" s="103">
        <v>5.9999999999999964</v>
      </c>
      <c r="S112" s="104">
        <v>0.14285714285714335</v>
      </c>
      <c r="T112" s="142">
        <v>47.99999999999983</v>
      </c>
    </row>
    <row r="113" ht="13.5" customHeight="1">
      <c r="A113" s="127"/>
      <c r="B113" s="141" t="s">
        <v>79</v>
      </c>
      <c r="C113" s="101">
        <v>0.803472222222221</v>
      </c>
      <c r="D113" s="101">
        <v>0.809722222222221</v>
      </c>
      <c r="E113" s="99">
        <v>0.9999999999999964</v>
      </c>
      <c r="F113" s="101">
        <v>0.8104166666666655</v>
      </c>
      <c r="G113" s="101">
        <v>0.815972222222221</v>
      </c>
      <c r="H113" s="99">
        <v>0.0</v>
      </c>
      <c r="I113" s="101">
        <v>0.815972222222221</v>
      </c>
      <c r="J113" s="101">
        <v>0.8187499999999988</v>
      </c>
      <c r="K113" s="101">
        <v>0.8263888888888876</v>
      </c>
      <c r="L113" s="101">
        <v>0.8298611111111098</v>
      </c>
      <c r="M113" s="101">
        <v>0.833333333333332</v>
      </c>
      <c r="N113" s="99">
        <v>5.0</v>
      </c>
      <c r="O113" s="101">
        <v>0.8368055555555542</v>
      </c>
      <c r="P113" s="103">
        <v>41.99999999999983</v>
      </c>
      <c r="Q113" s="103">
        <v>47.99999999999983</v>
      </c>
      <c r="R113" s="103">
        <v>5.9999999999999964</v>
      </c>
      <c r="S113" s="104">
        <v>0.14285714285714335</v>
      </c>
      <c r="T113" s="142">
        <v>47.99999999999983</v>
      </c>
    </row>
    <row r="114" ht="13.5" customHeight="1">
      <c r="A114" s="127"/>
      <c r="B114" s="141" t="s">
        <v>98</v>
      </c>
      <c r="C114" s="101">
        <v>0.8368055555555542</v>
      </c>
      <c r="D114" s="101">
        <v>0.8416666666666653</v>
      </c>
      <c r="E114" s="99">
        <v>0.9999999999999964</v>
      </c>
      <c r="F114" s="101">
        <v>0.8423611111111098</v>
      </c>
      <c r="G114" s="101">
        <v>0.8479166666666653</v>
      </c>
      <c r="H114" s="99">
        <v>0.0</v>
      </c>
      <c r="I114" s="101">
        <v>0.8479166666666653</v>
      </c>
      <c r="J114" s="101">
        <v>0.8506944444444431</v>
      </c>
      <c r="K114" s="101">
        <v>0.858333333333332</v>
      </c>
      <c r="L114" s="101">
        <v>0.8618055555555542</v>
      </c>
      <c r="M114" s="101">
        <v>0.8652777777777764</v>
      </c>
      <c r="N114" s="99">
        <v>5.0</v>
      </c>
      <c r="O114" s="101">
        <v>0.8687499999999986</v>
      </c>
      <c r="P114" s="103">
        <v>39.999999999999844</v>
      </c>
      <c r="Q114" s="103">
        <v>45.99999999999984</v>
      </c>
      <c r="R114" s="103">
        <v>5.9999999999999964</v>
      </c>
      <c r="S114" s="104">
        <v>0.1500000000000005</v>
      </c>
      <c r="T114" s="142">
        <v>45.99999999999984</v>
      </c>
    </row>
    <row r="115" ht="13.5" customHeight="1">
      <c r="A115" s="127"/>
      <c r="B115" s="141" t="s">
        <v>98</v>
      </c>
      <c r="C115" s="101">
        <v>0.8687499999999986</v>
      </c>
      <c r="D115" s="101">
        <v>0.8736111111111097</v>
      </c>
      <c r="E115" s="99">
        <v>0.9999999999999964</v>
      </c>
      <c r="F115" s="101">
        <v>0.8743055555555541</v>
      </c>
      <c r="G115" s="101">
        <v>0.8798611111111097</v>
      </c>
      <c r="H115" s="99">
        <v>0.0</v>
      </c>
      <c r="I115" s="101">
        <v>0.8798611111111097</v>
      </c>
      <c r="J115" s="101">
        <v>0.8826388888888874</v>
      </c>
      <c r="K115" s="101">
        <v>0.8902777777777763</v>
      </c>
      <c r="L115" s="101">
        <v>0.8937499999999985</v>
      </c>
      <c r="M115" s="101">
        <v>0.8972222222222207</v>
      </c>
      <c r="N115" s="99">
        <v>5.0</v>
      </c>
      <c r="O115" s="101">
        <v>0.9006944444444429</v>
      </c>
      <c r="P115" s="103">
        <v>39.999999999999844</v>
      </c>
      <c r="Q115" s="103">
        <v>45.99999999999984</v>
      </c>
      <c r="R115" s="103">
        <v>5.9999999999999964</v>
      </c>
      <c r="S115" s="104">
        <v>0.1500000000000005</v>
      </c>
      <c r="T115" s="142">
        <v>45.99999999999984</v>
      </c>
    </row>
    <row r="116" ht="13.5" customHeight="1">
      <c r="A116" s="127"/>
      <c r="B116" s="141" t="s">
        <v>98</v>
      </c>
      <c r="C116" s="101">
        <v>0.9006944444444429</v>
      </c>
      <c r="D116" s="101">
        <v>0.905555555555554</v>
      </c>
      <c r="E116" s="99">
        <v>0.9999999999999964</v>
      </c>
      <c r="F116" s="101">
        <v>0.9062499999999984</v>
      </c>
      <c r="G116" s="101">
        <v>0.911805555555554</v>
      </c>
      <c r="H116" s="99">
        <v>0.0</v>
      </c>
      <c r="I116" s="101">
        <v>0.911805555555554</v>
      </c>
      <c r="J116" s="101">
        <v>0.9145833333333317</v>
      </c>
      <c r="K116" s="101">
        <v>0.9222222222222206</v>
      </c>
      <c r="L116" s="101">
        <v>0.9256944444444428</v>
      </c>
      <c r="M116" s="101">
        <v>0.929166666666665</v>
      </c>
      <c r="N116" s="99">
        <v>5.0</v>
      </c>
      <c r="O116" s="101">
        <v>0.9326388888888872</v>
      </c>
      <c r="P116" s="103">
        <v>39.999999999999844</v>
      </c>
      <c r="Q116" s="103">
        <v>45.99999999999984</v>
      </c>
      <c r="R116" s="103">
        <v>5.9999999999999964</v>
      </c>
      <c r="S116" s="104">
        <v>0.1500000000000005</v>
      </c>
      <c r="T116" s="142">
        <v>45.99999999999984</v>
      </c>
    </row>
    <row r="117" ht="13.5" customHeight="1">
      <c r="A117" s="127"/>
      <c r="B117" s="141" t="s">
        <v>98</v>
      </c>
      <c r="C117" s="101">
        <v>0.9326388888888872</v>
      </c>
      <c r="D117" s="101">
        <v>0.9374999999999983</v>
      </c>
      <c r="E117" s="99">
        <v>0.9999999999999964</v>
      </c>
      <c r="F117" s="101">
        <v>0.9381944444444428</v>
      </c>
      <c r="G117" s="101">
        <v>0.9437499999999983</v>
      </c>
      <c r="H117" s="99">
        <v>0.0</v>
      </c>
      <c r="I117" s="101">
        <v>0.9437499999999983</v>
      </c>
      <c r="J117" s="101">
        <v>0.9465277777777761</v>
      </c>
      <c r="K117" s="101">
        <v>0.9541666666666649</v>
      </c>
      <c r="L117" s="101">
        <v>0.9576388888888872</v>
      </c>
      <c r="M117" s="101">
        <v>0.9611111111111094</v>
      </c>
      <c r="N117" s="99">
        <v>5.0</v>
      </c>
      <c r="O117" s="101">
        <v>0.9645833333333316</v>
      </c>
      <c r="P117" s="103">
        <v>39.999999999999844</v>
      </c>
      <c r="Q117" s="103">
        <v>45.99999999999984</v>
      </c>
      <c r="R117" s="103">
        <v>5.9999999999999964</v>
      </c>
      <c r="S117" s="104">
        <v>0.1500000000000005</v>
      </c>
      <c r="T117" s="142">
        <v>45.99999999999984</v>
      </c>
    </row>
    <row r="118" ht="13.5" customHeight="1">
      <c r="A118" s="156"/>
      <c r="M118" s="110" t="s">
        <v>81</v>
      </c>
      <c r="P118" s="157">
        <v>19.51666666666658</v>
      </c>
      <c r="Q118" s="112">
        <v>22.333333333333247</v>
      </c>
      <c r="R118" s="159">
        <v>2.816666666666666</v>
      </c>
      <c r="S118" s="104">
        <v>0.14432109308283578</v>
      </c>
    </row>
    <row r="119" ht="13.5" customHeight="1"/>
    <row r="120" ht="13.5" customHeight="1">
      <c r="Q120" s="109"/>
    </row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M84:O84"/>
    <mergeCell ref="M118:O118"/>
    <mergeCell ref="A1:A42"/>
    <mergeCell ref="D1:R1"/>
    <mergeCell ref="M42:O42"/>
    <mergeCell ref="A43:A84"/>
    <mergeCell ref="D44:R44"/>
    <mergeCell ref="A85:A118"/>
    <mergeCell ref="D86:R86"/>
  </mergeCells>
  <conditionalFormatting sqref="A1:A42 B42:D42">
    <cfRule type="containsText" dxfId="1" priority="1" operator="containsText" text="Afternoon">
      <formula>NOT(ISERROR(SEARCH(("Afternoon"),(A1))))</formula>
    </cfRule>
  </conditionalFormatting>
  <conditionalFormatting sqref="A42:D42">
    <cfRule type="containsText" dxfId="3" priority="2" operator="containsText" text="Night">
      <formula>NOT(ISERROR(SEARCH(("Night"),(A42))))</formula>
    </cfRule>
  </conditionalFormatting>
  <conditionalFormatting sqref="A42:D42">
    <cfRule type="containsText" dxfId="4" priority="3" operator="containsText" text="Evening">
      <formula>NOT(ISERROR(SEARCH(("Evening"),(A42))))</formula>
    </cfRule>
  </conditionalFormatting>
  <conditionalFormatting sqref="A42:D42">
    <cfRule type="containsText" dxfId="5" priority="4" operator="containsText" text="Peak">
      <formula>NOT(ISERROR(SEARCH(("Peak"),(A42))))</formula>
    </cfRule>
  </conditionalFormatting>
  <conditionalFormatting sqref="A43:A84 B43:Q43 B84:D84">
    <cfRule type="containsText" dxfId="1" priority="5" operator="containsText" text="Afternoon">
      <formula>NOT(ISERROR(SEARCH(("Afternoon"),(A43))))</formula>
    </cfRule>
  </conditionalFormatting>
  <conditionalFormatting sqref="A84:D84">
    <cfRule type="containsText" dxfId="3" priority="6" operator="containsText" text="Night">
      <formula>NOT(ISERROR(SEARCH(("Night"),(A84))))</formula>
    </cfRule>
  </conditionalFormatting>
  <conditionalFormatting sqref="A84:D84">
    <cfRule type="containsText" dxfId="4" priority="7" operator="containsText" text="Evening">
      <formula>NOT(ISERROR(SEARCH(("Evening"),(A84))))</formula>
    </cfRule>
  </conditionalFormatting>
  <conditionalFormatting sqref="A84:D84">
    <cfRule type="containsText" dxfId="5" priority="8" operator="containsText" text="Peak">
      <formula>NOT(ISERROR(SEARCH(("Peak"),(A84))))</formula>
    </cfRule>
  </conditionalFormatting>
  <conditionalFormatting sqref="A85:A118 B85:Q85 B118:D118">
    <cfRule type="containsText" dxfId="1" priority="9" operator="containsText" text="Afternoon">
      <formula>NOT(ISERROR(SEARCH(("Afternoon"),(A85))))</formula>
    </cfRule>
  </conditionalFormatting>
  <conditionalFormatting sqref="A118:D118">
    <cfRule type="containsText" dxfId="3" priority="10" operator="containsText" text="Night">
      <formula>NOT(ISERROR(SEARCH(("Night"),(A118))))</formula>
    </cfRule>
  </conditionalFormatting>
  <conditionalFormatting sqref="A118:D118">
    <cfRule type="containsText" dxfId="4" priority="11" operator="containsText" text="Evening">
      <formula>NOT(ISERROR(SEARCH(("Evening"),(A118))))</formula>
    </cfRule>
  </conditionalFormatting>
  <conditionalFormatting sqref="A118:D118">
    <cfRule type="containsText" dxfId="5" priority="12" operator="containsText" text="Peak">
      <formula>NOT(ISERROR(SEARCH(("Peak"),(A118))))</formula>
    </cfRule>
  </conditionalFormatting>
  <conditionalFormatting sqref="A1:A42 B42:D42">
    <cfRule type="containsText" dxfId="2" priority="13" operator="containsText" text="Morning">
      <formula>NOT(ISERROR(SEARCH(("Morning"),(A1))))</formula>
    </cfRule>
  </conditionalFormatting>
  <conditionalFormatting sqref="A1:A41">
    <cfRule type="containsText" dxfId="3" priority="14" operator="containsText" text="Night">
      <formula>NOT(ISERROR(SEARCH(("Night"),(A1))))</formula>
    </cfRule>
  </conditionalFormatting>
  <conditionalFormatting sqref="A1:A41">
    <cfRule type="containsText" dxfId="4" priority="15" operator="containsText" text="Evening">
      <formula>NOT(ISERROR(SEARCH(("Evening"),(A1))))</formula>
    </cfRule>
  </conditionalFormatting>
  <conditionalFormatting sqref="A1:A41">
    <cfRule type="containsText" dxfId="5" priority="16" operator="containsText" text="Peak">
      <formula>NOT(ISERROR(SEARCH(("Peak"),(A1))))</formula>
    </cfRule>
  </conditionalFormatting>
  <conditionalFormatting sqref="A43:A84 B43:Q43 B84:D84">
    <cfRule type="containsText" dxfId="2" priority="17" operator="containsText" text="Morning">
      <formula>NOT(ISERROR(SEARCH(("Morning"),(A43))))</formula>
    </cfRule>
  </conditionalFormatting>
  <conditionalFormatting sqref="A43:A83 B43:Q43">
    <cfRule type="containsText" dxfId="3" priority="18" operator="containsText" text="Night">
      <formula>NOT(ISERROR(SEARCH(("Night"),(A43))))</formula>
    </cfRule>
  </conditionalFormatting>
  <conditionalFormatting sqref="A43:A83 B43:Q43">
    <cfRule type="containsText" dxfId="4" priority="19" operator="containsText" text="Evening">
      <formula>NOT(ISERROR(SEARCH(("Evening"),(A43))))</formula>
    </cfRule>
  </conditionalFormatting>
  <conditionalFormatting sqref="A43:A83 B43:Q43">
    <cfRule type="containsText" dxfId="5" priority="20" operator="containsText" text="Peak">
      <formula>NOT(ISERROR(SEARCH(("Peak"),(A43))))</formula>
    </cfRule>
  </conditionalFormatting>
  <conditionalFormatting sqref="A85:A118 B85:Q85 B118:D118">
    <cfRule type="containsText" dxfId="2" priority="21" operator="containsText" text="Morning">
      <formula>NOT(ISERROR(SEARCH(("Morning"),(A85))))</formula>
    </cfRule>
  </conditionalFormatting>
  <conditionalFormatting sqref="A85:A117 B85:Q85">
    <cfRule type="containsText" dxfId="3" priority="22" operator="containsText" text="Night">
      <formula>NOT(ISERROR(SEARCH(("Night"),(A85))))</formula>
    </cfRule>
  </conditionalFormatting>
  <conditionalFormatting sqref="A85:A117 B85:Q85">
    <cfRule type="containsText" dxfId="4" priority="23" operator="containsText" text="Evening">
      <formula>NOT(ISERROR(SEARCH(("Evening"),(A85))))</formula>
    </cfRule>
  </conditionalFormatting>
  <conditionalFormatting sqref="A85:A117 B85:Q85">
    <cfRule type="containsText" dxfId="5" priority="24" operator="containsText" text="Peak">
      <formula>NOT(ISERROR(SEARCH(("Peak"),(A85))))</formula>
    </cfRule>
  </conditionalFormatting>
  <conditionalFormatting sqref="B10:B41">
    <cfRule type="containsText" dxfId="0" priority="25" operator="containsText" text="Early Morning">
      <formula>NOT(ISERROR(SEARCH(("Early Morning"),(B10))))</formula>
    </cfRule>
  </conditionalFormatting>
  <conditionalFormatting sqref="B10:B41">
    <cfRule type="containsText" dxfId="3" priority="26" operator="containsText" text="Night">
      <formula>NOT(ISERROR(SEARCH(("Night"),(B10))))</formula>
    </cfRule>
  </conditionalFormatting>
  <conditionalFormatting sqref="B10:B41">
    <cfRule type="containsText" dxfId="4" priority="27" operator="containsText" text="Evening">
      <formula>NOT(ISERROR(SEARCH(("Evening"),(B10))))</formula>
    </cfRule>
  </conditionalFormatting>
  <conditionalFormatting sqref="B10:B41">
    <cfRule type="containsText" dxfId="5" priority="28" operator="containsText" text="Peak">
      <formula>NOT(ISERROR(SEARCH(("Peak"),(B10))))</formula>
    </cfRule>
  </conditionalFormatting>
  <conditionalFormatting sqref="B10:B41">
    <cfRule type="containsText" dxfId="1" priority="29" operator="containsText" text="Midday">
      <formula>NOT(ISERROR(SEARCH(("Midday"),(B10))))</formula>
    </cfRule>
  </conditionalFormatting>
  <conditionalFormatting sqref="B10:B41">
    <cfRule type="containsText" dxfId="2" priority="30" operator="containsText" text="Morning">
      <formula>NOT(ISERROR(SEARCH(("Morning"),(B10))))</formula>
    </cfRule>
  </conditionalFormatting>
  <conditionalFormatting sqref="B53:B83">
    <cfRule type="containsText" dxfId="0" priority="31" operator="containsText" text="Early Morning">
      <formula>NOT(ISERROR(SEARCH(("Early Morning"),(B53))))</formula>
    </cfRule>
  </conditionalFormatting>
  <conditionalFormatting sqref="B53:B83">
    <cfRule type="containsText" dxfId="3" priority="32" operator="containsText" text="Night">
      <formula>NOT(ISERROR(SEARCH(("Night"),(B53))))</formula>
    </cfRule>
  </conditionalFormatting>
  <conditionalFormatting sqref="B53:B83">
    <cfRule type="containsText" dxfId="4" priority="33" operator="containsText" text="Evening">
      <formula>NOT(ISERROR(SEARCH(("Evening"),(B53))))</formula>
    </cfRule>
  </conditionalFormatting>
  <conditionalFormatting sqref="B53:B83">
    <cfRule type="containsText" dxfId="5" priority="34" operator="containsText" text="Peak">
      <formula>NOT(ISERROR(SEARCH(("Peak"),(B53))))</formula>
    </cfRule>
  </conditionalFormatting>
  <conditionalFormatting sqref="B53:B83">
    <cfRule type="containsText" dxfId="1" priority="35" operator="containsText" text="Midday">
      <formula>NOT(ISERROR(SEARCH(("Midday"),(B53))))</formula>
    </cfRule>
  </conditionalFormatting>
  <conditionalFormatting sqref="B53:B83">
    <cfRule type="containsText" dxfId="2" priority="36" operator="containsText" text="Morning">
      <formula>NOT(ISERROR(SEARCH(("Morning"),(B53))))</formula>
    </cfRule>
  </conditionalFormatting>
  <conditionalFormatting sqref="B95:B117">
    <cfRule type="containsText" dxfId="0" priority="37" operator="containsText" text="Early Morning">
      <formula>NOT(ISERROR(SEARCH(("Early Morning"),(B95))))</formula>
    </cfRule>
  </conditionalFormatting>
  <conditionalFormatting sqref="B95:B117">
    <cfRule type="containsText" dxfId="3" priority="38" operator="containsText" text="Night">
      <formula>NOT(ISERROR(SEARCH(("Night"),(B95))))</formula>
    </cfRule>
  </conditionalFormatting>
  <conditionalFormatting sqref="B95:B117">
    <cfRule type="containsText" dxfId="4" priority="39" operator="containsText" text="Evening">
      <formula>NOT(ISERROR(SEARCH(("Evening"),(B95))))</formula>
    </cfRule>
  </conditionalFormatting>
  <conditionalFormatting sqref="B95:B117">
    <cfRule type="containsText" dxfId="5" priority="40" operator="containsText" text="Peak">
      <formula>NOT(ISERROR(SEARCH(("Peak"),(B95))))</formula>
    </cfRule>
  </conditionalFormatting>
  <conditionalFormatting sqref="B95:B117">
    <cfRule type="containsText" dxfId="1" priority="41" operator="containsText" text="Midday">
      <formula>NOT(ISERROR(SEARCH(("Midday"),(B95))))</formula>
    </cfRule>
  </conditionalFormatting>
  <conditionalFormatting sqref="B95:B117">
    <cfRule type="containsText" dxfId="2" priority="42" operator="containsText" text="Morning">
      <formula>NOT(ISERROR(SEARCH(("Morning"),(B95))))</formula>
    </cfRule>
  </conditionalFormatting>
  <conditionalFormatting sqref="B44:B52 C44:C83 D44:O47 P44:R46">
    <cfRule type="containsText" dxfId="3" priority="43" operator="containsText" text="Night">
      <formula>NOT(ISERROR(SEARCH(("Night"),(B44))))</formula>
    </cfRule>
  </conditionalFormatting>
  <conditionalFormatting sqref="B44:B52 C44:C83 D44:O47 P44:R46">
    <cfRule type="containsText" dxfId="4" priority="44" operator="containsText" text="Evening">
      <formula>NOT(ISERROR(SEARCH(("Evening"),(B44))))</formula>
    </cfRule>
  </conditionalFormatting>
  <conditionalFormatting sqref="B44:B52 C44:C83 D44:O47 P44:R46">
    <cfRule type="containsText" dxfId="5" priority="45" operator="containsText" text="Peak">
      <formula>NOT(ISERROR(SEARCH(("Peak"),(B44))))</formula>
    </cfRule>
  </conditionalFormatting>
  <conditionalFormatting sqref="B44:B52 C44:C83 D44:O47 P44:R46">
    <cfRule type="containsText" dxfId="1" priority="46" operator="containsText" text="Afternoon">
      <formula>NOT(ISERROR(SEARCH(("Afternoon"),(B44))))</formula>
    </cfRule>
  </conditionalFormatting>
  <conditionalFormatting sqref="B44:B52 C44:C83 D44:O47 P44:R46">
    <cfRule type="containsText" dxfId="2" priority="47" operator="containsText" text="Morning">
      <formula>NOT(ISERROR(SEARCH(("Morning"),(B44))))</formula>
    </cfRule>
  </conditionalFormatting>
  <conditionalFormatting sqref="B86:B94 C86:C90 D86:O89 P86:R88">
    <cfRule type="containsText" dxfId="3" priority="48" operator="containsText" text="Night">
      <formula>NOT(ISERROR(SEARCH(("Night"),(B86))))</formula>
    </cfRule>
  </conditionalFormatting>
  <conditionalFormatting sqref="B86:B94 C86:C90 D86:O89 P86:R88">
    <cfRule type="containsText" dxfId="4" priority="49" operator="containsText" text="Evening">
      <formula>NOT(ISERROR(SEARCH(("Evening"),(B86))))</formula>
    </cfRule>
  </conditionalFormatting>
  <conditionalFormatting sqref="B86:B94 C86:C90 D86:O89 P86:R88">
    <cfRule type="containsText" dxfId="5" priority="50" operator="containsText" text="Peak">
      <formula>NOT(ISERROR(SEARCH(("Peak"),(B86))))</formula>
    </cfRule>
  </conditionalFormatting>
  <conditionalFormatting sqref="B86:B94 C86:C90 D86:O89 P86:R88">
    <cfRule type="containsText" dxfId="1" priority="51" operator="containsText" text="Afternoon">
      <formula>NOT(ISERROR(SEARCH(("Afternoon"),(B86))))</formula>
    </cfRule>
  </conditionalFormatting>
  <conditionalFormatting sqref="B86:B94 C86:C90 D86:O89 P86:R88">
    <cfRule type="containsText" dxfId="2" priority="52" operator="containsText" text="Morning">
      <formula>NOT(ISERROR(SEARCH(("Morning"),(B86))))</formula>
    </cfRule>
  </conditionalFormatting>
  <conditionalFormatting sqref="B1:B9 C1:C41 D1:O4 P1:S3">
    <cfRule type="containsText" dxfId="3" priority="53" operator="containsText" text="Night">
      <formula>NOT(ISERROR(SEARCH(("Night"),(B1))))</formula>
    </cfRule>
  </conditionalFormatting>
  <conditionalFormatting sqref="B1:B9 C1:C41 D1:O4 P1:S3">
    <cfRule type="containsText" dxfId="4" priority="54" operator="containsText" text="Evening">
      <formula>NOT(ISERROR(SEARCH(("Evening"),(B1))))</formula>
    </cfRule>
  </conditionalFormatting>
  <conditionalFormatting sqref="B1:B9 C1:C41 D1:O4 P1:S3">
    <cfRule type="containsText" dxfId="5" priority="55" operator="containsText" text="Peak">
      <formula>NOT(ISERROR(SEARCH(("Peak"),(B1))))</formula>
    </cfRule>
  </conditionalFormatting>
  <conditionalFormatting sqref="B1:B9 C1:C41 D1:O4 P1:S3">
    <cfRule type="containsText" dxfId="1" priority="56" operator="containsText" text="Afternoon">
      <formula>NOT(ISERROR(SEARCH(("Afternoon"),(B1))))</formula>
    </cfRule>
  </conditionalFormatting>
  <conditionalFormatting sqref="B1:B9 C1:C41 D1:O4 P1:S3">
    <cfRule type="containsText" dxfId="2" priority="57" operator="containsText" text="Morning">
      <formula>NOT(ISERROR(SEARCH(("Morning"),(B1))))</formula>
    </cfRule>
  </conditionalFormatting>
  <conditionalFormatting sqref="C91:C117">
    <cfRule type="containsText" dxfId="3" priority="58" operator="containsText" text="Night">
      <formula>NOT(ISERROR(SEARCH(("Night"),(C91))))</formula>
    </cfRule>
  </conditionalFormatting>
  <conditionalFormatting sqref="C91:C117">
    <cfRule type="containsText" dxfId="4" priority="59" operator="containsText" text="Evening">
      <formula>NOT(ISERROR(SEARCH(("Evening"),(C91))))</formula>
    </cfRule>
  </conditionalFormatting>
  <conditionalFormatting sqref="C91:C117">
    <cfRule type="containsText" dxfId="5" priority="60" operator="containsText" text="Peak">
      <formula>NOT(ISERROR(SEARCH(("Peak"),(C91))))</formula>
    </cfRule>
  </conditionalFormatting>
  <conditionalFormatting sqref="C91:C117">
    <cfRule type="containsText" dxfId="1" priority="61" operator="containsText" text="Afternoon">
      <formula>NOT(ISERROR(SEARCH(("Afternoon"),(C91))))</formula>
    </cfRule>
  </conditionalFormatting>
  <conditionalFormatting sqref="C91:C117">
    <cfRule type="containsText" dxfId="2" priority="62" operator="containsText" text="Morning">
      <formula>NOT(ISERROR(SEARCH(("Morning"),(C91))))</formula>
    </cfRule>
  </conditionalFormatting>
  <conditionalFormatting sqref="D5:O41">
    <cfRule type="containsText" dxfId="3" priority="63" operator="containsText" text="Night">
      <formula>NOT(ISERROR(SEARCH(("Night"),(D5))))</formula>
    </cfRule>
  </conditionalFormatting>
  <conditionalFormatting sqref="D5:O41">
    <cfRule type="containsText" dxfId="4" priority="64" operator="containsText" text="Evening">
      <formula>NOT(ISERROR(SEARCH(("Evening"),(D5))))</formula>
    </cfRule>
  </conditionalFormatting>
  <conditionalFormatting sqref="D5:O41">
    <cfRule type="containsText" dxfId="5" priority="65" operator="containsText" text="Peak">
      <formula>NOT(ISERROR(SEARCH(("Peak"),(D5))))</formula>
    </cfRule>
  </conditionalFormatting>
  <conditionalFormatting sqref="D5:O41">
    <cfRule type="containsText" dxfId="1" priority="66" operator="containsText" text="Afternoon">
      <formula>NOT(ISERROR(SEARCH(("Afternoon"),(D5))))</formula>
    </cfRule>
  </conditionalFormatting>
  <conditionalFormatting sqref="D5:O41">
    <cfRule type="containsText" dxfId="2" priority="67" operator="containsText" text="Morning">
      <formula>NOT(ISERROR(SEARCH(("Morning"),(D5))))</formula>
    </cfRule>
  </conditionalFormatting>
  <conditionalFormatting sqref="D48:O83">
    <cfRule type="containsText" dxfId="3" priority="68" operator="containsText" text="Night">
      <formula>NOT(ISERROR(SEARCH(("Night"),(D48))))</formula>
    </cfRule>
  </conditionalFormatting>
  <conditionalFormatting sqref="D48:O83">
    <cfRule type="containsText" dxfId="4" priority="69" operator="containsText" text="Evening">
      <formula>NOT(ISERROR(SEARCH(("Evening"),(D48))))</formula>
    </cfRule>
  </conditionalFormatting>
  <conditionalFormatting sqref="D48:O83">
    <cfRule type="containsText" dxfId="5" priority="70" operator="containsText" text="Peak">
      <formula>NOT(ISERROR(SEARCH(("Peak"),(D48))))</formula>
    </cfRule>
  </conditionalFormatting>
  <conditionalFormatting sqref="D48:O83">
    <cfRule type="containsText" dxfId="1" priority="71" operator="containsText" text="Afternoon">
      <formula>NOT(ISERROR(SEARCH(("Afternoon"),(D48))))</formula>
    </cfRule>
  </conditionalFormatting>
  <conditionalFormatting sqref="D48:O83">
    <cfRule type="containsText" dxfId="2" priority="72" operator="containsText" text="Morning">
      <formula>NOT(ISERROR(SEARCH(("Morning"),(D48))))</formula>
    </cfRule>
  </conditionalFormatting>
  <conditionalFormatting sqref="D90:O117">
    <cfRule type="containsText" dxfId="3" priority="73" operator="containsText" text="Night">
      <formula>NOT(ISERROR(SEARCH(("Night"),(D90))))</formula>
    </cfRule>
  </conditionalFormatting>
  <conditionalFormatting sqref="D90:O117">
    <cfRule type="containsText" dxfId="4" priority="74" operator="containsText" text="Evening">
      <formula>NOT(ISERROR(SEARCH(("Evening"),(D90))))</formula>
    </cfRule>
  </conditionalFormatting>
  <conditionalFormatting sqref="D90:O117">
    <cfRule type="containsText" dxfId="5" priority="75" operator="containsText" text="Peak">
      <formula>NOT(ISERROR(SEARCH(("Peak"),(D90))))</formula>
    </cfRule>
  </conditionalFormatting>
  <conditionalFormatting sqref="D90:O117">
    <cfRule type="containsText" dxfId="1" priority="76" operator="containsText" text="Afternoon">
      <formula>NOT(ISERROR(SEARCH(("Afternoon"),(D90))))</formula>
    </cfRule>
  </conditionalFormatting>
  <conditionalFormatting sqref="D90:O117">
    <cfRule type="containsText" dxfId="2" priority="77" operator="containsText" text="Morning">
      <formula>NOT(ISERROR(SEARCH(("Morning"),(D90))))</formula>
    </cfRule>
  </conditionalFormatting>
  <conditionalFormatting sqref="T5:T41">
    <cfRule type="containsText" dxfId="3" priority="78" operator="containsText" text="Night">
      <formula>NOT(ISERROR(SEARCH(("Night"),(T5))))</formula>
    </cfRule>
  </conditionalFormatting>
  <conditionalFormatting sqref="T5:T41">
    <cfRule type="containsText" dxfId="4" priority="79" operator="containsText" text="Evening">
      <formula>NOT(ISERROR(SEARCH(("Evening"),(T5))))</formula>
    </cfRule>
  </conditionalFormatting>
  <conditionalFormatting sqref="T5:T41">
    <cfRule type="containsText" dxfId="5" priority="80" operator="containsText" text="Peak">
      <formula>NOT(ISERROR(SEARCH(("Peak"),(T5))))</formula>
    </cfRule>
  </conditionalFormatting>
  <conditionalFormatting sqref="T5:T41">
    <cfRule type="containsText" dxfId="1" priority="81" operator="containsText" text="Afternoon">
      <formula>NOT(ISERROR(SEARCH(("Afternoon"),(T5))))</formula>
    </cfRule>
  </conditionalFormatting>
  <conditionalFormatting sqref="T5:T41">
    <cfRule type="containsText" dxfId="2" priority="82" operator="containsText" text="Morning">
      <formula>NOT(ISERROR(SEARCH(("Morning"),(T5))))</formula>
    </cfRule>
  </conditionalFormatting>
  <conditionalFormatting sqref="T5:T41">
    <cfRule type="cellIs" dxfId="6" priority="83" operator="lessThan">
      <formula>20</formula>
    </cfRule>
  </conditionalFormatting>
  <conditionalFormatting sqref="T5:T41">
    <cfRule type="cellIs" dxfId="7" priority="84" operator="equal">
      <formula>30</formula>
    </cfRule>
  </conditionalFormatting>
  <conditionalFormatting sqref="T5:T41">
    <cfRule type="cellIs" dxfId="8" priority="85" operator="greaterThan">
      <formula>31</formula>
    </cfRule>
  </conditionalFormatting>
  <conditionalFormatting sqref="T5:T41">
    <cfRule type="cellIs" dxfId="9" priority="86" operator="between">
      <formula>19</formula>
      <formula>29</formula>
    </cfRule>
  </conditionalFormatting>
  <conditionalFormatting sqref="T48:T83">
    <cfRule type="containsText" dxfId="3" priority="87" operator="containsText" text="Night">
      <formula>NOT(ISERROR(SEARCH(("Night"),(T48))))</formula>
    </cfRule>
  </conditionalFormatting>
  <conditionalFormatting sqref="T48:T83">
    <cfRule type="containsText" dxfId="4" priority="88" operator="containsText" text="Evening">
      <formula>NOT(ISERROR(SEARCH(("Evening"),(T48))))</formula>
    </cfRule>
  </conditionalFormatting>
  <conditionalFormatting sqref="T48:T83">
    <cfRule type="containsText" dxfId="5" priority="89" operator="containsText" text="Peak">
      <formula>NOT(ISERROR(SEARCH(("Peak"),(T48))))</formula>
    </cfRule>
  </conditionalFormatting>
  <conditionalFormatting sqref="T48:T83">
    <cfRule type="containsText" dxfId="1" priority="90" operator="containsText" text="Afternoon">
      <formula>NOT(ISERROR(SEARCH(("Afternoon"),(T48))))</formula>
    </cfRule>
  </conditionalFormatting>
  <conditionalFormatting sqref="T48:T83">
    <cfRule type="containsText" dxfId="2" priority="91" operator="containsText" text="Morning">
      <formula>NOT(ISERROR(SEARCH(("Morning"),(T48))))</formula>
    </cfRule>
  </conditionalFormatting>
  <conditionalFormatting sqref="T48:T83">
    <cfRule type="cellIs" dxfId="6" priority="92" operator="lessThan">
      <formula>20</formula>
    </cfRule>
  </conditionalFormatting>
  <conditionalFormatting sqref="T48:T83">
    <cfRule type="cellIs" dxfId="7" priority="93" operator="equal">
      <formula>30</formula>
    </cfRule>
  </conditionalFormatting>
  <conditionalFormatting sqref="T48:T83">
    <cfRule type="cellIs" dxfId="8" priority="94" operator="greaterThan">
      <formula>31</formula>
    </cfRule>
  </conditionalFormatting>
  <conditionalFormatting sqref="T48:T83">
    <cfRule type="cellIs" dxfId="9" priority="95" operator="between">
      <formula>19</formula>
      <formula>29</formula>
    </cfRule>
  </conditionalFormatting>
  <conditionalFormatting sqref="T90:T117">
    <cfRule type="containsText" dxfId="3" priority="96" operator="containsText" text="Night">
      <formula>NOT(ISERROR(SEARCH(("Night"),(T90))))</formula>
    </cfRule>
  </conditionalFormatting>
  <conditionalFormatting sqref="T90:T117">
    <cfRule type="containsText" dxfId="4" priority="97" operator="containsText" text="Evening">
      <formula>NOT(ISERROR(SEARCH(("Evening"),(T90))))</formula>
    </cfRule>
  </conditionalFormatting>
  <conditionalFormatting sqref="T90:T117">
    <cfRule type="containsText" dxfId="5" priority="98" operator="containsText" text="Peak">
      <formula>NOT(ISERROR(SEARCH(("Peak"),(T90))))</formula>
    </cfRule>
  </conditionalFormatting>
  <conditionalFormatting sqref="T90:T117">
    <cfRule type="containsText" dxfId="1" priority="99" operator="containsText" text="Afternoon">
      <formula>NOT(ISERROR(SEARCH(("Afternoon"),(T90))))</formula>
    </cfRule>
  </conditionalFormatting>
  <conditionalFormatting sqref="T90:T117">
    <cfRule type="containsText" dxfId="2" priority="100" operator="containsText" text="Morning">
      <formula>NOT(ISERROR(SEARCH(("Morning"),(T90))))</formula>
    </cfRule>
  </conditionalFormatting>
  <conditionalFormatting sqref="T90:T117">
    <cfRule type="cellIs" dxfId="6" priority="101" operator="lessThan">
      <formula>20</formula>
    </cfRule>
  </conditionalFormatting>
  <conditionalFormatting sqref="T90:T117">
    <cfRule type="cellIs" dxfId="7" priority="102" operator="equal">
      <formula>30</formula>
    </cfRule>
  </conditionalFormatting>
  <conditionalFormatting sqref="T90:T117">
    <cfRule type="cellIs" dxfId="8" priority="103" operator="greaterThan">
      <formula>31</formula>
    </cfRule>
  </conditionalFormatting>
  <conditionalFormatting sqref="T90:T117">
    <cfRule type="cellIs" dxfId="9" priority="104" operator="between">
      <formula>19</formula>
      <formula>29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5"/>
    <col customWidth="1" min="3" max="4" width="14.63"/>
    <col customWidth="1" min="5" max="5" width="19.75"/>
    <col customWidth="1" min="6" max="6" width="8.13"/>
    <col customWidth="1" min="7" max="8" width="16.0"/>
    <col customWidth="1" min="9" max="9" width="16.25"/>
    <col customWidth="1" min="10" max="10" width="9.75"/>
    <col customWidth="1" min="11" max="11" width="9.25"/>
    <col customWidth="1" min="12" max="12" width="9.75"/>
    <col customWidth="1" min="13" max="14" width="12.63"/>
    <col customWidth="1" min="15" max="17" width="16.0"/>
    <col customWidth="1" min="18" max="19" width="14.63"/>
    <col customWidth="1" min="20" max="20" width="6.13"/>
    <col customWidth="1" min="21" max="21" width="9.63"/>
    <col customWidth="1" min="22" max="22" width="10.5"/>
    <col customWidth="1" min="23" max="23" width="10.13"/>
    <col customWidth="1" min="24" max="24" width="8.63"/>
    <col customWidth="1" min="25" max="25" width="17.75"/>
    <col customWidth="1" min="26" max="26" width="9.75"/>
    <col customWidth="1" min="27" max="29" width="8.63"/>
    <col customWidth="1" min="30" max="30" width="19.25"/>
  </cols>
  <sheetData>
    <row r="1" ht="13.5" customHeight="1">
      <c r="A1" s="123" t="s">
        <v>58</v>
      </c>
      <c r="B1" s="73"/>
      <c r="C1" s="165" t="s">
        <v>102</v>
      </c>
      <c r="D1" s="166"/>
      <c r="E1" s="166"/>
      <c r="F1" s="166"/>
      <c r="G1" s="166"/>
      <c r="H1" s="166"/>
      <c r="I1" s="166"/>
      <c r="J1" s="167"/>
      <c r="K1" s="168"/>
      <c r="L1" s="165" t="s">
        <v>103</v>
      </c>
      <c r="M1" s="166"/>
      <c r="N1" s="166"/>
      <c r="O1" s="166"/>
      <c r="P1" s="166"/>
      <c r="Q1" s="166"/>
      <c r="R1" s="166"/>
      <c r="S1" s="167"/>
    </row>
    <row r="2" ht="13.5" customHeight="1">
      <c r="A2" s="127"/>
      <c r="B2" s="89"/>
      <c r="C2" s="169" t="s">
        <v>62</v>
      </c>
      <c r="E2" s="170" t="s">
        <v>85</v>
      </c>
      <c r="F2" s="171"/>
      <c r="G2" s="170" t="s">
        <v>62</v>
      </c>
      <c r="J2" s="89" t="s">
        <v>85</v>
      </c>
      <c r="L2" s="89" t="s">
        <v>62</v>
      </c>
      <c r="O2" s="170" t="s">
        <v>85</v>
      </c>
      <c r="P2" s="172"/>
      <c r="Q2" s="170" t="s">
        <v>62</v>
      </c>
      <c r="R2" s="62"/>
      <c r="S2" s="89" t="s">
        <v>85</v>
      </c>
      <c r="T2" s="62"/>
      <c r="U2" s="89" t="s">
        <v>62</v>
      </c>
      <c r="V2" s="62"/>
      <c r="W2" s="62"/>
      <c r="X2" s="173"/>
    </row>
    <row r="3">
      <c r="A3" s="127"/>
      <c r="B3" s="89" t="s">
        <v>63</v>
      </c>
      <c r="C3" s="89" t="s">
        <v>64</v>
      </c>
      <c r="D3" s="128" t="s">
        <v>65</v>
      </c>
      <c r="E3" s="174" t="s">
        <v>104</v>
      </c>
      <c r="F3" s="175"/>
      <c r="G3" s="174" t="str">
        <f t="shared" ref="G3:G4" si="1">E3</f>
        <v>Cuthbert Street</v>
      </c>
      <c r="H3" s="130" t="s">
        <v>105</v>
      </c>
      <c r="I3" s="128" t="s">
        <v>106</v>
      </c>
      <c r="J3" s="128" t="s">
        <v>86</v>
      </c>
      <c r="L3" s="128" t="s">
        <v>86</v>
      </c>
      <c r="M3" s="128" t="s">
        <v>107</v>
      </c>
      <c r="N3" s="130" t="s">
        <v>105</v>
      </c>
      <c r="O3" s="174" t="s">
        <v>108</v>
      </c>
      <c r="P3" s="176"/>
      <c r="Q3" s="174" t="str">
        <f t="shared" ref="Q3:Q4" si="2">O3</f>
        <v>Ferndale Woods Public School</v>
      </c>
      <c r="R3" s="128" t="s">
        <v>65</v>
      </c>
      <c r="S3" s="177" t="s">
        <v>64</v>
      </c>
      <c r="T3" s="62"/>
      <c r="U3" s="89" t="s">
        <v>64</v>
      </c>
      <c r="V3" s="62"/>
      <c r="W3" s="62"/>
      <c r="X3" s="173"/>
    </row>
    <row r="4" ht="13.5" customHeight="1">
      <c r="A4" s="127"/>
      <c r="B4" s="93" t="s">
        <v>72</v>
      </c>
      <c r="C4" s="89">
        <v>777.0</v>
      </c>
      <c r="D4" s="128">
        <v>662.0</v>
      </c>
      <c r="E4" s="178">
        <v>829.0</v>
      </c>
      <c r="F4" s="178" t="s">
        <v>69</v>
      </c>
      <c r="G4" s="178">
        <f t="shared" si="1"/>
        <v>829</v>
      </c>
      <c r="H4" s="179">
        <v>627.0</v>
      </c>
      <c r="I4" s="128">
        <v>271.0</v>
      </c>
      <c r="J4" s="128">
        <v>1.0</v>
      </c>
      <c r="K4" s="180" t="s">
        <v>69</v>
      </c>
      <c r="L4" s="128">
        <v>1.0</v>
      </c>
      <c r="M4" s="128">
        <v>893.0</v>
      </c>
      <c r="N4" s="128">
        <v>626.0</v>
      </c>
      <c r="O4" s="178">
        <v>841.0</v>
      </c>
      <c r="P4" s="170" t="s">
        <v>69</v>
      </c>
      <c r="Q4" s="178">
        <f t="shared" si="2"/>
        <v>841</v>
      </c>
      <c r="R4" s="128">
        <v>847.0</v>
      </c>
      <c r="S4" s="89">
        <v>777.0</v>
      </c>
      <c r="T4" s="181" t="s">
        <v>69</v>
      </c>
      <c r="U4" s="89">
        <v>777.0</v>
      </c>
      <c r="V4" s="139" t="s">
        <v>73</v>
      </c>
      <c r="W4" s="139" t="s">
        <v>74</v>
      </c>
      <c r="X4" s="139" t="s">
        <v>69</v>
      </c>
      <c r="Y4" s="139" t="s">
        <v>109</v>
      </c>
      <c r="Z4" s="140" t="s">
        <v>76</v>
      </c>
      <c r="AD4" s="143" t="s">
        <v>90</v>
      </c>
    </row>
    <row r="5" ht="13.5" customHeight="1">
      <c r="A5" s="127"/>
      <c r="B5" s="141" t="s">
        <v>89</v>
      </c>
      <c r="C5" s="182"/>
      <c r="D5" s="182"/>
      <c r="E5" s="182"/>
      <c r="F5" s="183"/>
      <c r="G5" s="182"/>
      <c r="H5" s="184">
        <v>0.2263888888888889</v>
      </c>
      <c r="I5" s="101">
        <v>0.23055555555555557</v>
      </c>
      <c r="J5" s="101">
        <v>0.23611111111111113</v>
      </c>
      <c r="K5" s="185">
        <v>8.0</v>
      </c>
      <c r="L5" s="101">
        <v>0.2416666666666667</v>
      </c>
      <c r="M5" s="101">
        <v>0.24652777777777782</v>
      </c>
      <c r="N5" s="101">
        <v>0.25138888888888894</v>
      </c>
      <c r="O5" s="101" t="str">
        <f>ARRAY_CONSTRAIN(ARRAYFORMULA(Q5+TIME(,OFFSET([2]Segment!$C$83,,$B5,),)), 1, 1)</f>
        <v>#ERROR!</v>
      </c>
      <c r="P5" s="185">
        <v>2.0</v>
      </c>
      <c r="Q5" s="182" t="str">
        <f t="shared" ref="Q5:Q36" si="3">O5+TIME(,P5,)</f>
        <v>#ERROR!</v>
      </c>
      <c r="R5" s="101">
        <v>0.2611111111111111</v>
      </c>
      <c r="S5" s="101">
        <v>0.26805555555555555</v>
      </c>
      <c r="T5" s="185">
        <v>9.0</v>
      </c>
      <c r="U5" s="182">
        <v>0.2743055555555555</v>
      </c>
      <c r="V5" s="103">
        <f t="shared" ref="V5:V38" si="4">W5-X5</f>
        <v>50</v>
      </c>
      <c r="W5" s="103">
        <f t="shared" ref="W5:W6" si="5">(U5-H5)*1440</f>
        <v>69</v>
      </c>
      <c r="X5" s="103">
        <f t="shared" ref="X5:X38" si="6">K5+F5+T5+P5</f>
        <v>19</v>
      </c>
      <c r="Y5" s="104">
        <f t="shared" ref="Y5:Y39" si="7">X5/V5</f>
        <v>0.38</v>
      </c>
      <c r="Z5" s="142"/>
      <c r="AD5" s="186" t="s">
        <v>110</v>
      </c>
    </row>
    <row r="6" ht="13.5" customHeight="1">
      <c r="A6" s="127"/>
      <c r="B6" s="141" t="s">
        <v>89</v>
      </c>
      <c r="C6" s="187"/>
      <c r="D6" s="187"/>
      <c r="E6" s="187"/>
      <c r="F6" s="188"/>
      <c r="G6" s="187"/>
      <c r="H6" s="100">
        <v>0.24722222222222223</v>
      </c>
      <c r="I6" s="101">
        <v>0.2513888888888889</v>
      </c>
      <c r="J6" s="101">
        <v>0.2569444444444444</v>
      </c>
      <c r="K6" s="185">
        <v>8.0</v>
      </c>
      <c r="L6" s="101">
        <v>0.26249999999999996</v>
      </c>
      <c r="M6" s="101">
        <v>0.26736111111111105</v>
      </c>
      <c r="N6" s="101">
        <v>0.27222222222222214</v>
      </c>
      <c r="O6" s="101" t="str">
        <f>ARRAY_CONSTRAIN(ARRAYFORMULA(Q6+TIME(,OFFSET([2]Segment!$C$83,,$B6,),)), 1, 1)</f>
        <v>#ERROR!</v>
      </c>
      <c r="P6" s="185">
        <v>2.0</v>
      </c>
      <c r="Q6" s="182" t="str">
        <f t="shared" si="3"/>
        <v>#ERROR!</v>
      </c>
      <c r="R6" s="101">
        <v>0.28194444444444433</v>
      </c>
      <c r="S6" s="101">
        <v>0.28888888888888875</v>
      </c>
      <c r="T6" s="185">
        <v>9.0</v>
      </c>
      <c r="U6" s="182">
        <v>0.29513888888888873</v>
      </c>
      <c r="V6" s="103">
        <f t="shared" si="4"/>
        <v>50</v>
      </c>
      <c r="W6" s="103">
        <f t="shared" si="5"/>
        <v>69</v>
      </c>
      <c r="X6" s="103">
        <f t="shared" si="6"/>
        <v>19</v>
      </c>
      <c r="Y6" s="104">
        <f t="shared" si="7"/>
        <v>0.38</v>
      </c>
      <c r="Z6" s="142">
        <f t="shared" ref="Z6:Z30" si="8">(U6-U5)*1440</f>
        <v>30</v>
      </c>
      <c r="AD6" s="147" t="s">
        <v>92</v>
      </c>
    </row>
    <row r="7" ht="13.5" customHeight="1">
      <c r="A7" s="127"/>
      <c r="B7" s="141" t="s">
        <v>77</v>
      </c>
      <c r="C7" s="184">
        <v>0.2534722222222222</v>
      </c>
      <c r="D7" s="101">
        <v>0.2597222222222222</v>
      </c>
      <c r="E7" s="101" t="str">
        <f>ARRAY_CONSTRAIN(ARRAYFORMULA(G7+TIME(,OFFSET([2]Segment!$C$77,,$B7,),)), 1, 1)</f>
        <v>#ERROR!</v>
      </c>
      <c r="F7" s="185">
        <v>2.0</v>
      </c>
      <c r="G7" s="101" t="str">
        <f t="shared" ref="G7:G38" si="9">E7+TIME(,F7,)</f>
        <v>#ERROR!</v>
      </c>
      <c r="H7" s="101">
        <v>0.2680555555555555</v>
      </c>
      <c r="I7" s="101">
        <v>0.27222222222222214</v>
      </c>
      <c r="J7" s="101">
        <v>0.2777777777777777</v>
      </c>
      <c r="K7" s="185">
        <v>8.0</v>
      </c>
      <c r="L7" s="101">
        <v>0.2833333333333332</v>
      </c>
      <c r="M7" s="101">
        <v>0.2881944444444443</v>
      </c>
      <c r="N7" s="101">
        <v>0.2930555555555554</v>
      </c>
      <c r="O7" s="101" t="str">
        <f>ARRAY_CONSTRAIN(ARRAYFORMULA(Q7+TIME(,OFFSET([2]Segment!$C$83,,$B7,),)), 1, 1)</f>
        <v>#ERROR!</v>
      </c>
      <c r="P7" s="185">
        <v>2.0</v>
      </c>
      <c r="Q7" s="182" t="str">
        <f t="shared" si="3"/>
        <v>#ERROR!</v>
      </c>
      <c r="R7" s="101">
        <v>0.3027777777777776</v>
      </c>
      <c r="S7" s="101">
        <v>0.309722222222222</v>
      </c>
      <c r="T7" s="185">
        <v>9.0</v>
      </c>
      <c r="U7" s="182">
        <v>0.315972222222222</v>
      </c>
      <c r="V7" s="103">
        <f t="shared" si="4"/>
        <v>69</v>
      </c>
      <c r="W7" s="103">
        <f t="shared" ref="W7:W30" si="10">(U7-C7)*1440</f>
        <v>90</v>
      </c>
      <c r="X7" s="103">
        <f t="shared" si="6"/>
        <v>21</v>
      </c>
      <c r="Y7" s="104">
        <f t="shared" si="7"/>
        <v>0.3043478261</v>
      </c>
      <c r="Z7" s="142">
        <f t="shared" si="8"/>
        <v>30</v>
      </c>
      <c r="AD7" s="148" t="s">
        <v>93</v>
      </c>
    </row>
    <row r="8" ht="13.5" customHeight="1">
      <c r="A8" s="127"/>
      <c r="B8" s="141" t="s">
        <v>77</v>
      </c>
      <c r="C8" s="182">
        <v>0.2743055555555555</v>
      </c>
      <c r="D8" s="101">
        <v>0.2805555555555555</v>
      </c>
      <c r="E8" s="101" t="str">
        <f>ARRAY_CONSTRAIN(ARRAYFORMULA(G8+TIME(,OFFSET([2]Segment!$C$77,,$B8,),)), 1, 1)</f>
        <v>#ERROR!</v>
      </c>
      <c r="F8" s="185">
        <v>2.0</v>
      </c>
      <c r="G8" s="101" t="str">
        <f t="shared" si="9"/>
        <v>#ERROR!</v>
      </c>
      <c r="H8" s="101">
        <v>0.2888888888888888</v>
      </c>
      <c r="I8" s="101">
        <v>0.29305555555555546</v>
      </c>
      <c r="J8" s="101">
        <v>0.298611111111111</v>
      </c>
      <c r="K8" s="185">
        <v>8.0</v>
      </c>
      <c r="L8" s="101">
        <v>0.30416666666666653</v>
      </c>
      <c r="M8" s="101">
        <v>0.3090277777777776</v>
      </c>
      <c r="N8" s="101">
        <v>0.3138888888888887</v>
      </c>
      <c r="O8" s="101" t="str">
        <f>ARRAY_CONSTRAIN(ARRAYFORMULA(Q8+TIME(,OFFSET([2]Segment!$C$83,,$B8,),)), 1, 1)</f>
        <v>#ERROR!</v>
      </c>
      <c r="P8" s="185">
        <v>2.0</v>
      </c>
      <c r="Q8" s="182" t="str">
        <f t="shared" si="3"/>
        <v>#ERROR!</v>
      </c>
      <c r="R8" s="101">
        <v>0.3236111111111109</v>
      </c>
      <c r="S8" s="101">
        <v>0.3305555555555553</v>
      </c>
      <c r="T8" s="185">
        <v>9.0</v>
      </c>
      <c r="U8" s="182">
        <v>0.3368055555555553</v>
      </c>
      <c r="V8" s="103">
        <f t="shared" si="4"/>
        <v>69</v>
      </c>
      <c r="W8" s="103">
        <f t="shared" si="10"/>
        <v>90</v>
      </c>
      <c r="X8" s="103">
        <f t="shared" si="6"/>
        <v>21</v>
      </c>
      <c r="Y8" s="104">
        <f t="shared" si="7"/>
        <v>0.3043478261</v>
      </c>
      <c r="Z8" s="142">
        <f t="shared" si="8"/>
        <v>30</v>
      </c>
      <c r="AD8" s="149" t="s">
        <v>94</v>
      </c>
    </row>
    <row r="9" ht="13.5" customHeight="1">
      <c r="A9" s="127"/>
      <c r="B9" s="141" t="s">
        <v>77</v>
      </c>
      <c r="C9" s="182">
        <v>0.29513888888888873</v>
      </c>
      <c r="D9" s="101">
        <v>0.3013888888888887</v>
      </c>
      <c r="E9" s="101" t="str">
        <f>ARRAY_CONSTRAIN(ARRAYFORMULA(G9+TIME(,OFFSET([2]Segment!$C$77,,$B9,),)), 1, 1)</f>
        <v>#ERROR!</v>
      </c>
      <c r="F9" s="185">
        <v>2.0</v>
      </c>
      <c r="G9" s="101" t="str">
        <f t="shared" si="9"/>
        <v>#ERROR!</v>
      </c>
      <c r="H9" s="101">
        <v>0.309722222222222</v>
      </c>
      <c r="I9" s="101">
        <v>0.31388888888888866</v>
      </c>
      <c r="J9" s="101">
        <v>0.3194444444444442</v>
      </c>
      <c r="K9" s="185">
        <v>8.0</v>
      </c>
      <c r="L9" s="101">
        <v>0.32499999999999973</v>
      </c>
      <c r="M9" s="101">
        <v>0.3298611111111108</v>
      </c>
      <c r="N9" s="101">
        <v>0.3347222222222219</v>
      </c>
      <c r="O9" s="101" t="str">
        <f>ARRAY_CONSTRAIN(ARRAYFORMULA(Q9+TIME(,OFFSET([2]Segment!$C$83,,$B9,),)), 1, 1)</f>
        <v>#ERROR!</v>
      </c>
      <c r="P9" s="185">
        <v>2.0</v>
      </c>
      <c r="Q9" s="182" t="str">
        <f t="shared" si="3"/>
        <v>#ERROR!</v>
      </c>
      <c r="R9" s="101">
        <v>0.3444444444444441</v>
      </c>
      <c r="S9" s="101">
        <v>0.35138888888888853</v>
      </c>
      <c r="T9" s="185">
        <v>9.0</v>
      </c>
      <c r="U9" s="182">
        <v>0.3576388888888885</v>
      </c>
      <c r="V9" s="103">
        <f t="shared" si="4"/>
        <v>69</v>
      </c>
      <c r="W9" s="103">
        <f t="shared" si="10"/>
        <v>90</v>
      </c>
      <c r="X9" s="103">
        <f t="shared" si="6"/>
        <v>21</v>
      </c>
      <c r="Y9" s="104">
        <f t="shared" si="7"/>
        <v>0.3043478261</v>
      </c>
      <c r="Z9" s="142">
        <f t="shared" si="8"/>
        <v>30</v>
      </c>
      <c r="AD9" s="150" t="s">
        <v>111</v>
      </c>
    </row>
    <row r="10" ht="13.5" customHeight="1">
      <c r="A10" s="127"/>
      <c r="B10" s="141" t="s">
        <v>77</v>
      </c>
      <c r="C10" s="182">
        <v>0.315972222222222</v>
      </c>
      <c r="D10" s="101">
        <v>0.32222222222222197</v>
      </c>
      <c r="E10" s="101" t="str">
        <f>ARRAY_CONSTRAIN(ARRAYFORMULA(G10+TIME(,OFFSET([2]Segment!$C$77,,$B10,),)), 1, 1)</f>
        <v>#ERROR!</v>
      </c>
      <c r="F10" s="185">
        <v>2.0</v>
      </c>
      <c r="G10" s="101" t="str">
        <f t="shared" si="9"/>
        <v>#ERROR!</v>
      </c>
      <c r="H10" s="101">
        <v>0.33055555555555527</v>
      </c>
      <c r="I10" s="101">
        <v>0.3347222222222219</v>
      </c>
      <c r="J10" s="101">
        <v>0.34027777777777746</v>
      </c>
      <c r="K10" s="185">
        <v>8.0</v>
      </c>
      <c r="L10" s="101">
        <v>0.345833333333333</v>
      </c>
      <c r="M10" s="101">
        <v>0.3506944444444441</v>
      </c>
      <c r="N10" s="101">
        <v>0.3555555555555552</v>
      </c>
      <c r="O10" s="101" t="str">
        <f>ARRAY_CONSTRAIN(ARRAYFORMULA(Q10+TIME(,OFFSET([2]Segment!$C$83,,$B10,),)), 1, 1)</f>
        <v>#ERROR!</v>
      </c>
      <c r="P10" s="185">
        <v>2.0</v>
      </c>
      <c r="Q10" s="182" t="str">
        <f t="shared" si="3"/>
        <v>#ERROR!</v>
      </c>
      <c r="R10" s="101">
        <v>0.36527777777777737</v>
      </c>
      <c r="S10" s="101">
        <v>0.3722222222222218</v>
      </c>
      <c r="T10" s="185">
        <v>9.0</v>
      </c>
      <c r="U10" s="182">
        <v>0.37847222222222177</v>
      </c>
      <c r="V10" s="103">
        <f t="shared" si="4"/>
        <v>69</v>
      </c>
      <c r="W10" s="103">
        <f t="shared" si="10"/>
        <v>90</v>
      </c>
      <c r="X10" s="103">
        <f t="shared" si="6"/>
        <v>21</v>
      </c>
      <c r="Y10" s="104">
        <f t="shared" si="7"/>
        <v>0.3043478261</v>
      </c>
      <c r="Z10" s="142">
        <f t="shared" si="8"/>
        <v>30</v>
      </c>
      <c r="AD10" s="151"/>
    </row>
    <row r="11" ht="13.5" customHeight="1">
      <c r="A11" s="127"/>
      <c r="B11" s="141" t="s">
        <v>77</v>
      </c>
      <c r="C11" s="182">
        <v>0.3368055555555553</v>
      </c>
      <c r="D11" s="101">
        <v>0.3430555555555553</v>
      </c>
      <c r="E11" s="101" t="str">
        <f>ARRAY_CONSTRAIN(ARRAYFORMULA(G11+TIME(,OFFSET([2]Segment!$C$77,,$B11,),)), 1, 1)</f>
        <v>#ERROR!</v>
      </c>
      <c r="F11" s="185">
        <v>2.0</v>
      </c>
      <c r="G11" s="101" t="str">
        <f t="shared" si="9"/>
        <v>#ERROR!</v>
      </c>
      <c r="H11" s="101">
        <v>0.3513888888888886</v>
      </c>
      <c r="I11" s="101">
        <v>0.35555555555555524</v>
      </c>
      <c r="J11" s="101">
        <v>0.36111111111111077</v>
      </c>
      <c r="K11" s="185">
        <v>8.0</v>
      </c>
      <c r="L11" s="101">
        <v>0.3666666666666663</v>
      </c>
      <c r="M11" s="101">
        <v>0.3715277777777774</v>
      </c>
      <c r="N11" s="101">
        <v>0.3763888888888885</v>
      </c>
      <c r="O11" s="101" t="str">
        <f>ARRAY_CONSTRAIN(ARRAYFORMULA(Q11+TIME(,OFFSET([2]Segment!$C$83,,$B11,),)), 1, 1)</f>
        <v>#ERROR!</v>
      </c>
      <c r="P11" s="185">
        <v>2.0</v>
      </c>
      <c r="Q11" s="182" t="str">
        <f t="shared" si="3"/>
        <v>#ERROR!</v>
      </c>
      <c r="R11" s="101">
        <v>0.3861111111111107</v>
      </c>
      <c r="S11" s="101">
        <v>0.3930555555555551</v>
      </c>
      <c r="T11" s="185">
        <v>9.0</v>
      </c>
      <c r="U11" s="182">
        <v>0.3993055555555551</v>
      </c>
      <c r="V11" s="103">
        <f t="shared" si="4"/>
        <v>69</v>
      </c>
      <c r="W11" s="103">
        <f t="shared" si="10"/>
        <v>90</v>
      </c>
      <c r="X11" s="103">
        <f t="shared" si="6"/>
        <v>21</v>
      </c>
      <c r="Y11" s="104">
        <f t="shared" si="7"/>
        <v>0.3043478261</v>
      </c>
      <c r="Z11" s="142">
        <f t="shared" si="8"/>
        <v>30</v>
      </c>
      <c r="AD11" s="152"/>
    </row>
    <row r="12" ht="13.5" customHeight="1">
      <c r="A12" s="127"/>
      <c r="B12" s="141" t="s">
        <v>77</v>
      </c>
      <c r="C12" s="182">
        <v>0.3576388888888885</v>
      </c>
      <c r="D12" s="101">
        <v>0.3638888888888885</v>
      </c>
      <c r="E12" s="101" t="str">
        <f>ARRAY_CONSTRAIN(ARRAYFORMULA(G12+TIME(,OFFSET([2]Segment!$C$77,,$B12,),)), 1, 1)</f>
        <v>#ERROR!</v>
      </c>
      <c r="F12" s="185">
        <v>2.0</v>
      </c>
      <c r="G12" s="101" t="str">
        <f t="shared" si="9"/>
        <v>#ERROR!</v>
      </c>
      <c r="H12" s="101">
        <v>0.3722222222222218</v>
      </c>
      <c r="I12" s="101">
        <v>0.37638888888888844</v>
      </c>
      <c r="J12" s="101">
        <v>0.381944444444444</v>
      </c>
      <c r="K12" s="185">
        <v>8.0</v>
      </c>
      <c r="L12" s="101">
        <v>0.3874999999999995</v>
      </c>
      <c r="M12" s="101">
        <v>0.3923611111111106</v>
      </c>
      <c r="N12" s="101">
        <v>0.3972222222222217</v>
      </c>
      <c r="O12" s="101" t="str">
        <f>ARRAY_CONSTRAIN(ARRAYFORMULA(Q12+TIME(,OFFSET([2]Segment!$C$83,,$B12,),)), 1, 1)</f>
        <v>#ERROR!</v>
      </c>
      <c r="P12" s="185">
        <v>2.0</v>
      </c>
      <c r="Q12" s="182" t="str">
        <f t="shared" si="3"/>
        <v>#ERROR!</v>
      </c>
      <c r="R12" s="101">
        <v>0.4069444444444439</v>
      </c>
      <c r="S12" s="101">
        <v>0.4138888888888883</v>
      </c>
      <c r="T12" s="185">
        <v>9.0</v>
      </c>
      <c r="U12" s="182">
        <v>0.4201388888888883</v>
      </c>
      <c r="V12" s="103">
        <f t="shared" si="4"/>
        <v>69</v>
      </c>
      <c r="W12" s="103">
        <f t="shared" si="10"/>
        <v>90</v>
      </c>
      <c r="X12" s="103">
        <f t="shared" si="6"/>
        <v>21</v>
      </c>
      <c r="Y12" s="104">
        <f t="shared" si="7"/>
        <v>0.3043478261</v>
      </c>
      <c r="Z12" s="142">
        <f t="shared" si="8"/>
        <v>30</v>
      </c>
    </row>
    <row r="13" ht="13.5" customHeight="1">
      <c r="A13" s="127"/>
      <c r="B13" s="141" t="s">
        <v>77</v>
      </c>
      <c r="C13" s="182">
        <v>0.37847222222222177</v>
      </c>
      <c r="D13" s="101">
        <v>0.38472222222222174</v>
      </c>
      <c r="E13" s="101" t="str">
        <f>ARRAY_CONSTRAIN(ARRAYFORMULA(G13+TIME(,OFFSET([2]Segment!$C$77,,$B13,),)), 1, 1)</f>
        <v>#ERROR!</v>
      </c>
      <c r="F13" s="185">
        <v>2.0</v>
      </c>
      <c r="G13" s="101" t="str">
        <f t="shared" si="9"/>
        <v>#ERROR!</v>
      </c>
      <c r="H13" s="101">
        <v>0.39305555555555505</v>
      </c>
      <c r="I13" s="101">
        <v>0.3972222222222217</v>
      </c>
      <c r="J13" s="101">
        <v>0.40277777777777724</v>
      </c>
      <c r="K13" s="185">
        <v>8.0</v>
      </c>
      <c r="L13" s="101">
        <v>0.40833333333333277</v>
      </c>
      <c r="M13" s="101">
        <v>0.41319444444444386</v>
      </c>
      <c r="N13" s="101">
        <v>0.41805555555555496</v>
      </c>
      <c r="O13" s="101" t="str">
        <f>ARRAY_CONSTRAIN(ARRAYFORMULA(Q13+TIME(,OFFSET([2]Segment!$C$83,,$B13,),)), 1, 1)</f>
        <v>#ERROR!</v>
      </c>
      <c r="P13" s="185">
        <v>2.0</v>
      </c>
      <c r="Q13" s="182" t="str">
        <f t="shared" si="3"/>
        <v>#ERROR!</v>
      </c>
      <c r="R13" s="101">
        <v>0.42777777777777715</v>
      </c>
      <c r="S13" s="101">
        <v>0.43472222222222157</v>
      </c>
      <c r="T13" s="185">
        <v>9.0</v>
      </c>
      <c r="U13" s="182">
        <v>0.44097222222222154</v>
      </c>
      <c r="V13" s="103">
        <f t="shared" si="4"/>
        <v>69</v>
      </c>
      <c r="W13" s="103">
        <f t="shared" si="10"/>
        <v>90</v>
      </c>
      <c r="X13" s="103">
        <f t="shared" si="6"/>
        <v>21</v>
      </c>
      <c r="Y13" s="104">
        <f t="shared" si="7"/>
        <v>0.3043478261</v>
      </c>
      <c r="Z13" s="142">
        <f t="shared" si="8"/>
        <v>30</v>
      </c>
    </row>
    <row r="14" ht="13.5" customHeight="1">
      <c r="A14" s="127"/>
      <c r="B14" s="141" t="s">
        <v>77</v>
      </c>
      <c r="C14" s="182">
        <v>0.3993055555555551</v>
      </c>
      <c r="D14" s="101">
        <v>0.40555555555555506</v>
      </c>
      <c r="E14" s="101" t="str">
        <f>ARRAY_CONSTRAIN(ARRAYFORMULA(G14+TIME(,OFFSET([2]Segment!$C$77,,$B14,),)), 1, 1)</f>
        <v>#ERROR!</v>
      </c>
      <c r="F14" s="185">
        <v>2.0</v>
      </c>
      <c r="G14" s="101" t="str">
        <f t="shared" si="9"/>
        <v>#ERROR!</v>
      </c>
      <c r="H14" s="101">
        <v>0.41388888888888836</v>
      </c>
      <c r="I14" s="101">
        <v>0.418055555555555</v>
      </c>
      <c r="J14" s="101">
        <v>0.42361111111111055</v>
      </c>
      <c r="K14" s="185">
        <v>8.0</v>
      </c>
      <c r="L14" s="101">
        <v>0.4291666666666661</v>
      </c>
      <c r="M14" s="101">
        <v>0.4340277777777772</v>
      </c>
      <c r="N14" s="101">
        <v>0.4388888888888883</v>
      </c>
      <c r="O14" s="101" t="str">
        <f>ARRAY_CONSTRAIN(ARRAYFORMULA(Q14+TIME(,OFFSET([2]Segment!$C$83,,$B14,),)), 1, 1)</f>
        <v>#ERROR!</v>
      </c>
      <c r="P14" s="185">
        <v>2.0</v>
      </c>
      <c r="Q14" s="182" t="str">
        <f t="shared" si="3"/>
        <v>#ERROR!</v>
      </c>
      <c r="R14" s="101">
        <v>0.44861111111111046</v>
      </c>
      <c r="S14" s="101">
        <v>0.4555555555555549</v>
      </c>
      <c r="T14" s="185">
        <v>9.0</v>
      </c>
      <c r="U14" s="182">
        <v>0.46180555555555486</v>
      </c>
      <c r="V14" s="103">
        <f t="shared" si="4"/>
        <v>69</v>
      </c>
      <c r="W14" s="103">
        <f t="shared" si="10"/>
        <v>90</v>
      </c>
      <c r="X14" s="103">
        <f t="shared" si="6"/>
        <v>21</v>
      </c>
      <c r="Y14" s="104">
        <f t="shared" si="7"/>
        <v>0.3043478261</v>
      </c>
      <c r="Z14" s="142">
        <f t="shared" si="8"/>
        <v>30</v>
      </c>
    </row>
    <row r="15" ht="13.5" customHeight="1">
      <c r="A15" s="127"/>
      <c r="B15" s="141" t="s">
        <v>77</v>
      </c>
      <c r="C15" s="182">
        <v>0.4201388888888883</v>
      </c>
      <c r="D15" s="101">
        <v>0.42638888888888826</v>
      </c>
      <c r="E15" s="101" t="str">
        <f>ARRAY_CONSTRAIN(ARRAYFORMULA(G15+TIME(,OFFSET([2]Segment!$C$77,,$B15,),)), 1, 1)</f>
        <v>#ERROR!</v>
      </c>
      <c r="F15" s="185">
        <v>2.0</v>
      </c>
      <c r="G15" s="101" t="str">
        <f t="shared" si="9"/>
        <v>#ERROR!</v>
      </c>
      <c r="H15" s="101">
        <v>0.43472222222222157</v>
      </c>
      <c r="I15" s="101">
        <v>0.4388888888888882</v>
      </c>
      <c r="J15" s="101">
        <v>0.44444444444444375</v>
      </c>
      <c r="K15" s="185">
        <v>8.0</v>
      </c>
      <c r="L15" s="101">
        <v>0.4499999999999993</v>
      </c>
      <c r="M15" s="101">
        <v>0.4548611111111104</v>
      </c>
      <c r="N15" s="101">
        <v>0.4597222222222215</v>
      </c>
      <c r="O15" s="101" t="str">
        <f>ARRAY_CONSTRAIN(ARRAYFORMULA(Q15+TIME(,OFFSET([2]Segment!$C$83,,$B15,),)), 1, 1)</f>
        <v>#ERROR!</v>
      </c>
      <c r="P15" s="185">
        <v>2.0</v>
      </c>
      <c r="Q15" s="182" t="str">
        <f t="shared" si="3"/>
        <v>#ERROR!</v>
      </c>
      <c r="R15" s="101">
        <v>0.46944444444444366</v>
      </c>
      <c r="S15" s="101">
        <v>0.4763888888888881</v>
      </c>
      <c r="T15" s="185">
        <v>9.0</v>
      </c>
      <c r="U15" s="182">
        <v>0.48263888888888806</v>
      </c>
      <c r="V15" s="103">
        <f t="shared" si="4"/>
        <v>69</v>
      </c>
      <c r="W15" s="103">
        <f t="shared" si="10"/>
        <v>90</v>
      </c>
      <c r="X15" s="103">
        <f t="shared" si="6"/>
        <v>21</v>
      </c>
      <c r="Y15" s="104">
        <f t="shared" si="7"/>
        <v>0.3043478261</v>
      </c>
      <c r="Z15" s="142">
        <f t="shared" si="8"/>
        <v>30</v>
      </c>
    </row>
    <row r="16" ht="13.5" customHeight="1">
      <c r="A16" s="127"/>
      <c r="B16" s="141" t="s">
        <v>78</v>
      </c>
      <c r="C16" s="182">
        <v>0.44097222222222154</v>
      </c>
      <c r="D16" s="101">
        <v>0.44791666666666596</v>
      </c>
      <c r="E16" s="101" t="str">
        <f>ARRAY_CONSTRAIN(ARRAYFORMULA(G16+TIME(,OFFSET([2]Segment!$C$77,,$B16,),)), 1, 1)</f>
        <v>#ERROR!</v>
      </c>
      <c r="F16" s="185">
        <v>2.0</v>
      </c>
      <c r="G16" s="101" t="str">
        <f t="shared" si="9"/>
        <v>#ERROR!</v>
      </c>
      <c r="H16" s="101">
        <v>0.45624999999999927</v>
      </c>
      <c r="I16" s="101">
        <v>0.4604166666666659</v>
      </c>
      <c r="J16" s="101">
        <v>0.46597222222222145</v>
      </c>
      <c r="K16" s="185">
        <v>7.0</v>
      </c>
      <c r="L16" s="101">
        <v>0.47083333333333255</v>
      </c>
      <c r="M16" s="101">
        <v>0.47569444444444364</v>
      </c>
      <c r="N16" s="101">
        <v>0.48055555555555474</v>
      </c>
      <c r="O16" s="101" t="str">
        <f>ARRAY_CONSTRAIN(ARRAYFORMULA(Q16+TIME(,OFFSET([2]Segment!$C$83,,$B16,),)), 1, 1)</f>
        <v>#ERROR!</v>
      </c>
      <c r="P16" s="185">
        <v>2.0</v>
      </c>
      <c r="Q16" s="182" t="str">
        <f t="shared" si="3"/>
        <v>#ERROR!</v>
      </c>
      <c r="R16" s="101">
        <v>0.49097222222222137</v>
      </c>
      <c r="S16" s="101">
        <v>0.49861111111111023</v>
      </c>
      <c r="T16" s="185">
        <v>7.0</v>
      </c>
      <c r="U16" s="182">
        <v>0.5034722222222213</v>
      </c>
      <c r="V16" s="103">
        <f t="shared" si="4"/>
        <v>72</v>
      </c>
      <c r="W16" s="103">
        <f t="shared" si="10"/>
        <v>90</v>
      </c>
      <c r="X16" s="103">
        <f t="shared" si="6"/>
        <v>18</v>
      </c>
      <c r="Y16" s="104">
        <f t="shared" si="7"/>
        <v>0.25</v>
      </c>
      <c r="Z16" s="142">
        <f t="shared" si="8"/>
        <v>30</v>
      </c>
    </row>
    <row r="17" ht="13.5" customHeight="1">
      <c r="A17" s="127"/>
      <c r="B17" s="141" t="s">
        <v>78</v>
      </c>
      <c r="C17" s="182">
        <v>0.46180555555555486</v>
      </c>
      <c r="D17" s="101">
        <v>0.4687499999999993</v>
      </c>
      <c r="E17" s="101" t="str">
        <f>ARRAY_CONSTRAIN(ARRAYFORMULA(G17+TIME(,OFFSET([2]Segment!$C$77,,$B17,),)), 1, 1)</f>
        <v>#ERROR!</v>
      </c>
      <c r="F17" s="185">
        <v>2.0</v>
      </c>
      <c r="G17" s="101" t="str">
        <f t="shared" si="9"/>
        <v>#ERROR!</v>
      </c>
      <c r="H17" s="101">
        <v>0.4770833333333326</v>
      </c>
      <c r="I17" s="101">
        <v>0.48124999999999923</v>
      </c>
      <c r="J17" s="101">
        <v>0.48680555555555477</v>
      </c>
      <c r="K17" s="185">
        <v>7.0</v>
      </c>
      <c r="L17" s="101">
        <v>0.49166666666666586</v>
      </c>
      <c r="M17" s="101">
        <v>0.49652777777777696</v>
      </c>
      <c r="N17" s="101">
        <v>0.5013888888888881</v>
      </c>
      <c r="O17" s="101" t="str">
        <f>ARRAY_CONSTRAIN(ARRAYFORMULA(Q17+TIME(,OFFSET([2]Segment!$C$83,,$B17,),)), 1, 1)</f>
        <v>#ERROR!</v>
      </c>
      <c r="P17" s="185">
        <v>2.0</v>
      </c>
      <c r="Q17" s="182" t="str">
        <f t="shared" si="3"/>
        <v>#ERROR!</v>
      </c>
      <c r="R17" s="101">
        <v>0.5118055555555547</v>
      </c>
      <c r="S17" s="101">
        <v>0.5194444444444436</v>
      </c>
      <c r="T17" s="185">
        <v>7.0</v>
      </c>
      <c r="U17" s="182">
        <v>0.5243055555555547</v>
      </c>
      <c r="V17" s="103">
        <f t="shared" si="4"/>
        <v>72</v>
      </c>
      <c r="W17" s="103">
        <f t="shared" si="10"/>
        <v>90</v>
      </c>
      <c r="X17" s="103">
        <f t="shared" si="6"/>
        <v>18</v>
      </c>
      <c r="Y17" s="104">
        <f t="shared" si="7"/>
        <v>0.25</v>
      </c>
      <c r="Z17" s="142">
        <f t="shared" si="8"/>
        <v>30</v>
      </c>
    </row>
    <row r="18" ht="13.5" customHeight="1">
      <c r="A18" s="127"/>
      <c r="B18" s="141" t="s">
        <v>78</v>
      </c>
      <c r="C18" s="182">
        <v>0.48263888888888806</v>
      </c>
      <c r="D18" s="101">
        <v>0.4895833333333325</v>
      </c>
      <c r="E18" s="101" t="str">
        <f>ARRAY_CONSTRAIN(ARRAYFORMULA(G18+TIME(,OFFSET([2]Segment!$C$77,,$B18,),)), 1, 1)</f>
        <v>#ERROR!</v>
      </c>
      <c r="F18" s="185">
        <v>2.0</v>
      </c>
      <c r="G18" s="101" t="str">
        <f t="shared" si="9"/>
        <v>#ERROR!</v>
      </c>
      <c r="H18" s="101">
        <v>0.4979166666666658</v>
      </c>
      <c r="I18" s="101">
        <v>0.5020833333333324</v>
      </c>
      <c r="J18" s="101">
        <v>0.507638888888888</v>
      </c>
      <c r="K18" s="185">
        <v>7.0</v>
      </c>
      <c r="L18" s="101">
        <v>0.5124999999999991</v>
      </c>
      <c r="M18" s="101">
        <v>0.5173611111111102</v>
      </c>
      <c r="N18" s="101">
        <v>0.5222222222222213</v>
      </c>
      <c r="O18" s="101" t="str">
        <f>ARRAY_CONSTRAIN(ARRAYFORMULA(Q18+TIME(,OFFSET([2]Segment!$C$83,,$B18,),)), 1, 1)</f>
        <v>#ERROR!</v>
      </c>
      <c r="P18" s="185">
        <v>2.0</v>
      </c>
      <c r="Q18" s="182" t="str">
        <f t="shared" si="3"/>
        <v>#ERROR!</v>
      </c>
      <c r="R18" s="101">
        <v>0.5326388888888879</v>
      </c>
      <c r="S18" s="101">
        <v>0.5402777777777767</v>
      </c>
      <c r="T18" s="185">
        <v>7.0</v>
      </c>
      <c r="U18" s="182">
        <v>0.5451388888888878</v>
      </c>
      <c r="V18" s="103">
        <f t="shared" si="4"/>
        <v>72</v>
      </c>
      <c r="W18" s="103">
        <f t="shared" si="10"/>
        <v>90</v>
      </c>
      <c r="X18" s="103">
        <f t="shared" si="6"/>
        <v>18</v>
      </c>
      <c r="Y18" s="104">
        <f t="shared" si="7"/>
        <v>0.25</v>
      </c>
      <c r="Z18" s="142">
        <f t="shared" si="8"/>
        <v>30</v>
      </c>
    </row>
    <row r="19" ht="13.5" customHeight="1">
      <c r="A19" s="127"/>
      <c r="B19" s="141" t="s">
        <v>78</v>
      </c>
      <c r="C19" s="182">
        <v>0.5034722222222213</v>
      </c>
      <c r="D19" s="101">
        <v>0.5104166666666657</v>
      </c>
      <c r="E19" s="101" t="str">
        <f>ARRAY_CONSTRAIN(ARRAYFORMULA(G19+TIME(,OFFSET([2]Segment!$C$77,,$B19,),)), 1, 1)</f>
        <v>#ERROR!</v>
      </c>
      <c r="F19" s="185">
        <v>2.0</v>
      </c>
      <c r="G19" s="101" t="str">
        <f t="shared" si="9"/>
        <v>#ERROR!</v>
      </c>
      <c r="H19" s="101">
        <v>0.518749999999999</v>
      </c>
      <c r="I19" s="101">
        <v>0.5229166666666657</v>
      </c>
      <c r="J19" s="101">
        <v>0.5284722222222212</v>
      </c>
      <c r="K19" s="185">
        <v>7.0</v>
      </c>
      <c r="L19" s="101">
        <v>0.5333333333333323</v>
      </c>
      <c r="M19" s="101">
        <v>0.5381944444444434</v>
      </c>
      <c r="N19" s="101">
        <v>0.5430555555555545</v>
      </c>
      <c r="O19" s="101" t="str">
        <f>ARRAY_CONSTRAIN(ARRAYFORMULA(Q19+TIME(,OFFSET([2]Segment!$C$83,,$B19,),)), 1, 1)</f>
        <v>#ERROR!</v>
      </c>
      <c r="P19" s="185">
        <v>2.0</v>
      </c>
      <c r="Q19" s="182" t="str">
        <f t="shared" si="3"/>
        <v>#ERROR!</v>
      </c>
      <c r="R19" s="101">
        <v>0.5534722222222211</v>
      </c>
      <c r="S19" s="101">
        <v>0.56111111111111</v>
      </c>
      <c r="T19" s="185">
        <v>7.0</v>
      </c>
      <c r="U19" s="182">
        <v>0.5659722222222211</v>
      </c>
      <c r="V19" s="103">
        <f t="shared" si="4"/>
        <v>72</v>
      </c>
      <c r="W19" s="103">
        <f t="shared" si="10"/>
        <v>90</v>
      </c>
      <c r="X19" s="103">
        <f t="shared" si="6"/>
        <v>18</v>
      </c>
      <c r="Y19" s="104">
        <f t="shared" si="7"/>
        <v>0.25</v>
      </c>
      <c r="Z19" s="142">
        <f t="shared" si="8"/>
        <v>30</v>
      </c>
    </row>
    <row r="20" ht="13.5" customHeight="1">
      <c r="A20" s="127"/>
      <c r="B20" s="141" t="s">
        <v>78</v>
      </c>
      <c r="C20" s="182">
        <v>0.5243055555555547</v>
      </c>
      <c r="D20" s="101">
        <v>0.5312499999999991</v>
      </c>
      <c r="E20" s="101" t="str">
        <f>ARRAY_CONSTRAIN(ARRAYFORMULA(G20+TIME(,OFFSET([2]Segment!$C$77,,$B20,),)), 1, 1)</f>
        <v>#ERROR!</v>
      </c>
      <c r="F20" s="185">
        <v>2.0</v>
      </c>
      <c r="G20" s="101" t="str">
        <f t="shared" si="9"/>
        <v>#ERROR!</v>
      </c>
      <c r="H20" s="101">
        <v>0.5395833333333324</v>
      </c>
      <c r="I20" s="101">
        <v>0.5437499999999991</v>
      </c>
      <c r="J20" s="101">
        <v>0.5493055555555546</v>
      </c>
      <c r="K20" s="185">
        <v>7.0</v>
      </c>
      <c r="L20" s="101">
        <v>0.5541666666666657</v>
      </c>
      <c r="M20" s="101">
        <v>0.5590277777777768</v>
      </c>
      <c r="N20" s="101">
        <v>0.5638888888888879</v>
      </c>
      <c r="O20" s="101" t="str">
        <f>ARRAY_CONSTRAIN(ARRAYFORMULA(Q20+TIME(,OFFSET([2]Segment!$C$83,,$B20,),)), 1, 1)</f>
        <v>#ERROR!</v>
      </c>
      <c r="P20" s="185">
        <v>2.0</v>
      </c>
      <c r="Q20" s="182" t="str">
        <f t="shared" si="3"/>
        <v>#ERROR!</v>
      </c>
      <c r="R20" s="101">
        <v>0.5743055555555545</v>
      </c>
      <c r="S20" s="101">
        <v>0.5819444444444434</v>
      </c>
      <c r="T20" s="185">
        <v>7.0</v>
      </c>
      <c r="U20" s="182">
        <v>0.5868055555555545</v>
      </c>
      <c r="V20" s="103">
        <f t="shared" si="4"/>
        <v>72</v>
      </c>
      <c r="W20" s="103">
        <f t="shared" si="10"/>
        <v>90</v>
      </c>
      <c r="X20" s="103">
        <f t="shared" si="6"/>
        <v>18</v>
      </c>
      <c r="Y20" s="104">
        <f t="shared" si="7"/>
        <v>0.25</v>
      </c>
      <c r="Z20" s="142">
        <f t="shared" si="8"/>
        <v>30</v>
      </c>
    </row>
    <row r="21" ht="13.5" customHeight="1">
      <c r="A21" s="127"/>
      <c r="B21" s="141" t="s">
        <v>78</v>
      </c>
      <c r="C21" s="182">
        <v>0.5451388888888878</v>
      </c>
      <c r="D21" s="101">
        <v>0.5520833333333323</v>
      </c>
      <c r="E21" s="101" t="str">
        <f>ARRAY_CONSTRAIN(ARRAYFORMULA(G21+TIME(,OFFSET([2]Segment!$C$77,,$B21,),)), 1, 1)</f>
        <v>#ERROR!</v>
      </c>
      <c r="F21" s="185">
        <v>2.0</v>
      </c>
      <c r="G21" s="101" t="str">
        <f t="shared" si="9"/>
        <v>#ERROR!</v>
      </c>
      <c r="H21" s="101">
        <v>0.5604166666666656</v>
      </c>
      <c r="I21" s="101">
        <v>0.5645833333333322</v>
      </c>
      <c r="J21" s="101">
        <v>0.5701388888888878</v>
      </c>
      <c r="K21" s="185">
        <v>7.0</v>
      </c>
      <c r="L21" s="101">
        <v>0.5749999999999988</v>
      </c>
      <c r="M21" s="101">
        <v>0.5798611111111099</v>
      </c>
      <c r="N21" s="101">
        <v>0.584722222222221</v>
      </c>
      <c r="O21" s="101" t="str">
        <f>ARRAY_CONSTRAIN(ARRAYFORMULA(Q21+TIME(,OFFSET([2]Segment!$C$83,,$B21,),)), 1, 1)</f>
        <v>#ERROR!</v>
      </c>
      <c r="P21" s="185">
        <v>2.0</v>
      </c>
      <c r="Q21" s="182" t="str">
        <f t="shared" si="3"/>
        <v>#ERROR!</v>
      </c>
      <c r="R21" s="101">
        <v>0.5951388888888877</v>
      </c>
      <c r="S21" s="101">
        <v>0.6027777777777765</v>
      </c>
      <c r="T21" s="185">
        <v>7.0</v>
      </c>
      <c r="U21" s="182">
        <v>0.6076388888888876</v>
      </c>
      <c r="V21" s="103">
        <f t="shared" si="4"/>
        <v>72</v>
      </c>
      <c r="W21" s="103">
        <f t="shared" si="10"/>
        <v>90</v>
      </c>
      <c r="X21" s="103">
        <f t="shared" si="6"/>
        <v>18</v>
      </c>
      <c r="Y21" s="104">
        <f t="shared" si="7"/>
        <v>0.25</v>
      </c>
      <c r="Z21" s="142">
        <f t="shared" si="8"/>
        <v>30</v>
      </c>
    </row>
    <row r="22" ht="13.5" customHeight="1">
      <c r="A22" s="127"/>
      <c r="B22" s="141" t="s">
        <v>78</v>
      </c>
      <c r="C22" s="182">
        <v>0.5659722222222211</v>
      </c>
      <c r="D22" s="101">
        <v>0.5729166666666655</v>
      </c>
      <c r="E22" s="101" t="str">
        <f>ARRAY_CONSTRAIN(ARRAYFORMULA(G22+TIME(,OFFSET([2]Segment!$C$77,,$B22,),)), 1, 1)</f>
        <v>#ERROR!</v>
      </c>
      <c r="F22" s="185">
        <v>2.0</v>
      </c>
      <c r="G22" s="101" t="str">
        <f t="shared" si="9"/>
        <v>#ERROR!</v>
      </c>
      <c r="H22" s="101">
        <v>0.5812499999999988</v>
      </c>
      <c r="I22" s="101">
        <v>0.5854166666666655</v>
      </c>
      <c r="J22" s="101">
        <v>0.590972222222221</v>
      </c>
      <c r="K22" s="185">
        <v>7.0</v>
      </c>
      <c r="L22" s="101">
        <v>0.5958333333333321</v>
      </c>
      <c r="M22" s="101">
        <v>0.6006944444444432</v>
      </c>
      <c r="N22" s="101">
        <v>0.6055555555555543</v>
      </c>
      <c r="O22" s="101" t="str">
        <f>ARRAY_CONSTRAIN(ARRAYFORMULA(Q22+TIME(,OFFSET([2]Segment!$C$83,,$B22,),)), 1, 1)</f>
        <v>#ERROR!</v>
      </c>
      <c r="P22" s="185">
        <v>2.0</v>
      </c>
      <c r="Q22" s="182" t="str">
        <f t="shared" si="3"/>
        <v>#ERROR!</v>
      </c>
      <c r="R22" s="101">
        <v>0.6159722222222209</v>
      </c>
      <c r="S22" s="101">
        <v>0.6236111111111098</v>
      </c>
      <c r="T22" s="185">
        <v>7.0</v>
      </c>
      <c r="U22" s="182">
        <v>0.6284722222222209</v>
      </c>
      <c r="V22" s="103">
        <f t="shared" si="4"/>
        <v>72</v>
      </c>
      <c r="W22" s="103">
        <f t="shared" si="10"/>
        <v>90</v>
      </c>
      <c r="X22" s="103">
        <f t="shared" si="6"/>
        <v>18</v>
      </c>
      <c r="Y22" s="104">
        <f t="shared" si="7"/>
        <v>0.25</v>
      </c>
      <c r="Z22" s="142">
        <f t="shared" si="8"/>
        <v>30</v>
      </c>
    </row>
    <row r="23" ht="13.5" customHeight="1">
      <c r="A23" s="127"/>
      <c r="B23" s="141" t="s">
        <v>7</v>
      </c>
      <c r="C23" s="182">
        <v>0.5868055555555545</v>
      </c>
      <c r="D23" s="101">
        <v>0.5944444444444433</v>
      </c>
      <c r="E23" s="101" t="str">
        <f>ARRAY_CONSTRAIN(ARRAYFORMULA(G23+TIME(,OFFSET([2]Segment!$C$77,,$B23,),)), 1, 1)</f>
        <v>#ERROR!</v>
      </c>
      <c r="F23" s="185">
        <v>2.0</v>
      </c>
      <c r="G23" s="101" t="str">
        <f t="shared" si="9"/>
        <v>#ERROR!</v>
      </c>
      <c r="H23" s="101">
        <v>0.6027777777777766</v>
      </c>
      <c r="I23" s="101">
        <v>0.6069444444444433</v>
      </c>
      <c r="J23" s="101">
        <v>0.6131944444444433</v>
      </c>
      <c r="K23" s="185">
        <v>5.0</v>
      </c>
      <c r="L23" s="101">
        <v>0.6166666666666655</v>
      </c>
      <c r="M23" s="101">
        <v>0.6215277777777766</v>
      </c>
      <c r="N23" s="101">
        <v>0.6263888888888877</v>
      </c>
      <c r="O23" s="101" t="str">
        <f>ARRAY_CONSTRAIN(ARRAYFORMULA(Q23+TIME(,OFFSET([2]Segment!$C$83,,$B23,),)), 1, 1)</f>
        <v>#ERROR!</v>
      </c>
      <c r="P23" s="185">
        <v>2.0</v>
      </c>
      <c r="Q23" s="182" t="str">
        <f t="shared" si="3"/>
        <v>#ERROR!</v>
      </c>
      <c r="R23" s="101">
        <v>0.6361111111111099</v>
      </c>
      <c r="S23" s="101">
        <v>0.6437499999999987</v>
      </c>
      <c r="T23" s="185">
        <v>8.0</v>
      </c>
      <c r="U23" s="182">
        <v>0.6493055555555542</v>
      </c>
      <c r="V23" s="103">
        <f t="shared" si="4"/>
        <v>73</v>
      </c>
      <c r="W23" s="103">
        <f t="shared" si="10"/>
        <v>90</v>
      </c>
      <c r="X23" s="103">
        <f t="shared" si="6"/>
        <v>17</v>
      </c>
      <c r="Y23" s="104">
        <f t="shared" si="7"/>
        <v>0.2328767123</v>
      </c>
      <c r="Z23" s="142">
        <f t="shared" si="8"/>
        <v>30</v>
      </c>
    </row>
    <row r="24" ht="13.5" customHeight="1">
      <c r="A24" s="127"/>
      <c r="B24" s="141" t="s">
        <v>7</v>
      </c>
      <c r="C24" s="182">
        <v>0.6076388888888876</v>
      </c>
      <c r="D24" s="101">
        <v>0.6152777777777765</v>
      </c>
      <c r="E24" s="101" t="str">
        <f>ARRAY_CONSTRAIN(ARRAYFORMULA(G24+TIME(,OFFSET([2]Segment!$C$77,,$B24,),)), 1, 1)</f>
        <v>#ERROR!</v>
      </c>
      <c r="F24" s="185">
        <v>2.0</v>
      </c>
      <c r="G24" s="101" t="str">
        <f t="shared" si="9"/>
        <v>#ERROR!</v>
      </c>
      <c r="H24" s="101">
        <v>0.6236111111111098</v>
      </c>
      <c r="I24" s="101">
        <v>0.6277777777777764</v>
      </c>
      <c r="J24" s="101">
        <v>0.6340277777777764</v>
      </c>
      <c r="K24" s="185">
        <v>5.0</v>
      </c>
      <c r="L24" s="101">
        <v>0.6374999999999986</v>
      </c>
      <c r="M24" s="101">
        <v>0.6423611111111097</v>
      </c>
      <c r="N24" s="101">
        <v>0.6472222222222208</v>
      </c>
      <c r="O24" s="101" t="str">
        <f>ARRAY_CONSTRAIN(ARRAYFORMULA(Q24+TIME(,OFFSET([2]Segment!$C$83,,$B24,),)), 1, 1)</f>
        <v>#ERROR!</v>
      </c>
      <c r="P24" s="185">
        <v>2.0</v>
      </c>
      <c r="Q24" s="182" t="str">
        <f t="shared" si="3"/>
        <v>#ERROR!</v>
      </c>
      <c r="R24" s="101">
        <v>0.656944444444443</v>
      </c>
      <c r="S24" s="101">
        <v>0.6645833333333319</v>
      </c>
      <c r="T24" s="185">
        <v>8.0</v>
      </c>
      <c r="U24" s="182">
        <v>0.6701388888888874</v>
      </c>
      <c r="V24" s="103">
        <f t="shared" si="4"/>
        <v>73</v>
      </c>
      <c r="W24" s="103">
        <f t="shared" si="10"/>
        <v>90</v>
      </c>
      <c r="X24" s="103">
        <f t="shared" si="6"/>
        <v>17</v>
      </c>
      <c r="Y24" s="104">
        <f t="shared" si="7"/>
        <v>0.2328767123</v>
      </c>
      <c r="Z24" s="142">
        <f t="shared" si="8"/>
        <v>30</v>
      </c>
    </row>
    <row r="25" ht="13.5" customHeight="1">
      <c r="A25" s="127"/>
      <c r="B25" s="141" t="s">
        <v>7</v>
      </c>
      <c r="C25" s="182">
        <v>0.6284722222222209</v>
      </c>
      <c r="D25" s="101">
        <v>0.6361111111111097</v>
      </c>
      <c r="E25" s="101" t="str">
        <f>ARRAY_CONSTRAIN(ARRAYFORMULA(G25+TIME(,OFFSET([2]Segment!$C$77,,$B25,),)), 1, 1)</f>
        <v>#ERROR!</v>
      </c>
      <c r="F25" s="185">
        <v>2.0</v>
      </c>
      <c r="G25" s="101" t="str">
        <f t="shared" si="9"/>
        <v>#ERROR!</v>
      </c>
      <c r="H25" s="101">
        <v>0.644444444444443</v>
      </c>
      <c r="I25" s="101">
        <v>0.6486111111111097</v>
      </c>
      <c r="J25" s="101">
        <v>0.6548611111111097</v>
      </c>
      <c r="K25" s="185">
        <v>5.0</v>
      </c>
      <c r="L25" s="101">
        <v>0.6583333333333319</v>
      </c>
      <c r="M25" s="101">
        <v>0.663194444444443</v>
      </c>
      <c r="N25" s="101">
        <v>0.6680555555555541</v>
      </c>
      <c r="O25" s="101" t="str">
        <f>ARRAY_CONSTRAIN(ARRAYFORMULA(Q25+TIME(,OFFSET([2]Segment!$C$83,,$B25,),)), 1, 1)</f>
        <v>#ERROR!</v>
      </c>
      <c r="P25" s="185">
        <v>2.0</v>
      </c>
      <c r="Q25" s="182" t="str">
        <f t="shared" si="3"/>
        <v>#ERROR!</v>
      </c>
      <c r="R25" s="101">
        <v>0.6777777777777763</v>
      </c>
      <c r="S25" s="101">
        <v>0.6854166666666651</v>
      </c>
      <c r="T25" s="185">
        <v>8.0</v>
      </c>
      <c r="U25" s="182">
        <v>0.6909722222222207</v>
      </c>
      <c r="V25" s="103">
        <f t="shared" si="4"/>
        <v>73</v>
      </c>
      <c r="W25" s="103">
        <f t="shared" si="10"/>
        <v>90</v>
      </c>
      <c r="X25" s="103">
        <f t="shared" si="6"/>
        <v>17</v>
      </c>
      <c r="Y25" s="104">
        <f t="shared" si="7"/>
        <v>0.2328767123</v>
      </c>
      <c r="Z25" s="142">
        <f t="shared" si="8"/>
        <v>30</v>
      </c>
    </row>
    <row r="26" ht="13.5" customHeight="1">
      <c r="A26" s="127"/>
      <c r="B26" s="141" t="s">
        <v>7</v>
      </c>
      <c r="C26" s="182">
        <v>0.6493055555555542</v>
      </c>
      <c r="D26" s="101">
        <v>0.6569444444444431</v>
      </c>
      <c r="E26" s="101" t="str">
        <f>ARRAY_CONSTRAIN(ARRAYFORMULA(G26+TIME(,OFFSET([2]Segment!$C$77,,$B26,),)), 1, 1)</f>
        <v>#ERROR!</v>
      </c>
      <c r="F26" s="185">
        <v>2.0</v>
      </c>
      <c r="G26" s="101" t="str">
        <f t="shared" si="9"/>
        <v>#ERROR!</v>
      </c>
      <c r="H26" s="101">
        <v>0.6652777777777764</v>
      </c>
      <c r="I26" s="101">
        <v>0.6694444444444431</v>
      </c>
      <c r="J26" s="101">
        <v>0.675694444444443</v>
      </c>
      <c r="K26" s="185">
        <v>5.0</v>
      </c>
      <c r="L26" s="101">
        <v>0.6791666666666653</v>
      </c>
      <c r="M26" s="101">
        <v>0.6840277777777763</v>
      </c>
      <c r="N26" s="101">
        <v>0.6888888888888874</v>
      </c>
      <c r="O26" s="101" t="str">
        <f>ARRAY_CONSTRAIN(ARRAYFORMULA(Q26+TIME(,OFFSET([2]Segment!$C$83,,$B26,),)), 1, 1)</f>
        <v>#ERROR!</v>
      </c>
      <c r="P26" s="185">
        <v>2.0</v>
      </c>
      <c r="Q26" s="182" t="str">
        <f t="shared" si="3"/>
        <v>#ERROR!</v>
      </c>
      <c r="R26" s="101">
        <v>0.6986111111111096</v>
      </c>
      <c r="S26" s="101">
        <v>0.7062499999999985</v>
      </c>
      <c r="T26" s="185">
        <v>8.0</v>
      </c>
      <c r="U26" s="182">
        <v>0.711805555555554</v>
      </c>
      <c r="V26" s="103">
        <f t="shared" si="4"/>
        <v>73</v>
      </c>
      <c r="W26" s="103">
        <f t="shared" si="10"/>
        <v>90</v>
      </c>
      <c r="X26" s="103">
        <f t="shared" si="6"/>
        <v>17</v>
      </c>
      <c r="Y26" s="104">
        <f t="shared" si="7"/>
        <v>0.2328767123</v>
      </c>
      <c r="Z26" s="142">
        <f t="shared" si="8"/>
        <v>30</v>
      </c>
    </row>
    <row r="27" ht="13.5" customHeight="1">
      <c r="A27" s="127"/>
      <c r="B27" s="141" t="s">
        <v>7</v>
      </c>
      <c r="C27" s="182">
        <v>0.6701388888888874</v>
      </c>
      <c r="D27" s="101">
        <v>0.6777777777777763</v>
      </c>
      <c r="E27" s="101" t="str">
        <f>ARRAY_CONSTRAIN(ARRAYFORMULA(G27+TIME(,OFFSET([2]Segment!$C$77,,$B27,),)), 1, 1)</f>
        <v>#ERROR!</v>
      </c>
      <c r="F27" s="185">
        <v>2.0</v>
      </c>
      <c r="G27" s="101" t="str">
        <f t="shared" si="9"/>
        <v>#ERROR!</v>
      </c>
      <c r="H27" s="101">
        <v>0.6861111111111096</v>
      </c>
      <c r="I27" s="101">
        <v>0.6902777777777762</v>
      </c>
      <c r="J27" s="101">
        <v>0.6965277777777762</v>
      </c>
      <c r="K27" s="185">
        <v>5.0</v>
      </c>
      <c r="L27" s="101">
        <v>0.6999999999999984</v>
      </c>
      <c r="M27" s="101">
        <v>0.7048611111111095</v>
      </c>
      <c r="N27" s="101">
        <v>0.7097222222222206</v>
      </c>
      <c r="O27" s="101" t="str">
        <f>ARRAY_CONSTRAIN(ARRAYFORMULA(Q27+TIME(,OFFSET([2]Segment!$C$83,,$B27,),)), 1, 1)</f>
        <v>#ERROR!</v>
      </c>
      <c r="P27" s="185">
        <v>2.0</v>
      </c>
      <c r="Q27" s="182" t="str">
        <f t="shared" si="3"/>
        <v>#ERROR!</v>
      </c>
      <c r="R27" s="101">
        <v>0.7194444444444428</v>
      </c>
      <c r="S27" s="101">
        <v>0.7270833333333316</v>
      </c>
      <c r="T27" s="185">
        <v>8.0</v>
      </c>
      <c r="U27" s="182">
        <v>0.7326388888888872</v>
      </c>
      <c r="V27" s="103">
        <f t="shared" si="4"/>
        <v>73</v>
      </c>
      <c r="W27" s="103">
        <f t="shared" si="10"/>
        <v>90</v>
      </c>
      <c r="X27" s="103">
        <f t="shared" si="6"/>
        <v>17</v>
      </c>
      <c r="Y27" s="104">
        <f t="shared" si="7"/>
        <v>0.2328767123</v>
      </c>
      <c r="Z27" s="142">
        <f t="shared" si="8"/>
        <v>30</v>
      </c>
    </row>
    <row r="28" ht="13.5" customHeight="1">
      <c r="A28" s="127"/>
      <c r="B28" s="141" t="s">
        <v>7</v>
      </c>
      <c r="C28" s="182">
        <v>0.6909722222222207</v>
      </c>
      <c r="D28" s="101">
        <v>0.6986111111111095</v>
      </c>
      <c r="E28" s="101" t="str">
        <f>ARRAY_CONSTRAIN(ARRAYFORMULA(G28+TIME(,OFFSET([2]Segment!$C$77,,$B28,),)), 1, 1)</f>
        <v>#ERROR!</v>
      </c>
      <c r="F28" s="185">
        <v>2.0</v>
      </c>
      <c r="G28" s="101" t="str">
        <f t="shared" si="9"/>
        <v>#ERROR!</v>
      </c>
      <c r="H28" s="101">
        <v>0.7069444444444428</v>
      </c>
      <c r="I28" s="101">
        <v>0.7111111111111095</v>
      </c>
      <c r="J28" s="101">
        <v>0.7173611111111095</v>
      </c>
      <c r="K28" s="185">
        <v>5.0</v>
      </c>
      <c r="L28" s="101">
        <v>0.7208333333333317</v>
      </c>
      <c r="M28" s="101">
        <v>0.7256944444444428</v>
      </c>
      <c r="N28" s="101">
        <v>0.7305555555555538</v>
      </c>
      <c r="O28" s="101" t="str">
        <f>ARRAY_CONSTRAIN(ARRAYFORMULA(Q28+TIME(,OFFSET([2]Segment!$C$83,,$B28,),)), 1, 1)</f>
        <v>#ERROR!</v>
      </c>
      <c r="P28" s="185">
        <v>2.0</v>
      </c>
      <c r="Q28" s="182" t="str">
        <f t="shared" si="3"/>
        <v>#ERROR!</v>
      </c>
      <c r="R28" s="101">
        <v>0.740277777777776</v>
      </c>
      <c r="S28" s="101">
        <v>0.7479166666666649</v>
      </c>
      <c r="T28" s="185">
        <v>8.0</v>
      </c>
      <c r="U28" s="182">
        <v>0.7534722222222204</v>
      </c>
      <c r="V28" s="103">
        <f t="shared" si="4"/>
        <v>73</v>
      </c>
      <c r="W28" s="103">
        <f t="shared" si="10"/>
        <v>90</v>
      </c>
      <c r="X28" s="103">
        <f t="shared" si="6"/>
        <v>17</v>
      </c>
      <c r="Y28" s="104">
        <f t="shared" si="7"/>
        <v>0.2328767123</v>
      </c>
      <c r="Z28" s="142">
        <f t="shared" si="8"/>
        <v>30</v>
      </c>
    </row>
    <row r="29" ht="13.5" customHeight="1">
      <c r="A29" s="127"/>
      <c r="B29" s="141" t="s">
        <v>7</v>
      </c>
      <c r="C29" s="182">
        <v>0.711805555555554</v>
      </c>
      <c r="D29" s="101">
        <v>0.7194444444444429</v>
      </c>
      <c r="E29" s="101" t="str">
        <f>ARRAY_CONSTRAIN(ARRAYFORMULA(G29+TIME(,OFFSET([2]Segment!$C$77,,$B29,),)), 1, 1)</f>
        <v>#ERROR!</v>
      </c>
      <c r="F29" s="185">
        <v>2.0</v>
      </c>
      <c r="G29" s="101" t="str">
        <f t="shared" si="9"/>
        <v>#ERROR!</v>
      </c>
      <c r="H29" s="101">
        <v>0.7277777777777762</v>
      </c>
      <c r="I29" s="101">
        <v>0.7319444444444428</v>
      </c>
      <c r="J29" s="101">
        <v>0.7381944444444428</v>
      </c>
      <c r="K29" s="185">
        <v>5.0</v>
      </c>
      <c r="L29" s="101">
        <v>0.741666666666665</v>
      </c>
      <c r="M29" s="101">
        <v>0.7465277777777761</v>
      </c>
      <c r="N29" s="101">
        <v>0.7513888888888872</v>
      </c>
      <c r="O29" s="101" t="str">
        <f>ARRAY_CONSTRAIN(ARRAYFORMULA(Q29+TIME(,OFFSET([2]Segment!$C$83,,$B29,),)), 1, 1)</f>
        <v>#ERROR!</v>
      </c>
      <c r="P29" s="185">
        <v>2.0</v>
      </c>
      <c r="Q29" s="182" t="str">
        <f t="shared" si="3"/>
        <v>#ERROR!</v>
      </c>
      <c r="R29" s="101">
        <v>0.7611111111111094</v>
      </c>
      <c r="S29" s="101">
        <v>0.7687499999999983</v>
      </c>
      <c r="T29" s="185">
        <v>8.0</v>
      </c>
      <c r="U29" s="182">
        <v>0.7743055555555538</v>
      </c>
      <c r="V29" s="103">
        <f t="shared" si="4"/>
        <v>73</v>
      </c>
      <c r="W29" s="103">
        <f t="shared" si="10"/>
        <v>90</v>
      </c>
      <c r="X29" s="103">
        <f t="shared" si="6"/>
        <v>17</v>
      </c>
      <c r="Y29" s="104">
        <f t="shared" si="7"/>
        <v>0.2328767123</v>
      </c>
      <c r="Z29" s="142">
        <f t="shared" si="8"/>
        <v>30</v>
      </c>
    </row>
    <row r="30" ht="13.5" customHeight="1">
      <c r="A30" s="127"/>
      <c r="B30" s="141" t="s">
        <v>79</v>
      </c>
      <c r="C30" s="182">
        <v>0.7326388888888872</v>
      </c>
      <c r="D30" s="101">
        <v>0.740277777777776</v>
      </c>
      <c r="E30" s="101" t="str">
        <f>ARRAY_CONSTRAIN(ARRAYFORMULA(G30+TIME(,OFFSET([2]Segment!$C$77,,$B30,),)), 1, 1)</f>
        <v>#ERROR!</v>
      </c>
      <c r="F30" s="185">
        <v>2.0</v>
      </c>
      <c r="G30" s="101" t="str">
        <f t="shared" si="9"/>
        <v>#ERROR!</v>
      </c>
      <c r="H30" s="101">
        <v>0.7486111111111093</v>
      </c>
      <c r="I30" s="101">
        <v>0.752777777777776</v>
      </c>
      <c r="J30" s="101">
        <v>0.7583333333333315</v>
      </c>
      <c r="K30" s="185">
        <v>6.0</v>
      </c>
      <c r="L30" s="101">
        <v>0.7624999999999982</v>
      </c>
      <c r="M30" s="101">
        <v>0.7666666666666648</v>
      </c>
      <c r="N30" s="101">
        <v>0.7708333333333315</v>
      </c>
      <c r="O30" s="101" t="str">
        <f>ARRAY_CONSTRAIN(ARRAYFORMULA(Q30+TIME(,OFFSET([2]Segment!$C$83,,$B30,),)), 1, 1)</f>
        <v>#ERROR!</v>
      </c>
      <c r="P30" s="185">
        <v>2.0</v>
      </c>
      <c r="Q30" s="182" t="str">
        <f t="shared" si="3"/>
        <v>#ERROR!</v>
      </c>
      <c r="R30" s="101">
        <v>0.7798611111111092</v>
      </c>
      <c r="S30" s="101">
        <v>0.7874999999999981</v>
      </c>
      <c r="T30" s="185">
        <v>11.0</v>
      </c>
      <c r="U30" s="182">
        <v>0.795138888888887</v>
      </c>
      <c r="V30" s="103">
        <f t="shared" si="4"/>
        <v>69</v>
      </c>
      <c r="W30" s="103">
        <f t="shared" si="10"/>
        <v>90</v>
      </c>
      <c r="X30" s="103">
        <f t="shared" si="6"/>
        <v>21</v>
      </c>
      <c r="Y30" s="104">
        <f t="shared" si="7"/>
        <v>0.3043478261</v>
      </c>
      <c r="Z30" s="142">
        <f t="shared" si="8"/>
        <v>30</v>
      </c>
    </row>
    <row r="31" ht="13.5" customHeight="1">
      <c r="A31" s="127"/>
      <c r="B31" s="141" t="s">
        <v>79</v>
      </c>
      <c r="C31" s="182">
        <v>0.7534722222222204</v>
      </c>
      <c r="D31" s="101">
        <v>0.7611111111111093</v>
      </c>
      <c r="E31" s="101" t="str">
        <f>ARRAY_CONSTRAIN(ARRAYFORMULA(G31+TIME(,OFFSET([2]Segment!$C$77,,$B31,),)), 1, 1)</f>
        <v>#ERROR!</v>
      </c>
      <c r="F31" s="185">
        <v>2.0</v>
      </c>
      <c r="G31" s="101" t="str">
        <f t="shared" si="9"/>
        <v>#ERROR!</v>
      </c>
      <c r="H31" s="101">
        <v>0.7694444444444426</v>
      </c>
      <c r="I31" s="101">
        <v>0.7736111111111093</v>
      </c>
      <c r="J31" s="101">
        <v>0.7791666666666648</v>
      </c>
      <c r="K31" s="185">
        <v>6.0</v>
      </c>
      <c r="L31" s="101">
        <v>0.7833333333333314</v>
      </c>
      <c r="M31" s="101">
        <v>0.7874999999999981</v>
      </c>
      <c r="N31" s="101">
        <v>0.7916666666666647</v>
      </c>
      <c r="O31" s="101" t="str">
        <f>ARRAY_CONSTRAIN(ARRAYFORMULA(Q31+TIME(,OFFSET([2]Segment!$C$83,,$B31,),)), 1, 1)</f>
        <v>#ERROR!</v>
      </c>
      <c r="P31" s="185">
        <v>2.0</v>
      </c>
      <c r="Q31" s="182" t="str">
        <f t="shared" si="3"/>
        <v>#ERROR!</v>
      </c>
      <c r="R31" s="101">
        <v>0.8006944444444425</v>
      </c>
      <c r="S31" s="101">
        <v>0.8083333333333313</v>
      </c>
      <c r="T31" s="185">
        <v>0.0</v>
      </c>
      <c r="U31" s="107" t="s">
        <v>80</v>
      </c>
      <c r="V31" s="103">
        <f t="shared" si="4"/>
        <v>69</v>
      </c>
      <c r="W31" s="103">
        <f>(S31-C31)*1440</f>
        <v>79</v>
      </c>
      <c r="X31" s="103">
        <f t="shared" si="6"/>
        <v>10</v>
      </c>
      <c r="Y31" s="104">
        <f t="shared" si="7"/>
        <v>0.1449275362</v>
      </c>
      <c r="Z31" s="142">
        <f t="shared" ref="Z31:Z32" si="11">(S31-S30)*1440</f>
        <v>30</v>
      </c>
    </row>
    <row r="32" ht="13.5" customHeight="1">
      <c r="A32" s="127"/>
      <c r="B32" s="141" t="s">
        <v>79</v>
      </c>
      <c r="C32" s="182">
        <v>0.7743055555555538</v>
      </c>
      <c r="D32" s="101">
        <v>0.7819444444444427</v>
      </c>
      <c r="E32" s="101" t="str">
        <f>ARRAY_CONSTRAIN(ARRAYFORMULA(G32+TIME(,OFFSET([2]Segment!$C$77,,$B32,),)), 1, 1)</f>
        <v>#ERROR!</v>
      </c>
      <c r="F32" s="185">
        <v>2.0</v>
      </c>
      <c r="G32" s="101" t="str">
        <f t="shared" si="9"/>
        <v>#ERROR!</v>
      </c>
      <c r="H32" s="101">
        <v>0.790277777777776</v>
      </c>
      <c r="I32" s="101">
        <v>0.7944444444444426</v>
      </c>
      <c r="J32" s="101">
        <v>0.7999999999999982</v>
      </c>
      <c r="K32" s="185">
        <v>6.0</v>
      </c>
      <c r="L32" s="101">
        <v>0.8041666666666648</v>
      </c>
      <c r="M32" s="101">
        <v>0.8083333333333315</v>
      </c>
      <c r="N32" s="101">
        <v>0.8124999999999981</v>
      </c>
      <c r="O32" s="101" t="str">
        <f>ARRAY_CONSTRAIN(ARRAYFORMULA(Q32+TIME(,OFFSET([2]Segment!$C$83,,$B32,),)), 1, 1)</f>
        <v>#ERROR!</v>
      </c>
      <c r="P32" s="185">
        <v>2.0</v>
      </c>
      <c r="Q32" s="182" t="str">
        <f t="shared" si="3"/>
        <v>#ERROR!</v>
      </c>
      <c r="R32" s="101">
        <v>0.8215277777777759</v>
      </c>
      <c r="S32" s="101">
        <v>0.8291666666666647</v>
      </c>
      <c r="T32" s="185">
        <v>11.0</v>
      </c>
      <c r="U32" s="182">
        <v>0.8368055555555536</v>
      </c>
      <c r="V32" s="103">
        <f t="shared" si="4"/>
        <v>69</v>
      </c>
      <c r="W32" s="103">
        <f t="shared" ref="W32:W36" si="12">(U32-C32)*1440</f>
        <v>90</v>
      </c>
      <c r="X32" s="103">
        <f t="shared" si="6"/>
        <v>21</v>
      </c>
      <c r="Y32" s="104">
        <f t="shared" si="7"/>
        <v>0.3043478261</v>
      </c>
      <c r="Z32" s="142">
        <f t="shared" si="11"/>
        <v>30</v>
      </c>
    </row>
    <row r="33" ht="13.5" customHeight="1">
      <c r="A33" s="127"/>
      <c r="B33" s="141" t="s">
        <v>79</v>
      </c>
      <c r="C33" s="182">
        <v>0.795138888888887</v>
      </c>
      <c r="D33" s="101">
        <v>0.8027777777777758</v>
      </c>
      <c r="E33" s="101" t="str">
        <f>ARRAY_CONSTRAIN(ARRAYFORMULA(G33+TIME(,OFFSET([2]Segment!$C$77,,$B33,),)), 1, 1)</f>
        <v>#ERROR!</v>
      </c>
      <c r="F33" s="185">
        <v>2.0</v>
      </c>
      <c r="G33" s="101" t="str">
        <f t="shared" si="9"/>
        <v>#ERROR!</v>
      </c>
      <c r="H33" s="101">
        <v>0.8111111111111091</v>
      </c>
      <c r="I33" s="101">
        <v>0.8152777777777758</v>
      </c>
      <c r="J33" s="101">
        <v>0.8208333333333313</v>
      </c>
      <c r="K33" s="185">
        <v>6.0</v>
      </c>
      <c r="L33" s="101">
        <v>0.824999999999998</v>
      </c>
      <c r="M33" s="101">
        <v>0.8291666666666646</v>
      </c>
      <c r="N33" s="101">
        <v>0.8333333333333313</v>
      </c>
      <c r="O33" s="101" t="str">
        <f>ARRAY_CONSTRAIN(ARRAYFORMULA(Q33+TIME(,OFFSET([2]Segment!$C$83,,$B33,),)), 1, 1)</f>
        <v>#ERROR!</v>
      </c>
      <c r="P33" s="185">
        <v>2.0</v>
      </c>
      <c r="Q33" s="182" t="str">
        <f t="shared" si="3"/>
        <v>#ERROR!</v>
      </c>
      <c r="R33" s="101">
        <v>0.842361111111109</v>
      </c>
      <c r="S33" s="101">
        <v>0.8499999999999979</v>
      </c>
      <c r="T33" s="185">
        <v>11.0</v>
      </c>
      <c r="U33" s="182">
        <v>0.8576388888888867</v>
      </c>
      <c r="V33" s="103">
        <f t="shared" si="4"/>
        <v>69</v>
      </c>
      <c r="W33" s="103">
        <f t="shared" si="12"/>
        <v>90</v>
      </c>
      <c r="X33" s="103">
        <f t="shared" si="6"/>
        <v>21</v>
      </c>
      <c r="Y33" s="104">
        <f t="shared" si="7"/>
        <v>0.3043478261</v>
      </c>
      <c r="Z33" s="142">
        <f t="shared" ref="Z33:Z36" si="13">(U33-U32)*1440</f>
        <v>30</v>
      </c>
    </row>
    <row r="34" ht="13.5" customHeight="1">
      <c r="A34" s="127"/>
      <c r="B34" s="141" t="s">
        <v>79</v>
      </c>
      <c r="C34" s="182">
        <v>0.8368055555555536</v>
      </c>
      <c r="D34" s="101">
        <v>0.8444444444444424</v>
      </c>
      <c r="E34" s="101" t="str">
        <f>ARRAY_CONSTRAIN(ARRAYFORMULA(G34+TIME(,OFFSET([2]Segment!$C$77,,$B34,),)), 1, 1)</f>
        <v>#ERROR!</v>
      </c>
      <c r="F34" s="185">
        <v>2.0</v>
      </c>
      <c r="G34" s="101" t="str">
        <f t="shared" si="9"/>
        <v>#ERROR!</v>
      </c>
      <c r="H34" s="101">
        <v>0.8527777777777757</v>
      </c>
      <c r="I34" s="101">
        <v>0.8569444444444424</v>
      </c>
      <c r="J34" s="101">
        <v>0.8624999999999979</v>
      </c>
      <c r="K34" s="185">
        <v>6.0</v>
      </c>
      <c r="L34" s="101">
        <v>0.8666666666666646</v>
      </c>
      <c r="M34" s="101">
        <v>0.8708333333333312</v>
      </c>
      <c r="N34" s="101">
        <v>0.8749999999999979</v>
      </c>
      <c r="O34" s="101" t="str">
        <f>ARRAY_CONSTRAIN(ARRAYFORMULA(Q34+TIME(,OFFSET([2]Segment!$C$83,,$B34,),)), 1, 1)</f>
        <v>#ERROR!</v>
      </c>
      <c r="P34" s="185">
        <v>2.0</v>
      </c>
      <c r="Q34" s="182" t="str">
        <f t="shared" si="3"/>
        <v>#ERROR!</v>
      </c>
      <c r="R34" s="101">
        <v>0.8840277777777756</v>
      </c>
      <c r="S34" s="101">
        <v>0.8916666666666645</v>
      </c>
      <c r="T34" s="185">
        <v>11.0</v>
      </c>
      <c r="U34" s="182">
        <v>0.8993055555555534</v>
      </c>
      <c r="V34" s="103">
        <f t="shared" si="4"/>
        <v>69</v>
      </c>
      <c r="W34" s="103">
        <f t="shared" si="12"/>
        <v>90</v>
      </c>
      <c r="X34" s="103">
        <f t="shared" si="6"/>
        <v>21</v>
      </c>
      <c r="Y34" s="104">
        <f t="shared" si="7"/>
        <v>0.3043478261</v>
      </c>
      <c r="Z34" s="142">
        <f t="shared" si="13"/>
        <v>60</v>
      </c>
    </row>
    <row r="35" ht="13.5" customHeight="1">
      <c r="A35" s="127"/>
      <c r="B35" s="141" t="s">
        <v>98</v>
      </c>
      <c r="C35" s="182">
        <v>0.8576388888888867</v>
      </c>
      <c r="D35" s="101">
        <v>0.8638888888888867</v>
      </c>
      <c r="E35" s="101" t="str">
        <f>ARRAY_CONSTRAIN(ARRAYFORMULA(G35+TIME(,OFFSET([2]Segment!$C$77,,$B35,),)), 1, 1)</f>
        <v>#ERROR!</v>
      </c>
      <c r="F35" s="185">
        <v>2.0</v>
      </c>
      <c r="G35" s="101" t="str">
        <f t="shared" si="9"/>
        <v>#ERROR!</v>
      </c>
      <c r="H35" s="101">
        <v>0.87222222222222</v>
      </c>
      <c r="I35" s="101">
        <v>0.8763888888888867</v>
      </c>
      <c r="J35" s="101">
        <v>0.8819444444444422</v>
      </c>
      <c r="K35" s="185">
        <v>8.0</v>
      </c>
      <c r="L35" s="101">
        <v>0.8874999999999977</v>
      </c>
      <c r="M35" s="101">
        <v>0.8916666666666644</v>
      </c>
      <c r="N35" s="101">
        <v>0.8951388888888866</v>
      </c>
      <c r="O35" s="101" t="str">
        <f>ARRAY_CONSTRAIN(ARRAYFORMULA(Q35+TIME(,OFFSET([2]Segment!$C$83,,$B35,),)), 1, 1)</f>
        <v>#ERROR!</v>
      </c>
      <c r="P35" s="185">
        <v>2.0</v>
      </c>
      <c r="Q35" s="182" t="str">
        <f t="shared" si="3"/>
        <v>#ERROR!</v>
      </c>
      <c r="R35" s="101">
        <v>0.9055555555555532</v>
      </c>
      <c r="S35" s="101">
        <v>0.9118055555555532</v>
      </c>
      <c r="T35" s="185">
        <v>12.0</v>
      </c>
      <c r="U35" s="182">
        <v>0.9201388888888865</v>
      </c>
      <c r="V35" s="103">
        <f t="shared" si="4"/>
        <v>66</v>
      </c>
      <c r="W35" s="103">
        <f t="shared" si="12"/>
        <v>90</v>
      </c>
      <c r="X35" s="103">
        <f t="shared" si="6"/>
        <v>24</v>
      </c>
      <c r="Y35" s="104">
        <f t="shared" si="7"/>
        <v>0.3636363636</v>
      </c>
      <c r="Z35" s="142">
        <f t="shared" si="13"/>
        <v>30</v>
      </c>
    </row>
    <row r="36" ht="13.5" customHeight="1">
      <c r="A36" s="127"/>
      <c r="B36" s="141" t="s">
        <v>98</v>
      </c>
      <c r="C36" s="182">
        <v>0.8993055555555534</v>
      </c>
      <c r="D36" s="101">
        <v>0.9055555555555533</v>
      </c>
      <c r="E36" s="101" t="str">
        <f>ARRAY_CONSTRAIN(ARRAYFORMULA(G36+TIME(,OFFSET([2]Segment!$C$77,,$B36,),)), 1, 1)</f>
        <v>#ERROR!</v>
      </c>
      <c r="F36" s="185">
        <v>2.0</v>
      </c>
      <c r="G36" s="101" t="str">
        <f t="shared" si="9"/>
        <v>#ERROR!</v>
      </c>
      <c r="H36" s="101">
        <v>0.9138888888888866</v>
      </c>
      <c r="I36" s="101">
        <v>0.9180555555555533</v>
      </c>
      <c r="J36" s="101">
        <v>0.9236111111111088</v>
      </c>
      <c r="K36" s="185">
        <v>8.0</v>
      </c>
      <c r="L36" s="101">
        <v>0.9291666666666644</v>
      </c>
      <c r="M36" s="101">
        <v>0.933333333333331</v>
      </c>
      <c r="N36" s="101">
        <v>0.9368055555555532</v>
      </c>
      <c r="O36" s="101" t="str">
        <f>ARRAY_CONSTRAIN(ARRAYFORMULA(Q36+TIME(,OFFSET([2]Segment!$C$83,,$B36,),)), 1, 1)</f>
        <v>#ERROR!</v>
      </c>
      <c r="P36" s="185">
        <v>2.0</v>
      </c>
      <c r="Q36" s="182" t="str">
        <f t="shared" si="3"/>
        <v>#ERROR!</v>
      </c>
      <c r="R36" s="101">
        <v>0.9472222222222199</v>
      </c>
      <c r="S36" s="101">
        <v>0.9534722222222198</v>
      </c>
      <c r="T36" s="185">
        <v>12.0</v>
      </c>
      <c r="U36" s="182">
        <v>0.9618055555555531</v>
      </c>
      <c r="V36" s="103">
        <f t="shared" si="4"/>
        <v>66</v>
      </c>
      <c r="W36" s="103">
        <f t="shared" si="12"/>
        <v>90</v>
      </c>
      <c r="X36" s="103">
        <f t="shared" si="6"/>
        <v>24</v>
      </c>
      <c r="Y36" s="104">
        <f t="shared" si="7"/>
        <v>0.3636363636</v>
      </c>
      <c r="Z36" s="142">
        <f t="shared" si="13"/>
        <v>60</v>
      </c>
    </row>
    <row r="37" ht="13.5" customHeight="1">
      <c r="A37" s="127"/>
      <c r="B37" s="141" t="s">
        <v>98</v>
      </c>
      <c r="C37" s="182">
        <v>0.9201388888888865</v>
      </c>
      <c r="D37" s="101">
        <v>0.9263888888888865</v>
      </c>
      <c r="E37" s="101" t="str">
        <f>ARRAY_CONSTRAIN(ARRAYFORMULA(G37+TIME(,OFFSET([2]Segment!$C$77,,$B37,),)), 1, 1)</f>
        <v>#ERROR!</v>
      </c>
      <c r="F37" s="185">
        <v>2.0</v>
      </c>
      <c r="G37" s="101" t="str">
        <f t="shared" si="9"/>
        <v>#ERROR!</v>
      </c>
      <c r="H37" s="101">
        <v>0.9347222222222198</v>
      </c>
      <c r="I37" s="101">
        <v>0.9388888888888864</v>
      </c>
      <c r="J37" s="101">
        <v>0.944444444444442</v>
      </c>
      <c r="K37" s="185"/>
      <c r="L37" s="107" t="s">
        <v>80</v>
      </c>
      <c r="M37" s="101"/>
      <c r="N37" s="101"/>
      <c r="O37" s="101"/>
      <c r="P37" s="185"/>
      <c r="Q37" s="182"/>
      <c r="R37" s="101"/>
      <c r="S37" s="101"/>
      <c r="T37" s="185"/>
      <c r="U37" s="182"/>
      <c r="V37" s="103">
        <f t="shared" si="4"/>
        <v>33</v>
      </c>
      <c r="W37" s="103">
        <f t="shared" ref="W37:W38" si="14">(J37-C37)*1440</f>
        <v>35</v>
      </c>
      <c r="X37" s="103">
        <f t="shared" si="6"/>
        <v>2</v>
      </c>
      <c r="Y37" s="104">
        <f t="shared" si="7"/>
        <v>0.06060606061</v>
      </c>
      <c r="Z37" s="142">
        <f t="shared" ref="Z37:Z38" si="15">(J37-J36)*1440</f>
        <v>30</v>
      </c>
    </row>
    <row r="38" ht="13.5" customHeight="1">
      <c r="A38" s="156"/>
      <c r="B38" s="141" t="s">
        <v>98</v>
      </c>
      <c r="C38" s="182">
        <v>0.9618055555555531</v>
      </c>
      <c r="D38" s="101">
        <v>0.9680555555555531</v>
      </c>
      <c r="E38" s="101" t="str">
        <f>ARRAY_CONSTRAIN(ARRAYFORMULA(G38+TIME(,OFFSET([2]Segment!$C$77,,$B38,),)), 1, 1)</f>
        <v>#ERROR!</v>
      </c>
      <c r="F38" s="185">
        <v>2.0</v>
      </c>
      <c r="G38" s="101" t="str">
        <f t="shared" si="9"/>
        <v>#ERROR!</v>
      </c>
      <c r="H38" s="101">
        <v>0.9763888888888864</v>
      </c>
      <c r="I38" s="101">
        <v>0.9805555555555531</v>
      </c>
      <c r="J38" s="101">
        <v>0.9861111111111086</v>
      </c>
      <c r="K38" s="185"/>
      <c r="L38" s="107" t="s">
        <v>80</v>
      </c>
      <c r="M38" s="101"/>
      <c r="N38" s="101"/>
      <c r="O38" s="101"/>
      <c r="P38" s="185"/>
      <c r="Q38" s="182"/>
      <c r="R38" s="101"/>
      <c r="S38" s="101"/>
      <c r="T38" s="185"/>
      <c r="U38" s="182"/>
      <c r="V38" s="103">
        <f t="shared" si="4"/>
        <v>33</v>
      </c>
      <c r="W38" s="103">
        <f t="shared" si="14"/>
        <v>35</v>
      </c>
      <c r="X38" s="103">
        <f t="shared" si="6"/>
        <v>2</v>
      </c>
      <c r="Y38" s="104">
        <f t="shared" si="7"/>
        <v>0.06060606061</v>
      </c>
      <c r="Z38" s="142">
        <f t="shared" si="15"/>
        <v>60</v>
      </c>
    </row>
    <row r="39" ht="13.5" customHeight="1">
      <c r="A39" s="189"/>
      <c r="F39" s="109">
        <f>SUM(F7:F38)</f>
        <v>64</v>
      </c>
      <c r="K39" s="109">
        <f>SUM(K7:K38)</f>
        <v>202</v>
      </c>
      <c r="P39" s="109">
        <f>SUM(P7:P38)</f>
        <v>60</v>
      </c>
      <c r="S39" s="110" t="s">
        <v>81</v>
      </c>
      <c r="V39" s="159">
        <f t="shared" ref="V39:X39" si="16">SUM(V5:V38)/60</f>
        <v>37.98333333</v>
      </c>
      <c r="W39" s="112">
        <f t="shared" si="16"/>
        <v>48.28333333</v>
      </c>
      <c r="X39" s="159">
        <f t="shared" si="16"/>
        <v>10.3</v>
      </c>
      <c r="Y39" s="104">
        <f t="shared" si="7"/>
        <v>0.2711715665</v>
      </c>
    </row>
    <row r="40" ht="13.5" customHeight="1">
      <c r="A40" s="189"/>
    </row>
    <row r="41" ht="13.5" customHeight="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90" t="s">
        <v>81</v>
      </c>
      <c r="T41" s="2"/>
      <c r="U41" s="3"/>
      <c r="V41" s="191"/>
      <c r="W41" s="192"/>
      <c r="X41" s="191"/>
      <c r="Y41" s="193"/>
      <c r="Z41" s="118"/>
      <c r="AA41" s="118"/>
      <c r="AB41" s="118"/>
      <c r="AC41" s="118"/>
      <c r="AD41" s="118"/>
    </row>
    <row r="42" ht="13.5" customHeight="1">
      <c r="A42" s="123" t="s">
        <v>82</v>
      </c>
      <c r="B42" s="73"/>
    </row>
    <row r="43" ht="13.5" customHeight="1">
      <c r="A43" s="127"/>
      <c r="B43" s="73"/>
      <c r="C43" s="165" t="s">
        <v>112</v>
      </c>
      <c r="D43" s="166"/>
      <c r="E43" s="166"/>
      <c r="F43" s="166"/>
      <c r="G43" s="166"/>
      <c r="H43" s="166"/>
      <c r="I43" s="166"/>
      <c r="J43" s="167"/>
      <c r="K43" s="168"/>
      <c r="L43" s="194" t="s">
        <v>113</v>
      </c>
      <c r="M43" s="166"/>
      <c r="N43" s="166"/>
      <c r="O43" s="166"/>
      <c r="P43" s="166"/>
      <c r="Q43" s="166"/>
      <c r="R43" s="166"/>
      <c r="S43" s="167"/>
    </row>
    <row r="44" ht="13.5" customHeight="1">
      <c r="A44" s="127"/>
      <c r="B44" s="89"/>
      <c r="C44" s="169" t="s">
        <v>62</v>
      </c>
      <c r="E44" s="170" t="s">
        <v>85</v>
      </c>
      <c r="F44" s="171"/>
      <c r="G44" s="170" t="s">
        <v>62</v>
      </c>
      <c r="J44" s="89" t="s">
        <v>85</v>
      </c>
      <c r="L44" s="89" t="s">
        <v>62</v>
      </c>
      <c r="O44" s="170" t="s">
        <v>85</v>
      </c>
      <c r="P44" s="172"/>
      <c r="Q44" s="170" t="s">
        <v>62</v>
      </c>
      <c r="R44" s="62"/>
      <c r="S44" s="89" t="s">
        <v>85</v>
      </c>
      <c r="T44" s="62"/>
      <c r="U44" s="89" t="s">
        <v>62</v>
      </c>
      <c r="V44" s="62"/>
      <c r="W44" s="62"/>
      <c r="X44" s="173"/>
    </row>
    <row r="45" ht="13.5" customHeight="1">
      <c r="A45" s="127"/>
      <c r="B45" s="89" t="s">
        <v>63</v>
      </c>
      <c r="C45" s="89" t="s">
        <v>64</v>
      </c>
      <c r="D45" s="128" t="s">
        <v>65</v>
      </c>
      <c r="E45" s="174" t="str">
        <f t="shared" ref="E45:E46" si="17">E3</f>
        <v>Cuthbert Street</v>
      </c>
      <c r="F45" s="175"/>
      <c r="G45" s="174" t="str">
        <f t="shared" ref="G45:G46" si="18">G3</f>
        <v>Cuthbert Street</v>
      </c>
      <c r="H45" s="130" t="s">
        <v>105</v>
      </c>
      <c r="I45" s="128" t="s">
        <v>106</v>
      </c>
      <c r="J45" s="128" t="s">
        <v>86</v>
      </c>
      <c r="L45" s="128" t="s">
        <v>86</v>
      </c>
      <c r="M45" s="128" t="s">
        <v>107</v>
      </c>
      <c r="N45" s="130" t="s">
        <v>105</v>
      </c>
      <c r="O45" s="174" t="str">
        <f t="shared" ref="O45:O46" si="19">O3</f>
        <v>Ferndale Woods Public School</v>
      </c>
      <c r="P45" s="176"/>
      <c r="Q45" s="174" t="str">
        <f t="shared" ref="Q45:Q46" si="20">Q3</f>
        <v>Ferndale Woods Public School</v>
      </c>
      <c r="R45" s="128" t="s">
        <v>65</v>
      </c>
      <c r="S45" s="177" t="s">
        <v>64</v>
      </c>
      <c r="T45" s="62"/>
      <c r="U45" s="89" t="s">
        <v>64</v>
      </c>
      <c r="V45" s="62"/>
      <c r="W45" s="62"/>
      <c r="X45" s="173"/>
    </row>
    <row r="46" ht="13.5" customHeight="1">
      <c r="A46" s="127"/>
      <c r="B46" s="93" t="s">
        <v>72</v>
      </c>
      <c r="C46" s="89">
        <v>777.0</v>
      </c>
      <c r="D46" s="128">
        <v>662.0</v>
      </c>
      <c r="E46" s="174">
        <f t="shared" si="17"/>
        <v>829</v>
      </c>
      <c r="F46" s="178" t="s">
        <v>69</v>
      </c>
      <c r="G46" s="174">
        <f t="shared" si="18"/>
        <v>829</v>
      </c>
      <c r="H46" s="179">
        <v>627.0</v>
      </c>
      <c r="I46" s="128">
        <v>271.0</v>
      </c>
      <c r="J46" s="128">
        <v>1.0</v>
      </c>
      <c r="K46" s="180" t="s">
        <v>69</v>
      </c>
      <c r="L46" s="128">
        <v>1.0</v>
      </c>
      <c r="M46" s="128">
        <v>893.0</v>
      </c>
      <c r="N46" s="128">
        <v>626.0</v>
      </c>
      <c r="O46" s="174">
        <f t="shared" si="19"/>
        <v>841</v>
      </c>
      <c r="P46" s="170" t="s">
        <v>69</v>
      </c>
      <c r="Q46" s="174">
        <f t="shared" si="20"/>
        <v>841</v>
      </c>
      <c r="R46" s="128">
        <v>847.0</v>
      </c>
      <c r="S46" s="89">
        <v>777.0</v>
      </c>
      <c r="T46" s="181" t="s">
        <v>69</v>
      </c>
      <c r="U46" s="89">
        <v>777.0</v>
      </c>
      <c r="V46" s="139" t="s">
        <v>73</v>
      </c>
      <c r="W46" s="139" t="s">
        <v>74</v>
      </c>
      <c r="X46" s="139" t="s">
        <v>69</v>
      </c>
      <c r="Y46" s="139" t="s">
        <v>109</v>
      </c>
      <c r="Z46" s="140" t="s">
        <v>76</v>
      </c>
      <c r="AD46" s="143" t="s">
        <v>90</v>
      </c>
    </row>
    <row r="47" ht="13.5" customHeight="1">
      <c r="A47" s="127"/>
      <c r="B47" s="141" t="s">
        <v>89</v>
      </c>
      <c r="C47" s="182"/>
      <c r="D47" s="182"/>
      <c r="E47" s="182"/>
      <c r="F47" s="183"/>
      <c r="G47" s="182"/>
      <c r="H47" s="184">
        <v>0.26805555555555555</v>
      </c>
      <c r="I47" s="101">
        <v>0.2722222222222222</v>
      </c>
      <c r="J47" s="101">
        <v>0.27777777777777773</v>
      </c>
      <c r="K47" s="185">
        <v>8.0</v>
      </c>
      <c r="L47" s="101">
        <v>0.28333333333333327</v>
      </c>
      <c r="M47" s="101">
        <v>0.28819444444444436</v>
      </c>
      <c r="N47" s="101">
        <v>0.29305555555555546</v>
      </c>
      <c r="O47" s="101" t="str">
        <f>ARRAY_CONSTRAIN(ARRAYFORMULA(Q47+TIME(,OFFSET([2]Segment!$C$83,,$B47,),)), 1, 1)</f>
        <v>#ERROR!</v>
      </c>
      <c r="P47" s="185">
        <v>2.0</v>
      </c>
      <c r="Q47" s="182" t="str">
        <f t="shared" ref="Q47:Q76" si="21">O47+TIME(,P47,)</f>
        <v>#ERROR!</v>
      </c>
      <c r="R47" s="101">
        <v>0.30277777777777765</v>
      </c>
      <c r="S47" s="101">
        <v>0.30972222222222207</v>
      </c>
      <c r="T47" s="185">
        <v>9.0</v>
      </c>
      <c r="U47" s="182">
        <v>0.31597222222222204</v>
      </c>
      <c r="V47" s="103">
        <f t="shared" ref="V47:V78" si="22">W47-X47</f>
        <v>50</v>
      </c>
      <c r="W47" s="103">
        <f t="shared" ref="W47:W48" si="23">(U47-H47)*1440</f>
        <v>69</v>
      </c>
      <c r="X47" s="103">
        <f t="shared" ref="X47:X78" si="24">K47+F47+T47+P47</f>
        <v>19</v>
      </c>
      <c r="Y47" s="104">
        <f t="shared" ref="Y47:Y79" si="25">X47/V47</f>
        <v>0.38</v>
      </c>
      <c r="Z47" s="142"/>
      <c r="AD47" s="186" t="s">
        <v>110</v>
      </c>
    </row>
    <row r="48" ht="13.5" customHeight="1">
      <c r="A48" s="127"/>
      <c r="B48" s="141" t="s">
        <v>89</v>
      </c>
      <c r="C48" s="187"/>
      <c r="D48" s="187"/>
      <c r="E48" s="187"/>
      <c r="F48" s="188"/>
      <c r="G48" s="187"/>
      <c r="H48" s="100">
        <v>0.28888888888888886</v>
      </c>
      <c r="I48" s="101">
        <v>0.2930555555555555</v>
      </c>
      <c r="J48" s="101">
        <v>0.29861111111111105</v>
      </c>
      <c r="K48" s="185">
        <v>8.0</v>
      </c>
      <c r="L48" s="101">
        <v>0.3041666666666666</v>
      </c>
      <c r="M48" s="101">
        <v>0.3090277777777777</v>
      </c>
      <c r="N48" s="101">
        <v>0.3138888888888888</v>
      </c>
      <c r="O48" s="101" t="str">
        <f>ARRAY_CONSTRAIN(ARRAYFORMULA(Q48+TIME(,OFFSET([2]Segment!$C$83,,$B48,),)), 1, 1)</f>
        <v>#ERROR!</v>
      </c>
      <c r="P48" s="185">
        <v>2.0</v>
      </c>
      <c r="Q48" s="182" t="str">
        <f t="shared" si="21"/>
        <v>#ERROR!</v>
      </c>
      <c r="R48" s="101">
        <v>0.32361111111111096</v>
      </c>
      <c r="S48" s="101">
        <v>0.3305555555555554</v>
      </c>
      <c r="T48" s="185">
        <v>9.0</v>
      </c>
      <c r="U48" s="182">
        <v>0.33680555555555536</v>
      </c>
      <c r="V48" s="103">
        <f t="shared" si="22"/>
        <v>50</v>
      </c>
      <c r="W48" s="103">
        <f t="shared" si="23"/>
        <v>69</v>
      </c>
      <c r="X48" s="103">
        <f t="shared" si="24"/>
        <v>19</v>
      </c>
      <c r="Y48" s="104">
        <f t="shared" si="25"/>
        <v>0.38</v>
      </c>
      <c r="Z48" s="142">
        <f t="shared" ref="Z48:Z70" si="26">(U48-U47)*1440</f>
        <v>30</v>
      </c>
      <c r="AD48" s="147" t="s">
        <v>92</v>
      </c>
    </row>
    <row r="49" ht="13.5" customHeight="1">
      <c r="A49" s="127"/>
      <c r="B49" s="141" t="s">
        <v>77</v>
      </c>
      <c r="C49" s="184">
        <v>0.29513888888888873</v>
      </c>
      <c r="D49" s="101">
        <v>0.3013888888888887</v>
      </c>
      <c r="E49" s="101" t="str">
        <f>ARRAY_CONSTRAIN(ARRAYFORMULA(G49+TIME(,OFFSET([2]Segment!$C$77,,$B49,),)), 1, 1)</f>
        <v>#ERROR!</v>
      </c>
      <c r="F49" s="185">
        <v>2.0</v>
      </c>
      <c r="G49" s="101" t="str">
        <f t="shared" ref="G49:G78" si="27">E49+TIME(,F49,)</f>
        <v>#ERROR!</v>
      </c>
      <c r="H49" s="101">
        <v>0.309722222222222</v>
      </c>
      <c r="I49" s="101">
        <v>0.31388888888888866</v>
      </c>
      <c r="J49" s="101">
        <v>0.3194444444444442</v>
      </c>
      <c r="K49" s="185">
        <v>8.0</v>
      </c>
      <c r="L49" s="101">
        <v>0.32499999999999973</v>
      </c>
      <c r="M49" s="101">
        <v>0.3298611111111108</v>
      </c>
      <c r="N49" s="101">
        <v>0.3347222222222219</v>
      </c>
      <c r="O49" s="101" t="str">
        <f>ARRAY_CONSTRAIN(ARRAYFORMULA(Q49+TIME(,OFFSET([2]Segment!$C$83,,$B49,),)), 1, 1)</f>
        <v>#ERROR!</v>
      </c>
      <c r="P49" s="185">
        <v>2.0</v>
      </c>
      <c r="Q49" s="182" t="str">
        <f t="shared" si="21"/>
        <v>#ERROR!</v>
      </c>
      <c r="R49" s="101">
        <v>0.3444444444444441</v>
      </c>
      <c r="S49" s="101">
        <v>0.35138888888888853</v>
      </c>
      <c r="T49" s="185">
        <v>9.0</v>
      </c>
      <c r="U49" s="182">
        <v>0.3576388888888885</v>
      </c>
      <c r="V49" s="103">
        <f t="shared" si="22"/>
        <v>69</v>
      </c>
      <c r="W49" s="103">
        <f t="shared" ref="W49:W70" si="28">(U49-C49)*1440</f>
        <v>90</v>
      </c>
      <c r="X49" s="103">
        <f t="shared" si="24"/>
        <v>21</v>
      </c>
      <c r="Y49" s="104">
        <f t="shared" si="25"/>
        <v>0.3043478261</v>
      </c>
      <c r="Z49" s="142">
        <f t="shared" si="26"/>
        <v>30</v>
      </c>
      <c r="AD49" s="148" t="s">
        <v>93</v>
      </c>
    </row>
    <row r="50" ht="13.5" customHeight="1">
      <c r="A50" s="127"/>
      <c r="B50" s="141" t="s">
        <v>77</v>
      </c>
      <c r="C50" s="182">
        <v>0.31597222222222204</v>
      </c>
      <c r="D50" s="101">
        <v>0.322222222222222</v>
      </c>
      <c r="E50" s="101" t="str">
        <f>ARRAY_CONSTRAIN(ARRAYFORMULA(G50+TIME(,OFFSET([2]Segment!$C$77,,$B50,),)), 1, 1)</f>
        <v>#ERROR!</v>
      </c>
      <c r="F50" s="185">
        <v>2.0</v>
      </c>
      <c r="G50" s="101" t="str">
        <f t="shared" si="27"/>
        <v>#ERROR!</v>
      </c>
      <c r="H50" s="101">
        <v>0.3305555555555553</v>
      </c>
      <c r="I50" s="101">
        <v>0.334722222222222</v>
      </c>
      <c r="J50" s="101">
        <v>0.3402777777777775</v>
      </c>
      <c r="K50" s="185">
        <v>8.0</v>
      </c>
      <c r="L50" s="101">
        <v>0.34583333333333305</v>
      </c>
      <c r="M50" s="101">
        <v>0.35069444444444414</v>
      </c>
      <c r="N50" s="101">
        <v>0.35555555555555524</v>
      </c>
      <c r="O50" s="101" t="str">
        <f>ARRAY_CONSTRAIN(ARRAYFORMULA(Q50+TIME(,OFFSET([2]Segment!$C$83,,$B50,),)), 1, 1)</f>
        <v>#ERROR!</v>
      </c>
      <c r="P50" s="185">
        <v>2.0</v>
      </c>
      <c r="Q50" s="182" t="str">
        <f t="shared" si="21"/>
        <v>#ERROR!</v>
      </c>
      <c r="R50" s="101">
        <v>0.3652777777777774</v>
      </c>
      <c r="S50" s="101">
        <v>0.37222222222222184</v>
      </c>
      <c r="T50" s="185">
        <v>9.0</v>
      </c>
      <c r="U50" s="182">
        <v>0.3784722222222218</v>
      </c>
      <c r="V50" s="103">
        <f t="shared" si="22"/>
        <v>69</v>
      </c>
      <c r="W50" s="103">
        <f t="shared" si="28"/>
        <v>90</v>
      </c>
      <c r="X50" s="103">
        <f t="shared" si="24"/>
        <v>21</v>
      </c>
      <c r="Y50" s="104">
        <f t="shared" si="25"/>
        <v>0.3043478261</v>
      </c>
      <c r="Z50" s="142">
        <f t="shared" si="26"/>
        <v>30</v>
      </c>
      <c r="AD50" s="149" t="s">
        <v>94</v>
      </c>
    </row>
    <row r="51" ht="13.5" customHeight="1">
      <c r="A51" s="127"/>
      <c r="B51" s="141" t="s">
        <v>77</v>
      </c>
      <c r="C51" s="182">
        <v>0.33680555555555536</v>
      </c>
      <c r="D51" s="101">
        <v>0.34305555555555534</v>
      </c>
      <c r="E51" s="101" t="str">
        <f>ARRAY_CONSTRAIN(ARRAYFORMULA(G51+TIME(,OFFSET([2]Segment!$C$77,,$B51,),)), 1, 1)</f>
        <v>#ERROR!</v>
      </c>
      <c r="F51" s="185">
        <v>2.0</v>
      </c>
      <c r="G51" s="101" t="str">
        <f t="shared" si="27"/>
        <v>#ERROR!</v>
      </c>
      <c r="H51" s="101">
        <v>0.35138888888888864</v>
      </c>
      <c r="I51" s="101">
        <v>0.3555555555555553</v>
      </c>
      <c r="J51" s="101">
        <v>0.3611111111111108</v>
      </c>
      <c r="K51" s="185">
        <v>8.0</v>
      </c>
      <c r="L51" s="101">
        <v>0.36666666666666636</v>
      </c>
      <c r="M51" s="101">
        <v>0.37152777777777746</v>
      </c>
      <c r="N51" s="101">
        <v>0.37638888888888855</v>
      </c>
      <c r="O51" s="101" t="str">
        <f>ARRAY_CONSTRAIN(ARRAYFORMULA(Q51+TIME(,OFFSET([2]Segment!$C$83,,$B51,),)), 1, 1)</f>
        <v>#ERROR!</v>
      </c>
      <c r="P51" s="185">
        <v>2.0</v>
      </c>
      <c r="Q51" s="182" t="str">
        <f t="shared" si="21"/>
        <v>#ERROR!</v>
      </c>
      <c r="R51" s="101">
        <v>0.38611111111111074</v>
      </c>
      <c r="S51" s="101">
        <v>0.39305555555555516</v>
      </c>
      <c r="T51" s="185">
        <v>9.0</v>
      </c>
      <c r="U51" s="182">
        <v>0.39930555555555514</v>
      </c>
      <c r="V51" s="103">
        <f t="shared" si="22"/>
        <v>69</v>
      </c>
      <c r="W51" s="103">
        <f t="shared" si="28"/>
        <v>90</v>
      </c>
      <c r="X51" s="103">
        <f t="shared" si="24"/>
        <v>21</v>
      </c>
      <c r="Y51" s="104">
        <f t="shared" si="25"/>
        <v>0.3043478261</v>
      </c>
      <c r="Z51" s="142">
        <f t="shared" si="26"/>
        <v>30</v>
      </c>
      <c r="AD51" s="150" t="s">
        <v>111</v>
      </c>
    </row>
    <row r="52" ht="13.5" customHeight="1">
      <c r="A52" s="127"/>
      <c r="B52" s="141" t="s">
        <v>77</v>
      </c>
      <c r="C52" s="182">
        <v>0.3576388888888885</v>
      </c>
      <c r="D52" s="101">
        <v>0.3638888888888885</v>
      </c>
      <c r="E52" s="101" t="str">
        <f>ARRAY_CONSTRAIN(ARRAYFORMULA(G52+TIME(,OFFSET([2]Segment!$C$77,,$B52,),)), 1, 1)</f>
        <v>#ERROR!</v>
      </c>
      <c r="F52" s="185">
        <v>2.0</v>
      </c>
      <c r="G52" s="101" t="str">
        <f t="shared" si="27"/>
        <v>#ERROR!</v>
      </c>
      <c r="H52" s="101">
        <v>0.3722222222222218</v>
      </c>
      <c r="I52" s="101">
        <v>0.37638888888888844</v>
      </c>
      <c r="J52" s="101">
        <v>0.381944444444444</v>
      </c>
      <c r="K52" s="185">
        <v>8.0</v>
      </c>
      <c r="L52" s="101">
        <v>0.3874999999999995</v>
      </c>
      <c r="M52" s="101">
        <v>0.3923611111111106</v>
      </c>
      <c r="N52" s="101">
        <v>0.3972222222222217</v>
      </c>
      <c r="O52" s="101" t="str">
        <f>ARRAY_CONSTRAIN(ARRAYFORMULA(Q52+TIME(,OFFSET([2]Segment!$C$83,,$B52,),)), 1, 1)</f>
        <v>#ERROR!</v>
      </c>
      <c r="P52" s="185">
        <v>2.0</v>
      </c>
      <c r="Q52" s="182" t="str">
        <f t="shared" si="21"/>
        <v>#ERROR!</v>
      </c>
      <c r="R52" s="101">
        <v>0.4069444444444439</v>
      </c>
      <c r="S52" s="101">
        <v>0.4138888888888883</v>
      </c>
      <c r="T52" s="185">
        <v>9.0</v>
      </c>
      <c r="U52" s="182">
        <v>0.4201388888888883</v>
      </c>
      <c r="V52" s="103">
        <f t="shared" si="22"/>
        <v>69</v>
      </c>
      <c r="W52" s="103">
        <f t="shared" si="28"/>
        <v>90</v>
      </c>
      <c r="X52" s="103">
        <f t="shared" si="24"/>
        <v>21</v>
      </c>
      <c r="Y52" s="104">
        <f t="shared" si="25"/>
        <v>0.3043478261</v>
      </c>
      <c r="Z52" s="142">
        <f t="shared" si="26"/>
        <v>30</v>
      </c>
      <c r="AD52" s="151"/>
    </row>
    <row r="53" ht="13.5" customHeight="1">
      <c r="A53" s="127"/>
      <c r="B53" s="141" t="s">
        <v>77</v>
      </c>
      <c r="C53" s="182">
        <v>0.3784722222222218</v>
      </c>
      <c r="D53" s="101">
        <v>0.3847222222222218</v>
      </c>
      <c r="E53" s="101" t="str">
        <f>ARRAY_CONSTRAIN(ARRAYFORMULA(G53+TIME(,OFFSET([2]Segment!$C$77,,$B53,),)), 1, 1)</f>
        <v>#ERROR!</v>
      </c>
      <c r="F53" s="185">
        <v>2.0</v>
      </c>
      <c r="G53" s="101" t="str">
        <f t="shared" si="27"/>
        <v>#ERROR!</v>
      </c>
      <c r="H53" s="101">
        <v>0.3930555555555551</v>
      </c>
      <c r="I53" s="101">
        <v>0.39722222222222175</v>
      </c>
      <c r="J53" s="101">
        <v>0.4027777777777773</v>
      </c>
      <c r="K53" s="185">
        <v>8.0</v>
      </c>
      <c r="L53" s="101">
        <v>0.4083333333333328</v>
      </c>
      <c r="M53" s="101">
        <v>0.4131944444444439</v>
      </c>
      <c r="N53" s="101">
        <v>0.418055555555555</v>
      </c>
      <c r="O53" s="101" t="str">
        <f>ARRAY_CONSTRAIN(ARRAYFORMULA(Q53+TIME(,OFFSET([2]Segment!$C$83,,$B53,),)), 1, 1)</f>
        <v>#ERROR!</v>
      </c>
      <c r="P53" s="185">
        <v>2.0</v>
      </c>
      <c r="Q53" s="182" t="str">
        <f t="shared" si="21"/>
        <v>#ERROR!</v>
      </c>
      <c r="R53" s="101">
        <v>0.4277777777777772</v>
      </c>
      <c r="S53" s="101">
        <v>0.4347222222222216</v>
      </c>
      <c r="T53" s="185">
        <v>9.0</v>
      </c>
      <c r="U53" s="182">
        <v>0.4409722222222216</v>
      </c>
      <c r="V53" s="103">
        <f t="shared" si="22"/>
        <v>69</v>
      </c>
      <c r="W53" s="103">
        <f t="shared" si="28"/>
        <v>90</v>
      </c>
      <c r="X53" s="103">
        <f t="shared" si="24"/>
        <v>21</v>
      </c>
      <c r="Y53" s="104">
        <f t="shared" si="25"/>
        <v>0.3043478261</v>
      </c>
      <c r="Z53" s="142">
        <f t="shared" si="26"/>
        <v>30</v>
      </c>
      <c r="AD53" s="152"/>
    </row>
    <row r="54" ht="13.5" customHeight="1">
      <c r="A54" s="127"/>
      <c r="B54" s="141" t="s">
        <v>77</v>
      </c>
      <c r="C54" s="182">
        <v>0.39930555555555514</v>
      </c>
      <c r="D54" s="101">
        <v>0.4055555555555551</v>
      </c>
      <c r="E54" s="101" t="str">
        <f>ARRAY_CONSTRAIN(ARRAYFORMULA(G54+TIME(,OFFSET([2]Segment!$C$77,,$B54,),)), 1, 1)</f>
        <v>#ERROR!</v>
      </c>
      <c r="F54" s="185">
        <v>2.0</v>
      </c>
      <c r="G54" s="101" t="str">
        <f t="shared" si="27"/>
        <v>#ERROR!</v>
      </c>
      <c r="H54" s="101">
        <v>0.4138888888888884</v>
      </c>
      <c r="I54" s="101">
        <v>0.41805555555555507</v>
      </c>
      <c r="J54" s="101">
        <v>0.4236111111111106</v>
      </c>
      <c r="K54" s="185">
        <v>8.0</v>
      </c>
      <c r="L54" s="101">
        <v>0.42916666666666614</v>
      </c>
      <c r="M54" s="101">
        <v>0.43402777777777724</v>
      </c>
      <c r="N54" s="101">
        <v>0.43888888888888833</v>
      </c>
      <c r="O54" s="101" t="str">
        <f>ARRAY_CONSTRAIN(ARRAYFORMULA(Q54+TIME(,OFFSET([2]Segment!$C$83,,$B54,),)), 1, 1)</f>
        <v>#ERROR!</v>
      </c>
      <c r="P54" s="185">
        <v>2.0</v>
      </c>
      <c r="Q54" s="182" t="str">
        <f t="shared" si="21"/>
        <v>#ERROR!</v>
      </c>
      <c r="R54" s="101">
        <v>0.4486111111111105</v>
      </c>
      <c r="S54" s="101">
        <v>0.45555555555555494</v>
      </c>
      <c r="T54" s="185">
        <v>9.0</v>
      </c>
      <c r="U54" s="182">
        <v>0.4618055555555549</v>
      </c>
      <c r="V54" s="103">
        <f t="shared" si="22"/>
        <v>69</v>
      </c>
      <c r="W54" s="103">
        <f t="shared" si="28"/>
        <v>90</v>
      </c>
      <c r="X54" s="103">
        <f t="shared" si="24"/>
        <v>21</v>
      </c>
      <c r="Y54" s="104">
        <f t="shared" si="25"/>
        <v>0.3043478261</v>
      </c>
      <c r="Z54" s="142">
        <f t="shared" si="26"/>
        <v>30</v>
      </c>
    </row>
    <row r="55" ht="13.5" customHeight="1">
      <c r="A55" s="127"/>
      <c r="B55" s="141" t="s">
        <v>77</v>
      </c>
      <c r="C55" s="182">
        <v>0.4201388888888883</v>
      </c>
      <c r="D55" s="101">
        <v>0.42638888888888826</v>
      </c>
      <c r="E55" s="101" t="str">
        <f>ARRAY_CONSTRAIN(ARRAYFORMULA(G55+TIME(,OFFSET([2]Segment!$C$77,,$B55,),)), 1, 1)</f>
        <v>#ERROR!</v>
      </c>
      <c r="F55" s="185">
        <v>2.0</v>
      </c>
      <c r="G55" s="101" t="str">
        <f t="shared" si="27"/>
        <v>#ERROR!</v>
      </c>
      <c r="H55" s="101">
        <v>0.43472222222222157</v>
      </c>
      <c r="I55" s="101">
        <v>0.4388888888888882</v>
      </c>
      <c r="J55" s="101">
        <v>0.44444444444444375</v>
      </c>
      <c r="K55" s="185">
        <v>8.0</v>
      </c>
      <c r="L55" s="101">
        <v>0.4499999999999993</v>
      </c>
      <c r="M55" s="101">
        <v>0.4548611111111104</v>
      </c>
      <c r="N55" s="101">
        <v>0.4597222222222215</v>
      </c>
      <c r="O55" s="101" t="str">
        <f>ARRAY_CONSTRAIN(ARRAYFORMULA(Q55+TIME(,OFFSET([2]Segment!$C$83,,$B55,),)), 1, 1)</f>
        <v>#ERROR!</v>
      </c>
      <c r="P55" s="185">
        <v>2.0</v>
      </c>
      <c r="Q55" s="182" t="str">
        <f t="shared" si="21"/>
        <v>#ERROR!</v>
      </c>
      <c r="R55" s="101">
        <v>0.46944444444444366</v>
      </c>
      <c r="S55" s="101">
        <v>0.4763888888888881</v>
      </c>
      <c r="T55" s="185">
        <v>9.0</v>
      </c>
      <c r="U55" s="182">
        <v>0.48263888888888806</v>
      </c>
      <c r="V55" s="103">
        <f t="shared" si="22"/>
        <v>69</v>
      </c>
      <c r="W55" s="103">
        <f t="shared" si="28"/>
        <v>90</v>
      </c>
      <c r="X55" s="103">
        <f t="shared" si="24"/>
        <v>21</v>
      </c>
      <c r="Y55" s="104">
        <f t="shared" si="25"/>
        <v>0.3043478261</v>
      </c>
      <c r="Z55" s="142">
        <f t="shared" si="26"/>
        <v>30</v>
      </c>
    </row>
    <row r="56" ht="13.5" customHeight="1">
      <c r="A56" s="127"/>
      <c r="B56" s="141" t="s">
        <v>77</v>
      </c>
      <c r="C56" s="182">
        <v>0.4409722222222216</v>
      </c>
      <c r="D56" s="101">
        <v>0.4472222222222216</v>
      </c>
      <c r="E56" s="101" t="str">
        <f>ARRAY_CONSTRAIN(ARRAYFORMULA(G56+TIME(,OFFSET([2]Segment!$C$77,,$B56,),)), 1, 1)</f>
        <v>#ERROR!</v>
      </c>
      <c r="F56" s="185">
        <v>2.0</v>
      </c>
      <c r="G56" s="101" t="str">
        <f t="shared" si="27"/>
        <v>#ERROR!</v>
      </c>
      <c r="H56" s="101">
        <v>0.4555555555555549</v>
      </c>
      <c r="I56" s="101">
        <v>0.45972222222222153</v>
      </c>
      <c r="J56" s="101">
        <v>0.46527777777777707</v>
      </c>
      <c r="K56" s="185">
        <v>8.0</v>
      </c>
      <c r="L56" s="101">
        <v>0.4708333333333326</v>
      </c>
      <c r="M56" s="101">
        <v>0.4756944444444437</v>
      </c>
      <c r="N56" s="101">
        <v>0.4805555555555548</v>
      </c>
      <c r="O56" s="101" t="str">
        <f>ARRAY_CONSTRAIN(ARRAYFORMULA(Q56+TIME(,OFFSET([2]Segment!$C$83,,$B56,),)), 1, 1)</f>
        <v>#ERROR!</v>
      </c>
      <c r="P56" s="185">
        <v>2.0</v>
      </c>
      <c r="Q56" s="182" t="str">
        <f t="shared" si="21"/>
        <v>#ERROR!</v>
      </c>
      <c r="R56" s="101">
        <v>0.490277777777777</v>
      </c>
      <c r="S56" s="101">
        <v>0.4972222222222214</v>
      </c>
      <c r="T56" s="185">
        <v>9.0</v>
      </c>
      <c r="U56" s="182">
        <v>0.5034722222222214</v>
      </c>
      <c r="V56" s="103">
        <f t="shared" si="22"/>
        <v>69</v>
      </c>
      <c r="W56" s="103">
        <f t="shared" si="28"/>
        <v>90</v>
      </c>
      <c r="X56" s="103">
        <f t="shared" si="24"/>
        <v>21</v>
      </c>
      <c r="Y56" s="104">
        <f t="shared" si="25"/>
        <v>0.3043478261</v>
      </c>
      <c r="Z56" s="142">
        <f t="shared" si="26"/>
        <v>30</v>
      </c>
    </row>
    <row r="57" ht="13.5" customHeight="1">
      <c r="A57" s="127"/>
      <c r="B57" s="141" t="s">
        <v>77</v>
      </c>
      <c r="C57" s="182">
        <v>0.4618055555555549</v>
      </c>
      <c r="D57" s="101">
        <v>0.4680555555555549</v>
      </c>
      <c r="E57" s="101" t="str">
        <f>ARRAY_CONSTRAIN(ARRAYFORMULA(G57+TIME(,OFFSET([2]Segment!$C$77,,$B57,),)), 1, 1)</f>
        <v>#ERROR!</v>
      </c>
      <c r="F57" s="185">
        <v>2.0</v>
      </c>
      <c r="G57" s="101" t="str">
        <f t="shared" si="27"/>
        <v>#ERROR!</v>
      </c>
      <c r="H57" s="101">
        <v>0.4763888888888882</v>
      </c>
      <c r="I57" s="101">
        <v>0.48055555555555485</v>
      </c>
      <c r="J57" s="101">
        <v>0.4861111111111104</v>
      </c>
      <c r="K57" s="185">
        <v>8.0</v>
      </c>
      <c r="L57" s="101">
        <v>0.4916666666666659</v>
      </c>
      <c r="M57" s="101">
        <v>0.496527777777777</v>
      </c>
      <c r="N57" s="101">
        <v>0.5013888888888881</v>
      </c>
      <c r="O57" s="101" t="str">
        <f>ARRAY_CONSTRAIN(ARRAYFORMULA(Q57+TIME(,OFFSET([2]Segment!$C$83,,$B57,),)), 1, 1)</f>
        <v>#ERROR!</v>
      </c>
      <c r="P57" s="185">
        <v>2.0</v>
      </c>
      <c r="Q57" s="182" t="str">
        <f t="shared" si="21"/>
        <v>#ERROR!</v>
      </c>
      <c r="R57" s="101">
        <v>0.5111111111111103</v>
      </c>
      <c r="S57" s="101">
        <v>0.5180555555555547</v>
      </c>
      <c r="T57" s="185">
        <v>9.0</v>
      </c>
      <c r="U57" s="182">
        <v>0.5243055555555547</v>
      </c>
      <c r="V57" s="103">
        <f t="shared" si="22"/>
        <v>69</v>
      </c>
      <c r="W57" s="103">
        <f t="shared" si="28"/>
        <v>90</v>
      </c>
      <c r="X57" s="103">
        <f t="shared" si="24"/>
        <v>21</v>
      </c>
      <c r="Y57" s="104">
        <f t="shared" si="25"/>
        <v>0.3043478261</v>
      </c>
      <c r="Z57" s="142">
        <f t="shared" si="26"/>
        <v>30</v>
      </c>
    </row>
    <row r="58" ht="13.5" customHeight="1">
      <c r="A58" s="127"/>
      <c r="B58" s="141" t="s">
        <v>78</v>
      </c>
      <c r="C58" s="182">
        <v>0.48263888888888806</v>
      </c>
      <c r="D58" s="101">
        <v>0.4895833333333325</v>
      </c>
      <c r="E58" s="101" t="str">
        <f>ARRAY_CONSTRAIN(ARRAYFORMULA(G58+TIME(,OFFSET([2]Segment!$C$77,,$B58,),)), 1, 1)</f>
        <v>#ERROR!</v>
      </c>
      <c r="F58" s="185">
        <v>2.0</v>
      </c>
      <c r="G58" s="101" t="str">
        <f t="shared" si="27"/>
        <v>#ERROR!</v>
      </c>
      <c r="H58" s="101">
        <v>0.4979166666666658</v>
      </c>
      <c r="I58" s="101">
        <v>0.5020833333333324</v>
      </c>
      <c r="J58" s="101">
        <v>0.507638888888888</v>
      </c>
      <c r="K58" s="185">
        <v>7.0</v>
      </c>
      <c r="L58" s="101">
        <v>0.5124999999999991</v>
      </c>
      <c r="M58" s="101">
        <v>0.5173611111111102</v>
      </c>
      <c r="N58" s="101">
        <v>0.5222222222222213</v>
      </c>
      <c r="O58" s="101" t="str">
        <f>ARRAY_CONSTRAIN(ARRAYFORMULA(Q58+TIME(,OFFSET([2]Segment!$C$83,,$B58,),)), 1, 1)</f>
        <v>#ERROR!</v>
      </c>
      <c r="P58" s="185">
        <v>2.0</v>
      </c>
      <c r="Q58" s="182" t="str">
        <f t="shared" si="21"/>
        <v>#ERROR!</v>
      </c>
      <c r="R58" s="101">
        <v>0.5326388888888879</v>
      </c>
      <c r="S58" s="101">
        <v>0.5402777777777767</v>
      </c>
      <c r="T58" s="185">
        <v>7.0</v>
      </c>
      <c r="U58" s="182">
        <v>0.5451388888888878</v>
      </c>
      <c r="V58" s="103">
        <f t="shared" si="22"/>
        <v>72</v>
      </c>
      <c r="W58" s="103">
        <f t="shared" si="28"/>
        <v>90</v>
      </c>
      <c r="X58" s="103">
        <f t="shared" si="24"/>
        <v>18</v>
      </c>
      <c r="Y58" s="104">
        <f t="shared" si="25"/>
        <v>0.25</v>
      </c>
      <c r="Z58" s="142">
        <f t="shared" si="26"/>
        <v>30</v>
      </c>
    </row>
    <row r="59" ht="13.5" customHeight="1">
      <c r="A59" s="127"/>
      <c r="B59" s="141" t="s">
        <v>78</v>
      </c>
      <c r="C59" s="182">
        <v>0.5034722222222214</v>
      </c>
      <c r="D59" s="101">
        <v>0.5104166666666659</v>
      </c>
      <c r="E59" s="101" t="str">
        <f>ARRAY_CONSTRAIN(ARRAYFORMULA(G59+TIME(,OFFSET([2]Segment!$C$77,,$B59,),)), 1, 1)</f>
        <v>#ERROR!</v>
      </c>
      <c r="F59" s="185">
        <v>2.0</v>
      </c>
      <c r="G59" s="101" t="str">
        <f t="shared" si="27"/>
        <v>#ERROR!</v>
      </c>
      <c r="H59" s="101">
        <v>0.5187499999999992</v>
      </c>
      <c r="I59" s="101">
        <v>0.5229166666666658</v>
      </c>
      <c r="J59" s="101">
        <v>0.5284722222222213</v>
      </c>
      <c r="K59" s="185">
        <v>7.0</v>
      </c>
      <c r="L59" s="101">
        <v>0.5333333333333324</v>
      </c>
      <c r="M59" s="101">
        <v>0.5381944444444435</v>
      </c>
      <c r="N59" s="101">
        <v>0.5430555555555546</v>
      </c>
      <c r="O59" s="101" t="str">
        <f>ARRAY_CONSTRAIN(ARRAYFORMULA(Q59+TIME(,OFFSET([2]Segment!$C$83,,$B59,),)), 1, 1)</f>
        <v>#ERROR!</v>
      </c>
      <c r="P59" s="185">
        <v>2.0</v>
      </c>
      <c r="Q59" s="182" t="str">
        <f t="shared" si="21"/>
        <v>#ERROR!</v>
      </c>
      <c r="R59" s="101">
        <v>0.5534722222222213</v>
      </c>
      <c r="S59" s="101">
        <v>0.5611111111111101</v>
      </c>
      <c r="T59" s="185">
        <v>7.0</v>
      </c>
      <c r="U59" s="182">
        <v>0.5659722222222212</v>
      </c>
      <c r="V59" s="103">
        <f t="shared" si="22"/>
        <v>72</v>
      </c>
      <c r="W59" s="103">
        <f t="shared" si="28"/>
        <v>90</v>
      </c>
      <c r="X59" s="103">
        <f t="shared" si="24"/>
        <v>18</v>
      </c>
      <c r="Y59" s="104">
        <f t="shared" si="25"/>
        <v>0.25</v>
      </c>
      <c r="Z59" s="142">
        <f t="shared" si="26"/>
        <v>30</v>
      </c>
    </row>
    <row r="60" ht="13.5" customHeight="1">
      <c r="A60" s="127"/>
      <c r="B60" s="141" t="s">
        <v>78</v>
      </c>
      <c r="C60" s="182">
        <v>0.5243055555555547</v>
      </c>
      <c r="D60" s="101">
        <v>0.5312499999999991</v>
      </c>
      <c r="E60" s="101" t="str">
        <f>ARRAY_CONSTRAIN(ARRAYFORMULA(G60+TIME(,OFFSET([2]Segment!$C$77,,$B60,),)), 1, 1)</f>
        <v>#ERROR!</v>
      </c>
      <c r="F60" s="185">
        <v>2.0</v>
      </c>
      <c r="G60" s="101" t="str">
        <f t="shared" si="27"/>
        <v>#ERROR!</v>
      </c>
      <c r="H60" s="101">
        <v>0.5395833333333324</v>
      </c>
      <c r="I60" s="101">
        <v>0.5437499999999991</v>
      </c>
      <c r="J60" s="101">
        <v>0.5493055555555546</v>
      </c>
      <c r="K60" s="185">
        <v>7.0</v>
      </c>
      <c r="L60" s="101">
        <v>0.5541666666666657</v>
      </c>
      <c r="M60" s="101">
        <v>0.5590277777777768</v>
      </c>
      <c r="N60" s="101">
        <v>0.5638888888888879</v>
      </c>
      <c r="O60" s="101" t="str">
        <f>ARRAY_CONSTRAIN(ARRAYFORMULA(Q60+TIME(,OFFSET([2]Segment!$C$83,,$B60,),)), 1, 1)</f>
        <v>#ERROR!</v>
      </c>
      <c r="P60" s="185">
        <v>2.0</v>
      </c>
      <c r="Q60" s="182" t="str">
        <f t="shared" si="21"/>
        <v>#ERROR!</v>
      </c>
      <c r="R60" s="101">
        <v>0.5743055555555545</v>
      </c>
      <c r="S60" s="101">
        <v>0.5819444444444434</v>
      </c>
      <c r="T60" s="185">
        <v>7.0</v>
      </c>
      <c r="U60" s="182">
        <v>0.5868055555555545</v>
      </c>
      <c r="V60" s="103">
        <f t="shared" si="22"/>
        <v>72</v>
      </c>
      <c r="W60" s="103">
        <f t="shared" si="28"/>
        <v>90</v>
      </c>
      <c r="X60" s="103">
        <f t="shared" si="24"/>
        <v>18</v>
      </c>
      <c r="Y60" s="104">
        <f t="shared" si="25"/>
        <v>0.25</v>
      </c>
      <c r="Z60" s="142">
        <f t="shared" si="26"/>
        <v>30</v>
      </c>
    </row>
    <row r="61" ht="13.5" customHeight="1">
      <c r="A61" s="127"/>
      <c r="B61" s="141" t="s">
        <v>78</v>
      </c>
      <c r="C61" s="182">
        <v>0.5451388888888878</v>
      </c>
      <c r="D61" s="101">
        <v>0.5520833333333323</v>
      </c>
      <c r="E61" s="101" t="str">
        <f>ARRAY_CONSTRAIN(ARRAYFORMULA(G61+TIME(,OFFSET([2]Segment!$C$77,,$B61,),)), 1, 1)</f>
        <v>#ERROR!</v>
      </c>
      <c r="F61" s="185">
        <v>2.0</v>
      </c>
      <c r="G61" s="101" t="str">
        <f t="shared" si="27"/>
        <v>#ERROR!</v>
      </c>
      <c r="H61" s="101">
        <v>0.5604166666666656</v>
      </c>
      <c r="I61" s="101">
        <v>0.5645833333333322</v>
      </c>
      <c r="J61" s="101">
        <v>0.5701388888888878</v>
      </c>
      <c r="K61" s="185">
        <v>7.0</v>
      </c>
      <c r="L61" s="101">
        <v>0.5749999999999988</v>
      </c>
      <c r="M61" s="101">
        <v>0.5798611111111099</v>
      </c>
      <c r="N61" s="101">
        <v>0.584722222222221</v>
      </c>
      <c r="O61" s="101" t="str">
        <f>ARRAY_CONSTRAIN(ARRAYFORMULA(Q61+TIME(,OFFSET([2]Segment!$C$83,,$B61,),)), 1, 1)</f>
        <v>#ERROR!</v>
      </c>
      <c r="P61" s="185">
        <v>2.0</v>
      </c>
      <c r="Q61" s="182" t="str">
        <f t="shared" si="21"/>
        <v>#ERROR!</v>
      </c>
      <c r="R61" s="101">
        <v>0.5951388888888877</v>
      </c>
      <c r="S61" s="101">
        <v>0.6027777777777765</v>
      </c>
      <c r="T61" s="185">
        <v>7.0</v>
      </c>
      <c r="U61" s="182">
        <v>0.6076388888888876</v>
      </c>
      <c r="V61" s="103">
        <f t="shared" si="22"/>
        <v>72</v>
      </c>
      <c r="W61" s="103">
        <f t="shared" si="28"/>
        <v>90</v>
      </c>
      <c r="X61" s="103">
        <f t="shared" si="24"/>
        <v>18</v>
      </c>
      <c r="Y61" s="104">
        <f t="shared" si="25"/>
        <v>0.25</v>
      </c>
      <c r="Z61" s="142">
        <f t="shared" si="26"/>
        <v>30</v>
      </c>
    </row>
    <row r="62" ht="13.5" customHeight="1">
      <c r="A62" s="127"/>
      <c r="B62" s="141" t="s">
        <v>78</v>
      </c>
      <c r="C62" s="182">
        <v>0.5659722222222212</v>
      </c>
      <c r="D62" s="101">
        <v>0.5729166666666656</v>
      </c>
      <c r="E62" s="101" t="str">
        <f>ARRAY_CONSTRAIN(ARRAYFORMULA(G62+TIME(,OFFSET([2]Segment!$C$77,,$B62,),)), 1, 1)</f>
        <v>#ERROR!</v>
      </c>
      <c r="F62" s="185">
        <v>2.0</v>
      </c>
      <c r="G62" s="101" t="str">
        <f t="shared" si="27"/>
        <v>#ERROR!</v>
      </c>
      <c r="H62" s="101">
        <v>0.5812499999999989</v>
      </c>
      <c r="I62" s="101">
        <v>0.5854166666666656</v>
      </c>
      <c r="J62" s="101">
        <v>0.5909722222222211</v>
      </c>
      <c r="K62" s="185">
        <v>7.0</v>
      </c>
      <c r="L62" s="101">
        <v>0.5958333333333322</v>
      </c>
      <c r="M62" s="101">
        <v>0.6006944444444433</v>
      </c>
      <c r="N62" s="101">
        <v>0.6055555555555544</v>
      </c>
      <c r="O62" s="101" t="str">
        <f>ARRAY_CONSTRAIN(ARRAYFORMULA(Q62+TIME(,OFFSET([2]Segment!$C$83,,$B62,),)), 1, 1)</f>
        <v>#ERROR!</v>
      </c>
      <c r="P62" s="185">
        <v>2.0</v>
      </c>
      <c r="Q62" s="182" t="str">
        <f t="shared" si="21"/>
        <v>#ERROR!</v>
      </c>
      <c r="R62" s="101">
        <v>0.615972222222221</v>
      </c>
      <c r="S62" s="101">
        <v>0.6236111111111099</v>
      </c>
      <c r="T62" s="185">
        <v>7.0</v>
      </c>
      <c r="U62" s="182">
        <v>0.628472222222221</v>
      </c>
      <c r="V62" s="103">
        <f t="shared" si="22"/>
        <v>72</v>
      </c>
      <c r="W62" s="103">
        <f t="shared" si="28"/>
        <v>90</v>
      </c>
      <c r="X62" s="103">
        <f t="shared" si="24"/>
        <v>18</v>
      </c>
      <c r="Y62" s="104">
        <f t="shared" si="25"/>
        <v>0.25</v>
      </c>
      <c r="Z62" s="142">
        <f t="shared" si="26"/>
        <v>30</v>
      </c>
    </row>
    <row r="63" ht="13.5" customHeight="1">
      <c r="A63" s="127"/>
      <c r="B63" s="141" t="s">
        <v>78</v>
      </c>
      <c r="C63" s="182">
        <v>0.5868055555555545</v>
      </c>
      <c r="D63" s="101">
        <v>0.5937499999999989</v>
      </c>
      <c r="E63" s="101" t="str">
        <f>ARRAY_CONSTRAIN(ARRAYFORMULA(G63+TIME(,OFFSET([2]Segment!$C$77,,$B63,),)), 1, 1)</f>
        <v>#ERROR!</v>
      </c>
      <c r="F63" s="185">
        <v>2.0</v>
      </c>
      <c r="G63" s="101" t="str">
        <f t="shared" si="27"/>
        <v>#ERROR!</v>
      </c>
      <c r="H63" s="101">
        <v>0.6020833333333322</v>
      </c>
      <c r="I63" s="101">
        <v>0.6062499999999988</v>
      </c>
      <c r="J63" s="101">
        <v>0.6118055555555544</v>
      </c>
      <c r="K63" s="185">
        <v>7.0</v>
      </c>
      <c r="L63" s="101">
        <v>0.6166666666666655</v>
      </c>
      <c r="M63" s="101">
        <v>0.6215277777777766</v>
      </c>
      <c r="N63" s="101">
        <v>0.6263888888888877</v>
      </c>
      <c r="O63" s="101" t="str">
        <f>ARRAY_CONSTRAIN(ARRAYFORMULA(Q63+TIME(,OFFSET([2]Segment!$C$83,,$B63,),)), 1, 1)</f>
        <v>#ERROR!</v>
      </c>
      <c r="P63" s="185">
        <v>2.0</v>
      </c>
      <c r="Q63" s="182" t="str">
        <f t="shared" si="21"/>
        <v>#ERROR!</v>
      </c>
      <c r="R63" s="101">
        <v>0.6368055555555543</v>
      </c>
      <c r="S63" s="101">
        <v>0.6444444444444432</v>
      </c>
      <c r="T63" s="185">
        <v>7.0</v>
      </c>
      <c r="U63" s="182">
        <v>0.6493055555555542</v>
      </c>
      <c r="V63" s="103">
        <f t="shared" si="22"/>
        <v>72</v>
      </c>
      <c r="W63" s="103">
        <f t="shared" si="28"/>
        <v>90</v>
      </c>
      <c r="X63" s="103">
        <f t="shared" si="24"/>
        <v>18</v>
      </c>
      <c r="Y63" s="104">
        <f t="shared" si="25"/>
        <v>0.25</v>
      </c>
      <c r="Z63" s="142">
        <f t="shared" si="26"/>
        <v>30</v>
      </c>
    </row>
    <row r="64" ht="13.5" customHeight="1">
      <c r="A64" s="127"/>
      <c r="B64" s="141" t="s">
        <v>78</v>
      </c>
      <c r="C64" s="182">
        <v>0.6076388888888876</v>
      </c>
      <c r="D64" s="101">
        <v>0.614583333333332</v>
      </c>
      <c r="E64" s="101" t="str">
        <f>ARRAY_CONSTRAIN(ARRAYFORMULA(G64+TIME(,OFFSET([2]Segment!$C$77,,$B64,),)), 1, 1)</f>
        <v>#ERROR!</v>
      </c>
      <c r="F64" s="185">
        <v>2.0</v>
      </c>
      <c r="G64" s="101" t="str">
        <f t="shared" si="27"/>
        <v>#ERROR!</v>
      </c>
      <c r="H64" s="101">
        <v>0.6229166666666653</v>
      </c>
      <c r="I64" s="101">
        <v>0.627083333333332</v>
      </c>
      <c r="J64" s="101">
        <v>0.6326388888888875</v>
      </c>
      <c r="K64" s="185">
        <v>7.0</v>
      </c>
      <c r="L64" s="101">
        <v>0.6374999999999986</v>
      </c>
      <c r="M64" s="101">
        <v>0.6423611111111097</v>
      </c>
      <c r="N64" s="101">
        <v>0.6472222222222208</v>
      </c>
      <c r="O64" s="101" t="str">
        <f>ARRAY_CONSTRAIN(ARRAYFORMULA(Q64+TIME(,OFFSET([2]Segment!$C$83,,$B64,),)), 1, 1)</f>
        <v>#ERROR!</v>
      </c>
      <c r="P64" s="185">
        <v>2.0</v>
      </c>
      <c r="Q64" s="182" t="str">
        <f t="shared" si="21"/>
        <v>#ERROR!</v>
      </c>
      <c r="R64" s="101">
        <v>0.6576388888888874</v>
      </c>
      <c r="S64" s="101">
        <v>0.6652777777777763</v>
      </c>
      <c r="T64" s="185">
        <v>7.0</v>
      </c>
      <c r="U64" s="182">
        <v>0.6701388888888874</v>
      </c>
      <c r="V64" s="103">
        <f t="shared" si="22"/>
        <v>72</v>
      </c>
      <c r="W64" s="103">
        <f t="shared" si="28"/>
        <v>90</v>
      </c>
      <c r="X64" s="103">
        <f t="shared" si="24"/>
        <v>18</v>
      </c>
      <c r="Y64" s="104">
        <f t="shared" si="25"/>
        <v>0.25</v>
      </c>
      <c r="Z64" s="142">
        <f t="shared" si="26"/>
        <v>30</v>
      </c>
    </row>
    <row r="65" ht="13.5" customHeight="1">
      <c r="A65" s="127"/>
      <c r="B65" s="141" t="s">
        <v>78</v>
      </c>
      <c r="C65" s="182">
        <v>0.628472222222221</v>
      </c>
      <c r="D65" s="101">
        <v>0.6354166666666654</v>
      </c>
      <c r="E65" s="101" t="str">
        <f>ARRAY_CONSTRAIN(ARRAYFORMULA(G65+TIME(,OFFSET([2]Segment!$C$77,,$B65,),)), 1, 1)</f>
        <v>#ERROR!</v>
      </c>
      <c r="F65" s="185">
        <v>2.0</v>
      </c>
      <c r="G65" s="101" t="str">
        <f t="shared" si="27"/>
        <v>#ERROR!</v>
      </c>
      <c r="H65" s="101">
        <v>0.6437499999999987</v>
      </c>
      <c r="I65" s="101">
        <v>0.6479166666666654</v>
      </c>
      <c r="J65" s="101">
        <v>0.6534722222222209</v>
      </c>
      <c r="K65" s="185">
        <v>7.0</v>
      </c>
      <c r="L65" s="101">
        <v>0.658333333333332</v>
      </c>
      <c r="M65" s="101">
        <v>0.6631944444444431</v>
      </c>
      <c r="N65" s="101">
        <v>0.6680555555555542</v>
      </c>
      <c r="O65" s="101" t="str">
        <f>ARRAY_CONSTRAIN(ARRAYFORMULA(Q65+TIME(,OFFSET([2]Segment!$C$83,,$B65,),)), 1, 1)</f>
        <v>#ERROR!</v>
      </c>
      <c r="P65" s="185">
        <v>2.0</v>
      </c>
      <c r="Q65" s="182" t="str">
        <f t="shared" si="21"/>
        <v>#ERROR!</v>
      </c>
      <c r="R65" s="101">
        <v>0.6784722222222208</v>
      </c>
      <c r="S65" s="101">
        <v>0.6861111111111097</v>
      </c>
      <c r="T65" s="185">
        <v>7.0</v>
      </c>
      <c r="U65" s="182">
        <v>0.6909722222222208</v>
      </c>
      <c r="V65" s="103">
        <f t="shared" si="22"/>
        <v>72</v>
      </c>
      <c r="W65" s="103">
        <f t="shared" si="28"/>
        <v>90</v>
      </c>
      <c r="X65" s="103">
        <f t="shared" si="24"/>
        <v>18</v>
      </c>
      <c r="Y65" s="104">
        <f t="shared" si="25"/>
        <v>0.25</v>
      </c>
      <c r="Z65" s="142">
        <f t="shared" si="26"/>
        <v>30</v>
      </c>
    </row>
    <row r="66" ht="13.5" customHeight="1">
      <c r="A66" s="127"/>
      <c r="B66" s="141" t="s">
        <v>78</v>
      </c>
      <c r="C66" s="182">
        <v>0.6493055555555542</v>
      </c>
      <c r="D66" s="101">
        <v>0.6562499999999987</v>
      </c>
      <c r="E66" s="101" t="str">
        <f>ARRAY_CONSTRAIN(ARRAYFORMULA(G66+TIME(,OFFSET([2]Segment!$C$77,,$B66,),)), 1, 1)</f>
        <v>#ERROR!</v>
      </c>
      <c r="F66" s="185">
        <v>2.0</v>
      </c>
      <c r="G66" s="101" t="str">
        <f t="shared" si="27"/>
        <v>#ERROR!</v>
      </c>
      <c r="H66" s="101">
        <v>0.664583333333332</v>
      </c>
      <c r="I66" s="101">
        <v>0.6687499999999986</v>
      </c>
      <c r="J66" s="101">
        <v>0.6743055555555542</v>
      </c>
      <c r="K66" s="185">
        <v>7.0</v>
      </c>
      <c r="L66" s="101">
        <v>0.6791666666666653</v>
      </c>
      <c r="M66" s="101">
        <v>0.6840277777777763</v>
      </c>
      <c r="N66" s="101">
        <v>0.6888888888888874</v>
      </c>
      <c r="O66" s="101" t="str">
        <f>ARRAY_CONSTRAIN(ARRAYFORMULA(Q66+TIME(,OFFSET([2]Segment!$C$83,,$B66,),)), 1, 1)</f>
        <v>#ERROR!</v>
      </c>
      <c r="P66" s="185">
        <v>2.0</v>
      </c>
      <c r="Q66" s="182" t="str">
        <f t="shared" si="21"/>
        <v>#ERROR!</v>
      </c>
      <c r="R66" s="101">
        <v>0.6993055555555541</v>
      </c>
      <c r="S66" s="101">
        <v>0.7069444444444429</v>
      </c>
      <c r="T66" s="185">
        <v>7.0</v>
      </c>
      <c r="U66" s="182">
        <v>0.711805555555554</v>
      </c>
      <c r="V66" s="103">
        <f t="shared" si="22"/>
        <v>72</v>
      </c>
      <c r="W66" s="103">
        <f t="shared" si="28"/>
        <v>90</v>
      </c>
      <c r="X66" s="103">
        <f t="shared" si="24"/>
        <v>18</v>
      </c>
      <c r="Y66" s="104">
        <f t="shared" si="25"/>
        <v>0.25</v>
      </c>
      <c r="Z66" s="142">
        <f t="shared" si="26"/>
        <v>30</v>
      </c>
    </row>
    <row r="67" ht="13.5" customHeight="1">
      <c r="A67" s="127"/>
      <c r="B67" s="141" t="s">
        <v>78</v>
      </c>
      <c r="C67" s="182">
        <v>0.6701388888888874</v>
      </c>
      <c r="D67" s="101">
        <v>0.6770833333333318</v>
      </c>
      <c r="E67" s="101" t="str">
        <f>ARRAY_CONSTRAIN(ARRAYFORMULA(G67+TIME(,OFFSET([2]Segment!$C$77,,$B67,),)), 1, 1)</f>
        <v>#ERROR!</v>
      </c>
      <c r="F67" s="185">
        <v>2.0</v>
      </c>
      <c r="G67" s="101" t="str">
        <f t="shared" si="27"/>
        <v>#ERROR!</v>
      </c>
      <c r="H67" s="101">
        <v>0.6854166666666651</v>
      </c>
      <c r="I67" s="101">
        <v>0.6895833333333318</v>
      </c>
      <c r="J67" s="101">
        <v>0.6951388888888873</v>
      </c>
      <c r="K67" s="185">
        <v>7.0</v>
      </c>
      <c r="L67" s="101">
        <v>0.6999999999999984</v>
      </c>
      <c r="M67" s="101">
        <v>0.7048611111111095</v>
      </c>
      <c r="N67" s="101">
        <v>0.7097222222222206</v>
      </c>
      <c r="O67" s="101" t="str">
        <f>ARRAY_CONSTRAIN(ARRAYFORMULA(Q67+TIME(,OFFSET([2]Segment!$C$83,,$B67,),)), 1, 1)</f>
        <v>#ERROR!</v>
      </c>
      <c r="P67" s="185">
        <v>2.0</v>
      </c>
      <c r="Q67" s="182" t="str">
        <f t="shared" si="21"/>
        <v>#ERROR!</v>
      </c>
      <c r="R67" s="101">
        <v>0.7201388888888872</v>
      </c>
      <c r="S67" s="101">
        <v>0.7277777777777761</v>
      </c>
      <c r="T67" s="185">
        <v>7.0</v>
      </c>
      <c r="U67" s="182">
        <v>0.7326388888888872</v>
      </c>
      <c r="V67" s="103">
        <f t="shared" si="22"/>
        <v>72</v>
      </c>
      <c r="W67" s="103">
        <f t="shared" si="28"/>
        <v>90</v>
      </c>
      <c r="X67" s="103">
        <f t="shared" si="24"/>
        <v>18</v>
      </c>
      <c r="Y67" s="104">
        <f t="shared" si="25"/>
        <v>0.25</v>
      </c>
      <c r="Z67" s="142">
        <f t="shared" si="26"/>
        <v>30</v>
      </c>
    </row>
    <row r="68" ht="13.5" customHeight="1">
      <c r="A68" s="127"/>
      <c r="B68" s="141" t="s">
        <v>78</v>
      </c>
      <c r="C68" s="182">
        <v>0.6909722222222208</v>
      </c>
      <c r="D68" s="101">
        <v>0.6979166666666652</v>
      </c>
      <c r="E68" s="101" t="str">
        <f>ARRAY_CONSTRAIN(ARRAYFORMULA(G68+TIME(,OFFSET([2]Segment!$C$77,,$B68,),)), 1, 1)</f>
        <v>#ERROR!</v>
      </c>
      <c r="F68" s="185">
        <v>2.0</v>
      </c>
      <c r="G68" s="101" t="str">
        <f t="shared" si="27"/>
        <v>#ERROR!</v>
      </c>
      <c r="H68" s="101">
        <v>0.7062499999999985</v>
      </c>
      <c r="I68" s="101">
        <v>0.7104166666666651</v>
      </c>
      <c r="J68" s="101">
        <v>0.7159722222222207</v>
      </c>
      <c r="K68" s="185">
        <v>7.0</v>
      </c>
      <c r="L68" s="101">
        <v>0.7208333333333318</v>
      </c>
      <c r="M68" s="101">
        <v>0.7256944444444429</v>
      </c>
      <c r="N68" s="101">
        <v>0.730555555555554</v>
      </c>
      <c r="O68" s="101" t="str">
        <f>ARRAY_CONSTRAIN(ARRAYFORMULA(Q68+TIME(,OFFSET([2]Segment!$C$83,,$B68,),)), 1, 1)</f>
        <v>#ERROR!</v>
      </c>
      <c r="P68" s="185">
        <v>2.0</v>
      </c>
      <c r="Q68" s="182" t="str">
        <f t="shared" si="21"/>
        <v>#ERROR!</v>
      </c>
      <c r="R68" s="101">
        <v>0.7409722222222206</v>
      </c>
      <c r="S68" s="101">
        <v>0.7486111111111095</v>
      </c>
      <c r="T68" s="185">
        <v>7.0</v>
      </c>
      <c r="U68" s="182">
        <v>0.7534722222222205</v>
      </c>
      <c r="V68" s="103">
        <f t="shared" si="22"/>
        <v>72</v>
      </c>
      <c r="W68" s="103">
        <f t="shared" si="28"/>
        <v>90</v>
      </c>
      <c r="X68" s="103">
        <f t="shared" si="24"/>
        <v>18</v>
      </c>
      <c r="Y68" s="104">
        <f t="shared" si="25"/>
        <v>0.25</v>
      </c>
      <c r="Z68" s="142">
        <f t="shared" si="26"/>
        <v>30</v>
      </c>
    </row>
    <row r="69" ht="13.5" customHeight="1">
      <c r="A69" s="127"/>
      <c r="B69" s="141" t="s">
        <v>78</v>
      </c>
      <c r="C69" s="182">
        <v>0.711805555555554</v>
      </c>
      <c r="D69" s="101">
        <v>0.7187499999999984</v>
      </c>
      <c r="E69" s="101" t="str">
        <f>ARRAY_CONSTRAIN(ARRAYFORMULA(G69+TIME(,OFFSET([2]Segment!$C$77,,$B69,),)), 1, 1)</f>
        <v>#ERROR!</v>
      </c>
      <c r="F69" s="185">
        <v>2.0</v>
      </c>
      <c r="G69" s="101" t="str">
        <f t="shared" si="27"/>
        <v>#ERROR!</v>
      </c>
      <c r="H69" s="101">
        <v>0.7270833333333317</v>
      </c>
      <c r="I69" s="101">
        <v>0.7312499999999984</v>
      </c>
      <c r="J69" s="101">
        <v>0.7368055555555539</v>
      </c>
      <c r="K69" s="185">
        <v>7.0</v>
      </c>
      <c r="L69" s="101">
        <v>0.741666666666665</v>
      </c>
      <c r="M69" s="101">
        <v>0.7465277777777761</v>
      </c>
      <c r="N69" s="101">
        <v>0.7513888888888872</v>
      </c>
      <c r="O69" s="101" t="str">
        <f>ARRAY_CONSTRAIN(ARRAYFORMULA(Q69+TIME(,OFFSET([2]Segment!$C$83,,$B69,),)), 1, 1)</f>
        <v>#ERROR!</v>
      </c>
      <c r="P69" s="185">
        <v>2.0</v>
      </c>
      <c r="Q69" s="182" t="str">
        <f t="shared" si="21"/>
        <v>#ERROR!</v>
      </c>
      <c r="R69" s="101">
        <v>0.7618055555555538</v>
      </c>
      <c r="S69" s="101">
        <v>0.7694444444444427</v>
      </c>
      <c r="T69" s="185">
        <v>7.0</v>
      </c>
      <c r="U69" s="182">
        <v>0.7743055555555538</v>
      </c>
      <c r="V69" s="103">
        <f t="shared" si="22"/>
        <v>72</v>
      </c>
      <c r="W69" s="103">
        <f t="shared" si="28"/>
        <v>90</v>
      </c>
      <c r="X69" s="103">
        <f t="shared" si="24"/>
        <v>18</v>
      </c>
      <c r="Y69" s="104">
        <f t="shared" si="25"/>
        <v>0.25</v>
      </c>
      <c r="Z69" s="142">
        <f t="shared" si="26"/>
        <v>30</v>
      </c>
    </row>
    <row r="70" ht="13.5" customHeight="1">
      <c r="A70" s="127"/>
      <c r="B70" s="141" t="s">
        <v>78</v>
      </c>
      <c r="C70" s="182">
        <v>0.7326388888888872</v>
      </c>
      <c r="D70" s="101">
        <v>0.7395833333333316</v>
      </c>
      <c r="E70" s="101" t="str">
        <f>ARRAY_CONSTRAIN(ARRAYFORMULA(G70+TIME(,OFFSET([2]Segment!$C$77,,$B70,),)), 1, 1)</f>
        <v>#ERROR!</v>
      </c>
      <c r="F70" s="185">
        <v>2.0</v>
      </c>
      <c r="G70" s="101" t="str">
        <f t="shared" si="27"/>
        <v>#ERROR!</v>
      </c>
      <c r="H70" s="101">
        <v>0.7479166666666649</v>
      </c>
      <c r="I70" s="101">
        <v>0.7520833333333315</v>
      </c>
      <c r="J70" s="101">
        <v>0.7576388888888871</v>
      </c>
      <c r="K70" s="185">
        <v>7.0</v>
      </c>
      <c r="L70" s="101">
        <v>0.7624999999999982</v>
      </c>
      <c r="M70" s="101">
        <v>0.7673611111111093</v>
      </c>
      <c r="N70" s="101">
        <v>0.7722222222222204</v>
      </c>
      <c r="O70" s="101" t="str">
        <f>ARRAY_CONSTRAIN(ARRAYFORMULA(Q70+TIME(,OFFSET([2]Segment!$C$83,,$B70,),)), 1, 1)</f>
        <v>#ERROR!</v>
      </c>
      <c r="P70" s="185">
        <v>2.0</v>
      </c>
      <c r="Q70" s="182" t="str">
        <f t="shared" si="21"/>
        <v>#ERROR!</v>
      </c>
      <c r="R70" s="101">
        <v>0.782638888888887</v>
      </c>
      <c r="S70" s="101">
        <v>0.7902777777777759</v>
      </c>
      <c r="T70" s="185">
        <v>7.0</v>
      </c>
      <c r="U70" s="182">
        <v>0.795138888888887</v>
      </c>
      <c r="V70" s="103">
        <f t="shared" si="22"/>
        <v>72</v>
      </c>
      <c r="W70" s="103">
        <f t="shared" si="28"/>
        <v>90</v>
      </c>
      <c r="X70" s="103">
        <f t="shared" si="24"/>
        <v>18</v>
      </c>
      <c r="Y70" s="104">
        <f t="shared" si="25"/>
        <v>0.25</v>
      </c>
      <c r="Z70" s="142">
        <f t="shared" si="26"/>
        <v>30</v>
      </c>
    </row>
    <row r="71" ht="13.5" customHeight="1">
      <c r="A71" s="127"/>
      <c r="B71" s="141" t="s">
        <v>78</v>
      </c>
      <c r="C71" s="182">
        <v>0.7534722222222205</v>
      </c>
      <c r="D71" s="101">
        <v>0.760416666666665</v>
      </c>
      <c r="E71" s="101" t="str">
        <f>ARRAY_CONSTRAIN(ARRAYFORMULA(G71+TIME(,OFFSET([2]Segment!$C$77,,$B71,),)), 1, 1)</f>
        <v>#ERROR!</v>
      </c>
      <c r="F71" s="185">
        <v>2.0</v>
      </c>
      <c r="G71" s="101" t="str">
        <f t="shared" si="27"/>
        <v>#ERROR!</v>
      </c>
      <c r="H71" s="101">
        <v>0.7687499999999983</v>
      </c>
      <c r="I71" s="101">
        <v>0.7729166666666649</v>
      </c>
      <c r="J71" s="101">
        <v>0.7784722222222205</v>
      </c>
      <c r="K71" s="185">
        <v>7.0</v>
      </c>
      <c r="L71" s="101">
        <v>0.7833333333333315</v>
      </c>
      <c r="M71" s="101">
        <v>0.7881944444444426</v>
      </c>
      <c r="N71" s="101">
        <v>0.7930555555555537</v>
      </c>
      <c r="O71" s="101" t="str">
        <f>ARRAY_CONSTRAIN(ARRAYFORMULA(Q71+TIME(,OFFSET([2]Segment!$C$83,,$B71,),)), 1, 1)</f>
        <v>#ERROR!</v>
      </c>
      <c r="P71" s="185">
        <v>2.0</v>
      </c>
      <c r="Q71" s="182" t="str">
        <f t="shared" si="21"/>
        <v>#ERROR!</v>
      </c>
      <c r="R71" s="101">
        <v>0.8034722222222204</v>
      </c>
      <c r="S71" s="101">
        <v>0.8111111111111092</v>
      </c>
      <c r="T71" s="185"/>
      <c r="U71" s="107" t="s">
        <v>80</v>
      </c>
      <c r="V71" s="103">
        <f t="shared" si="22"/>
        <v>72</v>
      </c>
      <c r="W71" s="103">
        <f>(S71-C71)*1440</f>
        <v>83</v>
      </c>
      <c r="X71" s="103">
        <f t="shared" si="24"/>
        <v>11</v>
      </c>
      <c r="Y71" s="104">
        <f t="shared" si="25"/>
        <v>0.1527777778</v>
      </c>
      <c r="Z71" s="142">
        <f>(S71-S70)*1440</f>
        <v>30</v>
      </c>
    </row>
    <row r="72" ht="13.5" customHeight="1">
      <c r="A72" s="127"/>
      <c r="B72" s="141" t="s">
        <v>79</v>
      </c>
      <c r="C72" s="182">
        <v>0.7743055555555538</v>
      </c>
      <c r="D72" s="101">
        <v>0.7819444444444427</v>
      </c>
      <c r="E72" s="101" t="str">
        <f>ARRAY_CONSTRAIN(ARRAYFORMULA(G72+TIME(,OFFSET([2]Segment!$C$77,,$B72,),)), 1, 1)</f>
        <v>#ERROR!</v>
      </c>
      <c r="F72" s="185">
        <v>2.0</v>
      </c>
      <c r="G72" s="101" t="str">
        <f t="shared" si="27"/>
        <v>#ERROR!</v>
      </c>
      <c r="H72" s="101">
        <v>0.790277777777776</v>
      </c>
      <c r="I72" s="101">
        <v>0.7944444444444426</v>
      </c>
      <c r="J72" s="101">
        <v>0.7999999999999982</v>
      </c>
      <c r="K72" s="185">
        <v>6.0</v>
      </c>
      <c r="L72" s="101">
        <v>0.8041666666666648</v>
      </c>
      <c r="M72" s="101">
        <v>0.8083333333333315</v>
      </c>
      <c r="N72" s="101">
        <v>0.8124999999999981</v>
      </c>
      <c r="O72" s="101" t="str">
        <f>ARRAY_CONSTRAIN(ARRAYFORMULA(Q72+TIME(,OFFSET([2]Segment!$C$83,,$B72,),)), 1, 1)</f>
        <v>#ERROR!</v>
      </c>
      <c r="P72" s="185">
        <v>2.0</v>
      </c>
      <c r="Q72" s="182" t="str">
        <f t="shared" si="21"/>
        <v>#ERROR!</v>
      </c>
      <c r="R72" s="101">
        <v>0.8215277777777759</v>
      </c>
      <c r="S72" s="101">
        <v>0.8291666666666647</v>
      </c>
      <c r="T72" s="185">
        <v>11.0</v>
      </c>
      <c r="U72" s="182">
        <v>0.8368055555555536</v>
      </c>
      <c r="V72" s="103">
        <f t="shared" si="22"/>
        <v>69</v>
      </c>
      <c r="W72" s="103">
        <f t="shared" ref="W72:W76" si="29">(U72-C72)*1440</f>
        <v>90</v>
      </c>
      <c r="X72" s="103">
        <f t="shared" si="24"/>
        <v>21</v>
      </c>
      <c r="Y72" s="104">
        <f t="shared" si="25"/>
        <v>0.3043478261</v>
      </c>
      <c r="Z72" s="142">
        <f>(U72-U70)*1440</f>
        <v>60</v>
      </c>
    </row>
    <row r="73" ht="13.5" customHeight="1">
      <c r="A73" s="127"/>
      <c r="B73" s="141" t="s">
        <v>79</v>
      </c>
      <c r="C73" s="182">
        <v>0.795138888888887</v>
      </c>
      <c r="D73" s="101">
        <v>0.8027777777777758</v>
      </c>
      <c r="E73" s="101" t="str">
        <f>ARRAY_CONSTRAIN(ARRAYFORMULA(G73+TIME(,OFFSET([2]Segment!$C$77,,$B73,),)), 1, 1)</f>
        <v>#ERROR!</v>
      </c>
      <c r="F73" s="185">
        <v>2.0</v>
      </c>
      <c r="G73" s="101" t="str">
        <f t="shared" si="27"/>
        <v>#ERROR!</v>
      </c>
      <c r="H73" s="101">
        <v>0.8111111111111091</v>
      </c>
      <c r="I73" s="101">
        <v>0.8152777777777758</v>
      </c>
      <c r="J73" s="101">
        <v>0.8208333333333313</v>
      </c>
      <c r="K73" s="185">
        <v>6.0</v>
      </c>
      <c r="L73" s="101">
        <v>0.824999999999998</v>
      </c>
      <c r="M73" s="101">
        <v>0.8291666666666646</v>
      </c>
      <c r="N73" s="101">
        <v>0.8333333333333313</v>
      </c>
      <c r="O73" s="101" t="str">
        <f>ARRAY_CONSTRAIN(ARRAYFORMULA(Q73+TIME(,OFFSET([2]Segment!$C$83,,$B73,),)), 1, 1)</f>
        <v>#ERROR!</v>
      </c>
      <c r="P73" s="185">
        <v>2.0</v>
      </c>
      <c r="Q73" s="182" t="str">
        <f t="shared" si="21"/>
        <v>#ERROR!</v>
      </c>
      <c r="R73" s="101">
        <v>0.842361111111109</v>
      </c>
      <c r="S73" s="101">
        <v>0.8499999999999979</v>
      </c>
      <c r="T73" s="185">
        <v>11.0</v>
      </c>
      <c r="U73" s="182">
        <v>0.8576388888888867</v>
      </c>
      <c r="V73" s="103">
        <f t="shared" si="22"/>
        <v>69</v>
      </c>
      <c r="W73" s="103">
        <f t="shared" si="29"/>
        <v>90</v>
      </c>
      <c r="X73" s="103">
        <f t="shared" si="24"/>
        <v>21</v>
      </c>
      <c r="Y73" s="104">
        <f t="shared" si="25"/>
        <v>0.3043478261</v>
      </c>
      <c r="Z73" s="142">
        <f t="shared" ref="Z73:Z74" si="30">(S73-S72)*1440</f>
        <v>30</v>
      </c>
    </row>
    <row r="74" ht="13.5" customHeight="1">
      <c r="A74" s="127"/>
      <c r="B74" s="141" t="s">
        <v>79</v>
      </c>
      <c r="C74" s="182">
        <v>0.8368055555555536</v>
      </c>
      <c r="D74" s="101">
        <v>0.8444444444444424</v>
      </c>
      <c r="E74" s="101" t="str">
        <f>ARRAY_CONSTRAIN(ARRAYFORMULA(G74+TIME(,OFFSET([2]Segment!$C$77,,$B74,),)), 1, 1)</f>
        <v>#ERROR!</v>
      </c>
      <c r="F74" s="185">
        <v>2.0</v>
      </c>
      <c r="G74" s="101" t="str">
        <f t="shared" si="27"/>
        <v>#ERROR!</v>
      </c>
      <c r="H74" s="101">
        <v>0.8527777777777757</v>
      </c>
      <c r="I74" s="101">
        <v>0.8569444444444424</v>
      </c>
      <c r="J74" s="101">
        <v>0.8624999999999979</v>
      </c>
      <c r="K74" s="185">
        <v>6.0</v>
      </c>
      <c r="L74" s="101">
        <v>0.8666666666666646</v>
      </c>
      <c r="M74" s="101">
        <v>0.8708333333333312</v>
      </c>
      <c r="N74" s="101">
        <v>0.8749999999999979</v>
      </c>
      <c r="O74" s="101" t="str">
        <f>ARRAY_CONSTRAIN(ARRAYFORMULA(Q74+TIME(,OFFSET([2]Segment!$C$83,,$B74,),)), 1, 1)</f>
        <v>#ERROR!</v>
      </c>
      <c r="P74" s="185">
        <v>2.0</v>
      </c>
      <c r="Q74" s="182" t="str">
        <f t="shared" si="21"/>
        <v>#ERROR!</v>
      </c>
      <c r="R74" s="101">
        <v>0.8840277777777756</v>
      </c>
      <c r="S74" s="101">
        <v>0.8916666666666645</v>
      </c>
      <c r="T74" s="185">
        <v>11.0</v>
      </c>
      <c r="U74" s="182">
        <v>0.8993055555555534</v>
      </c>
      <c r="V74" s="103">
        <f t="shared" si="22"/>
        <v>69</v>
      </c>
      <c r="W74" s="103">
        <f t="shared" si="29"/>
        <v>90</v>
      </c>
      <c r="X74" s="103">
        <f t="shared" si="24"/>
        <v>21</v>
      </c>
      <c r="Y74" s="104">
        <f t="shared" si="25"/>
        <v>0.3043478261</v>
      </c>
      <c r="Z74" s="142">
        <f t="shared" si="30"/>
        <v>60</v>
      </c>
    </row>
    <row r="75" ht="13.5" customHeight="1">
      <c r="A75" s="127"/>
      <c r="B75" s="141" t="s">
        <v>98</v>
      </c>
      <c r="C75" s="182">
        <v>0.8576388888888867</v>
      </c>
      <c r="D75" s="101">
        <v>0.8638888888888867</v>
      </c>
      <c r="E75" s="101" t="str">
        <f>ARRAY_CONSTRAIN(ARRAYFORMULA(G75+TIME(,OFFSET([2]Segment!$C$77,,$B75,),)), 1, 1)</f>
        <v>#ERROR!</v>
      </c>
      <c r="F75" s="185">
        <v>2.0</v>
      </c>
      <c r="G75" s="101" t="str">
        <f t="shared" si="27"/>
        <v>#ERROR!</v>
      </c>
      <c r="H75" s="101">
        <v>0.87222222222222</v>
      </c>
      <c r="I75" s="101">
        <v>0.8763888888888867</v>
      </c>
      <c r="J75" s="101">
        <v>0.8819444444444422</v>
      </c>
      <c r="K75" s="185">
        <v>8.0</v>
      </c>
      <c r="L75" s="101">
        <v>0.8874999999999977</v>
      </c>
      <c r="M75" s="101">
        <v>0.8916666666666644</v>
      </c>
      <c r="N75" s="101">
        <v>0.8951388888888866</v>
      </c>
      <c r="O75" s="101" t="str">
        <f>ARRAY_CONSTRAIN(ARRAYFORMULA(Q75+TIME(,OFFSET([2]Segment!$C$83,,$B75,),)), 1, 1)</f>
        <v>#ERROR!</v>
      </c>
      <c r="P75" s="185">
        <v>2.0</v>
      </c>
      <c r="Q75" s="182" t="str">
        <f t="shared" si="21"/>
        <v>#ERROR!</v>
      </c>
      <c r="R75" s="101">
        <v>0.9055555555555532</v>
      </c>
      <c r="S75" s="101">
        <v>0.9118055555555532</v>
      </c>
      <c r="T75" s="185">
        <v>12.0</v>
      </c>
      <c r="U75" s="182">
        <v>0.9201388888888865</v>
      </c>
      <c r="V75" s="103">
        <f t="shared" si="22"/>
        <v>66</v>
      </c>
      <c r="W75" s="103">
        <f t="shared" si="29"/>
        <v>90</v>
      </c>
      <c r="X75" s="103">
        <f t="shared" si="24"/>
        <v>24</v>
      </c>
      <c r="Y75" s="104">
        <f t="shared" si="25"/>
        <v>0.3636363636</v>
      </c>
      <c r="Z75" s="142">
        <f t="shared" ref="Z75:Z76" si="31">(U75-U74)*1440</f>
        <v>30</v>
      </c>
    </row>
    <row r="76" ht="13.5" customHeight="1">
      <c r="A76" s="127"/>
      <c r="B76" s="141" t="s">
        <v>98</v>
      </c>
      <c r="C76" s="182">
        <v>0.8993055555555534</v>
      </c>
      <c r="D76" s="101">
        <v>0.9055555555555533</v>
      </c>
      <c r="E76" s="101" t="str">
        <f>ARRAY_CONSTRAIN(ARRAYFORMULA(G76+TIME(,OFFSET([2]Segment!$C$77,,$B76,),)), 1, 1)</f>
        <v>#ERROR!</v>
      </c>
      <c r="F76" s="185">
        <v>2.0</v>
      </c>
      <c r="G76" s="101" t="str">
        <f t="shared" si="27"/>
        <v>#ERROR!</v>
      </c>
      <c r="H76" s="101">
        <v>0.9138888888888866</v>
      </c>
      <c r="I76" s="101">
        <v>0.9180555555555533</v>
      </c>
      <c r="J76" s="101">
        <v>0.9236111111111088</v>
      </c>
      <c r="K76" s="185">
        <v>8.0</v>
      </c>
      <c r="L76" s="101">
        <v>0.9291666666666644</v>
      </c>
      <c r="M76" s="101">
        <v>0.933333333333331</v>
      </c>
      <c r="N76" s="101">
        <v>0.9368055555555532</v>
      </c>
      <c r="O76" s="101" t="str">
        <f>ARRAY_CONSTRAIN(ARRAYFORMULA(Q76+TIME(,OFFSET([2]Segment!$C$83,,$B76,),)), 1, 1)</f>
        <v>#ERROR!</v>
      </c>
      <c r="P76" s="185">
        <v>2.0</v>
      </c>
      <c r="Q76" s="182" t="str">
        <f t="shared" si="21"/>
        <v>#ERROR!</v>
      </c>
      <c r="R76" s="101">
        <v>0.9472222222222199</v>
      </c>
      <c r="S76" s="101">
        <v>0.9534722222222198</v>
      </c>
      <c r="T76" s="185">
        <v>12.0</v>
      </c>
      <c r="U76" s="182">
        <v>0.9618055555555531</v>
      </c>
      <c r="V76" s="103">
        <f t="shared" si="22"/>
        <v>66</v>
      </c>
      <c r="W76" s="103">
        <f t="shared" si="29"/>
        <v>90</v>
      </c>
      <c r="X76" s="103">
        <f t="shared" si="24"/>
        <v>24</v>
      </c>
      <c r="Y76" s="104">
        <f t="shared" si="25"/>
        <v>0.3636363636</v>
      </c>
      <c r="Z76" s="142">
        <f t="shared" si="31"/>
        <v>60</v>
      </c>
    </row>
    <row r="77" ht="13.5" customHeight="1">
      <c r="A77" s="127"/>
      <c r="B77" s="141" t="s">
        <v>98</v>
      </c>
      <c r="C77" s="182">
        <v>0.9201388888888865</v>
      </c>
      <c r="D77" s="101">
        <v>0.9263888888888865</v>
      </c>
      <c r="E77" s="101" t="str">
        <f>ARRAY_CONSTRAIN(ARRAYFORMULA(G77+TIME(,OFFSET([2]Segment!$C$77,,$B77,),)), 1, 1)</f>
        <v>#ERROR!</v>
      </c>
      <c r="F77" s="185">
        <v>2.0</v>
      </c>
      <c r="G77" s="101" t="str">
        <f t="shared" si="27"/>
        <v>#ERROR!</v>
      </c>
      <c r="H77" s="101">
        <v>0.9347222222222198</v>
      </c>
      <c r="I77" s="101">
        <v>0.9388888888888864</v>
      </c>
      <c r="J77" s="101">
        <v>0.944444444444442</v>
      </c>
      <c r="K77" s="185"/>
      <c r="L77" s="107" t="s">
        <v>80</v>
      </c>
      <c r="M77" s="101"/>
      <c r="N77" s="101"/>
      <c r="O77" s="101"/>
      <c r="P77" s="185"/>
      <c r="Q77" s="182"/>
      <c r="R77" s="101"/>
      <c r="S77" s="101"/>
      <c r="T77" s="185"/>
      <c r="U77" s="182"/>
      <c r="V77" s="103">
        <f t="shared" si="22"/>
        <v>33</v>
      </c>
      <c r="W77" s="103">
        <f t="shared" ref="W77:W78" si="32">(J77-C77)*1440</f>
        <v>35</v>
      </c>
      <c r="X77" s="103">
        <f t="shared" si="24"/>
        <v>2</v>
      </c>
      <c r="Y77" s="104">
        <f t="shared" si="25"/>
        <v>0.06060606061</v>
      </c>
      <c r="Z77" s="142">
        <f t="shared" ref="Z77:Z78" si="33">(J77-J76)*1440</f>
        <v>30</v>
      </c>
    </row>
    <row r="78" ht="13.5" customHeight="1">
      <c r="A78" s="156"/>
      <c r="B78" s="141" t="s">
        <v>98</v>
      </c>
      <c r="C78" s="182">
        <v>0.9618055555555531</v>
      </c>
      <c r="D78" s="101">
        <v>0.9680555555555531</v>
      </c>
      <c r="E78" s="101" t="str">
        <f>ARRAY_CONSTRAIN(ARRAYFORMULA(G78+TIME(,OFFSET([2]Segment!$C$77,,$B78,),)), 1, 1)</f>
        <v>#ERROR!</v>
      </c>
      <c r="F78" s="185">
        <v>2.0</v>
      </c>
      <c r="G78" s="101" t="str">
        <f t="shared" si="27"/>
        <v>#ERROR!</v>
      </c>
      <c r="H78" s="101">
        <v>0.9763888888888864</v>
      </c>
      <c r="I78" s="101">
        <v>0.9805555555555531</v>
      </c>
      <c r="J78" s="101">
        <v>0.9861111111111086</v>
      </c>
      <c r="K78" s="185"/>
      <c r="L78" s="107" t="s">
        <v>80</v>
      </c>
      <c r="M78" s="101"/>
      <c r="N78" s="101"/>
      <c r="O78" s="101"/>
      <c r="P78" s="185"/>
      <c r="Q78" s="182"/>
      <c r="R78" s="101"/>
      <c r="S78" s="101"/>
      <c r="T78" s="185"/>
      <c r="U78" s="182"/>
      <c r="V78" s="103">
        <f t="shared" si="22"/>
        <v>33</v>
      </c>
      <c r="W78" s="103">
        <f t="shared" si="32"/>
        <v>35</v>
      </c>
      <c r="X78" s="103">
        <f t="shared" si="24"/>
        <v>2</v>
      </c>
      <c r="Y78" s="104">
        <f t="shared" si="25"/>
        <v>0.06060606061</v>
      </c>
      <c r="Z78" s="142">
        <f t="shared" si="33"/>
        <v>60</v>
      </c>
    </row>
    <row r="79" ht="13.5" customHeight="1">
      <c r="A79" s="118"/>
      <c r="F79" s="109">
        <f>SUM(F49:F78)</f>
        <v>60</v>
      </c>
      <c r="K79" s="109">
        <f>SUM(K49:K78)</f>
        <v>204</v>
      </c>
      <c r="P79" s="109">
        <f>SUM(P49:P78)</f>
        <v>56</v>
      </c>
      <c r="S79" s="110" t="s">
        <v>81</v>
      </c>
      <c r="V79" s="159">
        <f t="shared" ref="V79:X79" si="34">SUM(V47:V78)/60</f>
        <v>35.56666667</v>
      </c>
      <c r="W79" s="112">
        <f t="shared" si="34"/>
        <v>45.35</v>
      </c>
      <c r="X79" s="159">
        <f t="shared" si="34"/>
        <v>9.783333333</v>
      </c>
      <c r="Y79" s="104">
        <f t="shared" si="25"/>
        <v>0.2750702905</v>
      </c>
    </row>
    <row r="80" ht="14.25" customHeight="1">
      <c r="A80" s="123" t="s">
        <v>99</v>
      </c>
    </row>
    <row r="81" ht="13.5" customHeight="1">
      <c r="A81" s="127"/>
      <c r="B81" s="73"/>
      <c r="C81" s="165" t="s">
        <v>112</v>
      </c>
      <c r="D81" s="166"/>
      <c r="E81" s="166"/>
      <c r="F81" s="166"/>
      <c r="G81" s="166"/>
      <c r="H81" s="166"/>
      <c r="I81" s="166"/>
      <c r="J81" s="167"/>
      <c r="K81" s="168"/>
      <c r="L81" s="194" t="s">
        <v>113</v>
      </c>
      <c r="M81" s="166"/>
      <c r="N81" s="166"/>
      <c r="O81" s="166"/>
      <c r="P81" s="166"/>
      <c r="Q81" s="166"/>
      <c r="R81" s="166"/>
      <c r="S81" s="167"/>
    </row>
    <row r="82" ht="13.5" customHeight="1">
      <c r="A82" s="127"/>
      <c r="B82" s="89"/>
      <c r="C82" s="169" t="s">
        <v>62</v>
      </c>
      <c r="E82" s="170" t="s">
        <v>85</v>
      </c>
      <c r="F82" s="171"/>
      <c r="G82" s="170" t="s">
        <v>62</v>
      </c>
      <c r="J82" s="89" t="s">
        <v>85</v>
      </c>
      <c r="L82" s="89" t="s">
        <v>62</v>
      </c>
      <c r="O82" s="170" t="s">
        <v>85</v>
      </c>
      <c r="P82" s="172"/>
      <c r="Q82" s="170" t="s">
        <v>62</v>
      </c>
      <c r="R82" s="62"/>
      <c r="S82" s="89" t="s">
        <v>85</v>
      </c>
      <c r="T82" s="62"/>
      <c r="U82" s="89" t="s">
        <v>62</v>
      </c>
      <c r="V82" s="62"/>
      <c r="W82" s="62"/>
      <c r="X82" s="173"/>
    </row>
    <row r="83" ht="13.5" customHeight="1">
      <c r="A83" s="127"/>
      <c r="B83" s="89" t="s">
        <v>63</v>
      </c>
      <c r="C83" s="89" t="s">
        <v>64</v>
      </c>
      <c r="D83" s="128" t="s">
        <v>65</v>
      </c>
      <c r="E83" s="174" t="str">
        <f t="shared" ref="E83:E84" si="35">E45</f>
        <v>Cuthbert Street</v>
      </c>
      <c r="F83" s="175"/>
      <c r="G83" s="174" t="str">
        <f t="shared" ref="G83:G84" si="36">G45</f>
        <v>Cuthbert Street</v>
      </c>
      <c r="H83" s="130" t="s">
        <v>105</v>
      </c>
      <c r="I83" s="128" t="s">
        <v>106</v>
      </c>
      <c r="J83" s="128" t="s">
        <v>86</v>
      </c>
      <c r="L83" s="128" t="s">
        <v>86</v>
      </c>
      <c r="M83" s="128" t="s">
        <v>107</v>
      </c>
      <c r="N83" s="130" t="s">
        <v>105</v>
      </c>
      <c r="O83" s="174" t="str">
        <f t="shared" ref="O83:O84" si="37">O45</f>
        <v>Ferndale Woods Public School</v>
      </c>
      <c r="P83" s="176"/>
      <c r="Q83" s="174" t="str">
        <f t="shared" ref="Q83:Q84" si="38">Q45</f>
        <v>Ferndale Woods Public School</v>
      </c>
      <c r="R83" s="128" t="s">
        <v>65</v>
      </c>
      <c r="S83" s="177" t="s">
        <v>64</v>
      </c>
      <c r="T83" s="62"/>
      <c r="U83" s="89" t="s">
        <v>64</v>
      </c>
      <c r="V83" s="62"/>
      <c r="W83" s="62"/>
      <c r="X83" s="173"/>
    </row>
    <row r="84" ht="13.5" customHeight="1">
      <c r="A84" s="127"/>
      <c r="B84" s="93" t="s">
        <v>72</v>
      </c>
      <c r="C84" s="89">
        <v>777.0</v>
      </c>
      <c r="D84" s="128">
        <v>662.0</v>
      </c>
      <c r="E84" s="174">
        <f t="shared" si="35"/>
        <v>829</v>
      </c>
      <c r="F84" s="178" t="s">
        <v>69</v>
      </c>
      <c r="G84" s="174">
        <f t="shared" si="36"/>
        <v>829</v>
      </c>
      <c r="H84" s="179">
        <v>627.0</v>
      </c>
      <c r="I84" s="128">
        <v>271.0</v>
      </c>
      <c r="J84" s="128">
        <v>1.0</v>
      </c>
      <c r="K84" s="180" t="s">
        <v>69</v>
      </c>
      <c r="L84" s="128">
        <v>1.0</v>
      </c>
      <c r="M84" s="128">
        <v>893.0</v>
      </c>
      <c r="N84" s="128">
        <v>626.0</v>
      </c>
      <c r="O84" s="174">
        <f t="shared" si="37"/>
        <v>841</v>
      </c>
      <c r="P84" s="170" t="s">
        <v>69</v>
      </c>
      <c r="Q84" s="174">
        <f t="shared" si="38"/>
        <v>841</v>
      </c>
      <c r="R84" s="128">
        <v>847.0</v>
      </c>
      <c r="S84" s="89">
        <v>777.0</v>
      </c>
      <c r="T84" s="181" t="s">
        <v>69</v>
      </c>
      <c r="U84" s="89">
        <v>777.0</v>
      </c>
      <c r="V84" s="139" t="s">
        <v>73</v>
      </c>
      <c r="W84" s="139" t="s">
        <v>74</v>
      </c>
      <c r="X84" s="139" t="s">
        <v>69</v>
      </c>
      <c r="Y84" s="139" t="s">
        <v>109</v>
      </c>
      <c r="Z84" s="140" t="s">
        <v>76</v>
      </c>
    </row>
    <row r="85" ht="13.5" customHeight="1">
      <c r="A85" s="127"/>
      <c r="B85" s="141" t="s">
        <v>77</v>
      </c>
      <c r="C85" s="182"/>
      <c r="D85" s="182"/>
      <c r="E85" s="182"/>
      <c r="F85" s="183"/>
      <c r="G85" s="182"/>
      <c r="H85" s="184">
        <v>0.35138888888888886</v>
      </c>
      <c r="I85" s="101">
        <v>0.3555555555555555</v>
      </c>
      <c r="J85" s="101">
        <v>0.36111111111111105</v>
      </c>
      <c r="K85" s="185">
        <v>8.0</v>
      </c>
      <c r="L85" s="101">
        <v>0.3666666666666666</v>
      </c>
      <c r="M85" s="101">
        <v>0.3715277777777777</v>
      </c>
      <c r="N85" s="101">
        <v>0.3763888888888888</v>
      </c>
      <c r="O85" s="101" t="str">
        <f>ARRAY_CONSTRAIN(ARRAYFORMULA(Q85+TIME(,OFFSET([2]Segment!$C$83,,$B85,),)), 1, 1)</f>
        <v>#ERROR!</v>
      </c>
      <c r="P85" s="185">
        <v>2.0</v>
      </c>
      <c r="Q85" s="182" t="str">
        <f t="shared" ref="Q85:Q102" si="39">O85+TIME(,P85,)</f>
        <v>#ERROR!</v>
      </c>
      <c r="R85" s="101">
        <v>0.38611111111111096</v>
      </c>
      <c r="S85" s="101">
        <v>0.3930555555555554</v>
      </c>
      <c r="T85" s="185">
        <v>9.0</v>
      </c>
      <c r="U85" s="182">
        <v>0.39930555555555536</v>
      </c>
      <c r="V85" s="103">
        <f t="shared" ref="V85:V103" si="40">W85-X85</f>
        <v>50</v>
      </c>
      <c r="W85" s="103">
        <f t="shared" ref="W85:W86" si="41">(U85-H85)*1440</f>
        <v>69</v>
      </c>
      <c r="X85" s="103">
        <f t="shared" ref="X85:X103" si="42">K85+F85+T85+P85</f>
        <v>19</v>
      </c>
      <c r="Y85" s="104">
        <f t="shared" ref="Y85:Y104" si="43">X85/V85</f>
        <v>0.38</v>
      </c>
      <c r="Z85" s="142"/>
    </row>
    <row r="86" ht="13.5" customHeight="1">
      <c r="A86" s="127"/>
      <c r="B86" s="141" t="s">
        <v>77</v>
      </c>
      <c r="C86" s="187"/>
      <c r="D86" s="187"/>
      <c r="E86" s="187"/>
      <c r="F86" s="188"/>
      <c r="G86" s="187"/>
      <c r="H86" s="100">
        <v>0.39305555555555555</v>
      </c>
      <c r="I86" s="101">
        <v>0.3972222222222222</v>
      </c>
      <c r="J86" s="101">
        <v>0.40277777777777773</v>
      </c>
      <c r="K86" s="185">
        <v>8.0</v>
      </c>
      <c r="L86" s="101">
        <v>0.40833333333333327</v>
      </c>
      <c r="M86" s="101">
        <v>0.41319444444444436</v>
      </c>
      <c r="N86" s="101">
        <v>0.41805555555555546</v>
      </c>
      <c r="O86" s="101" t="str">
        <f>ARRAY_CONSTRAIN(ARRAYFORMULA(Q86+TIME(,OFFSET([2]Segment!$C$83,,$B86,),)), 1, 1)</f>
        <v>#ERROR!</v>
      </c>
      <c r="P86" s="185">
        <v>2.0</v>
      </c>
      <c r="Q86" s="182" t="str">
        <f t="shared" si="39"/>
        <v>#ERROR!</v>
      </c>
      <c r="R86" s="101">
        <v>0.42777777777777765</v>
      </c>
      <c r="S86" s="101">
        <v>0.43472222222222207</v>
      </c>
      <c r="T86" s="185">
        <v>9.0</v>
      </c>
      <c r="U86" s="182">
        <v>0.44097222222222204</v>
      </c>
      <c r="V86" s="103">
        <f t="shared" si="40"/>
        <v>50</v>
      </c>
      <c r="W86" s="103">
        <f t="shared" si="41"/>
        <v>69</v>
      </c>
      <c r="X86" s="103">
        <f t="shared" si="42"/>
        <v>19</v>
      </c>
      <c r="Y86" s="104">
        <f t="shared" si="43"/>
        <v>0.38</v>
      </c>
      <c r="Z86" s="142">
        <f t="shared" ref="Z86:Z101" si="44">(U86-U85)*1440</f>
        <v>60</v>
      </c>
    </row>
    <row r="87" ht="13.5" customHeight="1">
      <c r="A87" s="127"/>
      <c r="B87" s="141" t="s">
        <v>77</v>
      </c>
      <c r="C87" s="182">
        <v>0.39930555555555536</v>
      </c>
      <c r="D87" s="101">
        <v>0.40555555555555534</v>
      </c>
      <c r="E87" s="101" t="str">
        <f>ARRAY_CONSTRAIN(ARRAYFORMULA(G87+TIME(,OFFSET([2]Segment!$C$77,,$B87,),)), 1, 1)</f>
        <v>#ERROR!</v>
      </c>
      <c r="F87" s="185">
        <v>2.0</v>
      </c>
      <c r="G87" s="101" t="str">
        <f t="shared" ref="G87:G103" si="45">E87+TIME(,F87,)</f>
        <v>#ERROR!</v>
      </c>
      <c r="H87" s="101">
        <v>0.41388888888888864</v>
      </c>
      <c r="I87" s="101">
        <v>0.4180555555555553</v>
      </c>
      <c r="J87" s="101">
        <v>0.4236111111111108</v>
      </c>
      <c r="K87" s="185">
        <v>8.0</v>
      </c>
      <c r="L87" s="101">
        <v>0.42916666666666636</v>
      </c>
      <c r="M87" s="101">
        <v>0.43402777777777746</v>
      </c>
      <c r="N87" s="101">
        <v>0.43888888888888855</v>
      </c>
      <c r="O87" s="101" t="str">
        <f>ARRAY_CONSTRAIN(ARRAYFORMULA(Q87+TIME(,OFFSET([2]Segment!$C$83,,$B87,),)), 1, 1)</f>
        <v>#ERROR!</v>
      </c>
      <c r="P87" s="185">
        <v>2.0</v>
      </c>
      <c r="Q87" s="182" t="str">
        <f t="shared" si="39"/>
        <v>#ERROR!</v>
      </c>
      <c r="R87" s="101">
        <v>0.44861111111111074</v>
      </c>
      <c r="S87" s="101">
        <v>0.45555555555555516</v>
      </c>
      <c r="T87" s="185">
        <v>9.0</v>
      </c>
      <c r="U87" s="182">
        <v>0.46180555555555514</v>
      </c>
      <c r="V87" s="103">
        <f t="shared" si="40"/>
        <v>69</v>
      </c>
      <c r="W87" s="103">
        <f t="shared" ref="W87:W101" si="46">(U87-C87)*1440</f>
        <v>90</v>
      </c>
      <c r="X87" s="103">
        <f t="shared" si="42"/>
        <v>21</v>
      </c>
      <c r="Y87" s="104">
        <f t="shared" si="43"/>
        <v>0.3043478261</v>
      </c>
      <c r="Z87" s="142">
        <f t="shared" si="44"/>
        <v>30</v>
      </c>
    </row>
    <row r="88" ht="13.5" customHeight="1">
      <c r="A88" s="127"/>
      <c r="B88" s="141" t="s">
        <v>77</v>
      </c>
      <c r="C88" s="182">
        <v>0.44097222222222204</v>
      </c>
      <c r="D88" s="101">
        <v>0.447222222222222</v>
      </c>
      <c r="E88" s="101" t="str">
        <f>ARRAY_CONSTRAIN(ARRAYFORMULA(G88+TIME(,OFFSET([2]Segment!$C$77,,$B88,),)), 1, 1)</f>
        <v>#ERROR!</v>
      </c>
      <c r="F88" s="185">
        <v>2.0</v>
      </c>
      <c r="G88" s="101" t="str">
        <f t="shared" si="45"/>
        <v>#ERROR!</v>
      </c>
      <c r="H88" s="101">
        <v>0.4555555555555553</v>
      </c>
      <c r="I88" s="101">
        <v>0.459722222222222</v>
      </c>
      <c r="J88" s="101">
        <v>0.4652777777777775</v>
      </c>
      <c r="K88" s="185">
        <v>8.0</v>
      </c>
      <c r="L88" s="101">
        <v>0.47083333333333305</v>
      </c>
      <c r="M88" s="101">
        <v>0.47569444444444414</v>
      </c>
      <c r="N88" s="101">
        <v>0.48055555555555524</v>
      </c>
      <c r="O88" s="101" t="str">
        <f>ARRAY_CONSTRAIN(ARRAYFORMULA(Q88+TIME(,OFFSET([2]Segment!$C$83,,$B88,),)), 1, 1)</f>
        <v>#ERROR!</v>
      </c>
      <c r="P88" s="185">
        <v>2.0</v>
      </c>
      <c r="Q88" s="182" t="str">
        <f t="shared" si="39"/>
        <v>#ERROR!</v>
      </c>
      <c r="R88" s="101">
        <v>0.4902777777777774</v>
      </c>
      <c r="S88" s="101">
        <v>0.49722222222222184</v>
      </c>
      <c r="T88" s="185">
        <v>9.0</v>
      </c>
      <c r="U88" s="182">
        <v>0.5034722222222219</v>
      </c>
      <c r="V88" s="103">
        <f t="shared" si="40"/>
        <v>69</v>
      </c>
      <c r="W88" s="103">
        <f t="shared" si="46"/>
        <v>90</v>
      </c>
      <c r="X88" s="103">
        <f t="shared" si="42"/>
        <v>21</v>
      </c>
      <c r="Y88" s="104">
        <f t="shared" si="43"/>
        <v>0.3043478261</v>
      </c>
      <c r="Z88" s="142">
        <f t="shared" si="44"/>
        <v>60</v>
      </c>
    </row>
    <row r="89" ht="13.5" customHeight="1">
      <c r="A89" s="127"/>
      <c r="B89" s="141" t="s">
        <v>78</v>
      </c>
      <c r="C89" s="182">
        <v>0.46180555555555514</v>
      </c>
      <c r="D89" s="101">
        <v>0.46874999999999956</v>
      </c>
      <c r="E89" s="101" t="str">
        <f>ARRAY_CONSTRAIN(ARRAYFORMULA(G89+TIME(,OFFSET([2]Segment!$C$77,,$B89,),)), 1, 1)</f>
        <v>#ERROR!</v>
      </c>
      <c r="F89" s="185">
        <v>2.0</v>
      </c>
      <c r="G89" s="101" t="str">
        <f t="shared" si="45"/>
        <v>#ERROR!</v>
      </c>
      <c r="H89" s="101">
        <v>0.47708333333333286</v>
      </c>
      <c r="I89" s="101">
        <v>0.4812499999999995</v>
      </c>
      <c r="J89" s="101">
        <v>0.48680555555555505</v>
      </c>
      <c r="K89" s="185">
        <v>7.0</v>
      </c>
      <c r="L89" s="101">
        <v>0.49166666666666614</v>
      </c>
      <c r="M89" s="101">
        <v>0.49652777777777724</v>
      </c>
      <c r="N89" s="101">
        <v>0.5013888888888883</v>
      </c>
      <c r="O89" s="101" t="str">
        <f>ARRAY_CONSTRAIN(ARRAYFORMULA(Q89+TIME(,OFFSET([2]Segment!$C$83,,$B89,),)), 1, 1)</f>
        <v>#ERROR!</v>
      </c>
      <c r="P89" s="185">
        <v>2.0</v>
      </c>
      <c r="Q89" s="182" t="str">
        <f t="shared" si="39"/>
        <v>#ERROR!</v>
      </c>
      <c r="R89" s="101">
        <v>0.511805555555555</v>
      </c>
      <c r="S89" s="101">
        <v>0.5194444444444438</v>
      </c>
      <c r="T89" s="185">
        <v>7.0</v>
      </c>
      <c r="U89" s="182">
        <v>0.5243055555555549</v>
      </c>
      <c r="V89" s="103">
        <f t="shared" si="40"/>
        <v>72</v>
      </c>
      <c r="W89" s="103">
        <f t="shared" si="46"/>
        <v>90</v>
      </c>
      <c r="X89" s="103">
        <f t="shared" si="42"/>
        <v>18</v>
      </c>
      <c r="Y89" s="104">
        <f t="shared" si="43"/>
        <v>0.25</v>
      </c>
      <c r="Z89" s="142">
        <f t="shared" si="44"/>
        <v>30</v>
      </c>
    </row>
    <row r="90" ht="13.5" customHeight="1">
      <c r="A90" s="127"/>
      <c r="B90" s="141" t="s">
        <v>78</v>
      </c>
      <c r="C90" s="182">
        <v>0.5034722222222219</v>
      </c>
      <c r="D90" s="101">
        <v>0.5104166666666663</v>
      </c>
      <c r="E90" s="101" t="str">
        <f>ARRAY_CONSTRAIN(ARRAYFORMULA(G90+TIME(,OFFSET([2]Segment!$C$77,,$B90,),)), 1, 1)</f>
        <v>#ERROR!</v>
      </c>
      <c r="F90" s="185">
        <v>2.0</v>
      </c>
      <c r="G90" s="101" t="str">
        <f t="shared" si="45"/>
        <v>#ERROR!</v>
      </c>
      <c r="H90" s="101">
        <v>0.5187499999999996</v>
      </c>
      <c r="I90" s="101">
        <v>0.5229166666666663</v>
      </c>
      <c r="J90" s="101">
        <v>0.5284722222222218</v>
      </c>
      <c r="K90" s="185">
        <v>7.0</v>
      </c>
      <c r="L90" s="101">
        <v>0.5333333333333329</v>
      </c>
      <c r="M90" s="101">
        <v>0.538194444444444</v>
      </c>
      <c r="N90" s="101">
        <v>0.5430555555555551</v>
      </c>
      <c r="O90" s="101" t="str">
        <f>ARRAY_CONSTRAIN(ARRAYFORMULA(Q90+TIME(,OFFSET([2]Segment!$C$83,,$B90,),)), 1, 1)</f>
        <v>#ERROR!</v>
      </c>
      <c r="P90" s="185">
        <v>2.0</v>
      </c>
      <c r="Q90" s="182" t="str">
        <f t="shared" si="39"/>
        <v>#ERROR!</v>
      </c>
      <c r="R90" s="101">
        <v>0.5534722222222217</v>
      </c>
      <c r="S90" s="101">
        <v>0.5611111111111106</v>
      </c>
      <c r="T90" s="185">
        <v>7.0</v>
      </c>
      <c r="U90" s="182">
        <v>0.5659722222222217</v>
      </c>
      <c r="V90" s="103">
        <f t="shared" si="40"/>
        <v>72</v>
      </c>
      <c r="W90" s="103">
        <f t="shared" si="46"/>
        <v>90</v>
      </c>
      <c r="X90" s="103">
        <f t="shared" si="42"/>
        <v>18</v>
      </c>
      <c r="Y90" s="104">
        <f t="shared" si="43"/>
        <v>0.25</v>
      </c>
      <c r="Z90" s="142">
        <f t="shared" si="44"/>
        <v>60</v>
      </c>
    </row>
    <row r="91" ht="13.5" customHeight="1">
      <c r="A91" s="127"/>
      <c r="B91" s="141" t="s">
        <v>78</v>
      </c>
      <c r="C91" s="182">
        <v>0.5243055555555549</v>
      </c>
      <c r="D91" s="101">
        <v>0.5312499999999993</v>
      </c>
      <c r="E91" s="101" t="str">
        <f>ARRAY_CONSTRAIN(ARRAYFORMULA(G91+TIME(,OFFSET([2]Segment!$C$77,,$B91,),)), 1, 1)</f>
        <v>#ERROR!</v>
      </c>
      <c r="F91" s="185">
        <v>2.0</v>
      </c>
      <c r="G91" s="101" t="str">
        <f t="shared" si="45"/>
        <v>#ERROR!</v>
      </c>
      <c r="H91" s="101">
        <v>0.5395833333333326</v>
      </c>
      <c r="I91" s="101">
        <v>0.5437499999999993</v>
      </c>
      <c r="J91" s="101">
        <v>0.5493055555555548</v>
      </c>
      <c r="K91" s="185">
        <v>7.0</v>
      </c>
      <c r="L91" s="101">
        <v>0.5541666666666659</v>
      </c>
      <c r="M91" s="101">
        <v>0.559027777777777</v>
      </c>
      <c r="N91" s="101">
        <v>0.5638888888888881</v>
      </c>
      <c r="O91" s="101" t="str">
        <f>ARRAY_CONSTRAIN(ARRAYFORMULA(Q91+TIME(,OFFSET([2]Segment!$C$83,,$B91,),)), 1, 1)</f>
        <v>#ERROR!</v>
      </c>
      <c r="P91" s="185">
        <v>2.0</v>
      </c>
      <c r="Q91" s="182" t="str">
        <f t="shared" si="39"/>
        <v>#ERROR!</v>
      </c>
      <c r="R91" s="101">
        <v>0.5743055555555547</v>
      </c>
      <c r="S91" s="101">
        <v>0.5819444444444436</v>
      </c>
      <c r="T91" s="185">
        <v>7.0</v>
      </c>
      <c r="U91" s="182">
        <v>0.5868055555555547</v>
      </c>
      <c r="V91" s="103">
        <f t="shared" si="40"/>
        <v>72</v>
      </c>
      <c r="W91" s="103">
        <f t="shared" si="46"/>
        <v>90</v>
      </c>
      <c r="X91" s="103">
        <f t="shared" si="42"/>
        <v>18</v>
      </c>
      <c r="Y91" s="104">
        <f t="shared" si="43"/>
        <v>0.25</v>
      </c>
      <c r="Z91" s="142">
        <f t="shared" si="44"/>
        <v>30</v>
      </c>
    </row>
    <row r="92" ht="13.5" customHeight="1">
      <c r="A92" s="127"/>
      <c r="B92" s="141" t="s">
        <v>78</v>
      </c>
      <c r="C92" s="182">
        <v>0.5659722222222217</v>
      </c>
      <c r="D92" s="101">
        <v>0.5729166666666661</v>
      </c>
      <c r="E92" s="101" t="str">
        <f>ARRAY_CONSTRAIN(ARRAYFORMULA(G92+TIME(,OFFSET([2]Segment!$C$77,,$B92,),)), 1, 1)</f>
        <v>#ERROR!</v>
      </c>
      <c r="F92" s="185">
        <v>2.0</v>
      </c>
      <c r="G92" s="101" t="str">
        <f t="shared" si="45"/>
        <v>#ERROR!</v>
      </c>
      <c r="H92" s="101">
        <v>0.5812499999999994</v>
      </c>
      <c r="I92" s="101">
        <v>0.585416666666666</v>
      </c>
      <c r="J92" s="101">
        <v>0.5909722222222216</v>
      </c>
      <c r="K92" s="185">
        <v>7.0</v>
      </c>
      <c r="L92" s="101">
        <v>0.5958333333333327</v>
      </c>
      <c r="M92" s="101">
        <v>0.6006944444444438</v>
      </c>
      <c r="N92" s="101">
        <v>0.6055555555555548</v>
      </c>
      <c r="O92" s="101" t="str">
        <f>ARRAY_CONSTRAIN(ARRAYFORMULA(Q92+TIME(,OFFSET([2]Segment!$C$83,,$B92,),)), 1, 1)</f>
        <v>#ERROR!</v>
      </c>
      <c r="P92" s="185">
        <v>2.0</v>
      </c>
      <c r="Q92" s="182" t="str">
        <f t="shared" si="39"/>
        <v>#ERROR!</v>
      </c>
      <c r="R92" s="101">
        <v>0.6159722222222215</v>
      </c>
      <c r="S92" s="101">
        <v>0.6236111111111103</v>
      </c>
      <c r="T92" s="185">
        <v>7.0</v>
      </c>
      <c r="U92" s="182">
        <v>0.6284722222222214</v>
      </c>
      <c r="V92" s="103">
        <f t="shared" si="40"/>
        <v>72</v>
      </c>
      <c r="W92" s="103">
        <f t="shared" si="46"/>
        <v>90</v>
      </c>
      <c r="X92" s="103">
        <f t="shared" si="42"/>
        <v>18</v>
      </c>
      <c r="Y92" s="104">
        <f t="shared" si="43"/>
        <v>0.25</v>
      </c>
      <c r="Z92" s="142">
        <f t="shared" si="44"/>
        <v>60</v>
      </c>
    </row>
    <row r="93" ht="13.5" customHeight="1">
      <c r="A93" s="127"/>
      <c r="B93" s="141" t="s">
        <v>78</v>
      </c>
      <c r="C93" s="182">
        <v>0.5868055555555547</v>
      </c>
      <c r="D93" s="101">
        <v>0.5937499999999991</v>
      </c>
      <c r="E93" s="101" t="str">
        <f>ARRAY_CONSTRAIN(ARRAYFORMULA(G93+TIME(,OFFSET([2]Segment!$C$77,,$B93,),)), 1, 1)</f>
        <v>#ERROR!</v>
      </c>
      <c r="F93" s="185">
        <v>2.0</v>
      </c>
      <c r="G93" s="101" t="str">
        <f t="shared" si="45"/>
        <v>#ERROR!</v>
      </c>
      <c r="H93" s="101">
        <v>0.6020833333333324</v>
      </c>
      <c r="I93" s="101">
        <v>0.6062499999999991</v>
      </c>
      <c r="J93" s="101">
        <v>0.6118055555555546</v>
      </c>
      <c r="K93" s="185">
        <v>7.0</v>
      </c>
      <c r="L93" s="101">
        <v>0.6166666666666657</v>
      </c>
      <c r="M93" s="101">
        <v>0.6215277777777768</v>
      </c>
      <c r="N93" s="101">
        <v>0.6263888888888879</v>
      </c>
      <c r="O93" s="101" t="str">
        <f>ARRAY_CONSTRAIN(ARRAYFORMULA(Q93+TIME(,OFFSET([2]Segment!$C$83,,$B93,),)), 1, 1)</f>
        <v>#ERROR!</v>
      </c>
      <c r="P93" s="185">
        <v>2.0</v>
      </c>
      <c r="Q93" s="182" t="str">
        <f t="shared" si="39"/>
        <v>#ERROR!</v>
      </c>
      <c r="R93" s="101">
        <v>0.6368055555555545</v>
      </c>
      <c r="S93" s="101">
        <v>0.6444444444444434</v>
      </c>
      <c r="T93" s="185">
        <v>7.0</v>
      </c>
      <c r="U93" s="182">
        <v>0.6493055555555545</v>
      </c>
      <c r="V93" s="103">
        <f t="shared" si="40"/>
        <v>72</v>
      </c>
      <c r="W93" s="103">
        <f t="shared" si="46"/>
        <v>90</v>
      </c>
      <c r="X93" s="103">
        <f t="shared" si="42"/>
        <v>18</v>
      </c>
      <c r="Y93" s="104">
        <f t="shared" si="43"/>
        <v>0.25</v>
      </c>
      <c r="Z93" s="142">
        <f t="shared" si="44"/>
        <v>30</v>
      </c>
    </row>
    <row r="94" ht="13.5" customHeight="1">
      <c r="A94" s="127"/>
      <c r="B94" s="141" t="s">
        <v>78</v>
      </c>
      <c r="C94" s="182">
        <v>0.6284722222222214</v>
      </c>
      <c r="D94" s="101">
        <v>0.6354166666666659</v>
      </c>
      <c r="E94" s="101" t="str">
        <f>ARRAY_CONSTRAIN(ARRAYFORMULA(G94+TIME(,OFFSET([2]Segment!$C$77,,$B94,),)), 1, 1)</f>
        <v>#ERROR!</v>
      </c>
      <c r="F94" s="185">
        <v>2.0</v>
      </c>
      <c r="G94" s="101" t="str">
        <f t="shared" si="45"/>
        <v>#ERROR!</v>
      </c>
      <c r="H94" s="101">
        <v>0.6437499999999992</v>
      </c>
      <c r="I94" s="101">
        <v>0.6479166666666658</v>
      </c>
      <c r="J94" s="101">
        <v>0.6534722222222213</v>
      </c>
      <c r="K94" s="185">
        <v>7.0</v>
      </c>
      <c r="L94" s="101">
        <v>0.6583333333333324</v>
      </c>
      <c r="M94" s="101">
        <v>0.6631944444444435</v>
      </c>
      <c r="N94" s="101">
        <v>0.6680555555555546</v>
      </c>
      <c r="O94" s="101" t="str">
        <f>ARRAY_CONSTRAIN(ARRAYFORMULA(Q94+TIME(,OFFSET([2]Segment!$C$83,,$B94,),)), 1, 1)</f>
        <v>#ERROR!</v>
      </c>
      <c r="P94" s="185">
        <v>2.0</v>
      </c>
      <c r="Q94" s="182" t="str">
        <f t="shared" si="39"/>
        <v>#ERROR!</v>
      </c>
      <c r="R94" s="101">
        <v>0.6784722222222213</v>
      </c>
      <c r="S94" s="101">
        <v>0.6861111111111101</v>
      </c>
      <c r="T94" s="185">
        <v>7.0</v>
      </c>
      <c r="U94" s="182">
        <v>0.6909722222222212</v>
      </c>
      <c r="V94" s="103">
        <f t="shared" si="40"/>
        <v>72</v>
      </c>
      <c r="W94" s="103">
        <f t="shared" si="46"/>
        <v>90</v>
      </c>
      <c r="X94" s="103">
        <f t="shared" si="42"/>
        <v>18</v>
      </c>
      <c r="Y94" s="104">
        <f t="shared" si="43"/>
        <v>0.25</v>
      </c>
      <c r="Z94" s="142">
        <f t="shared" si="44"/>
        <v>60</v>
      </c>
    </row>
    <row r="95" ht="13.5" customHeight="1">
      <c r="A95" s="127"/>
      <c r="B95" s="141" t="s">
        <v>78</v>
      </c>
      <c r="C95" s="182">
        <v>0.6493055555555545</v>
      </c>
      <c r="D95" s="101">
        <v>0.6562499999999989</v>
      </c>
      <c r="E95" s="101" t="str">
        <f>ARRAY_CONSTRAIN(ARRAYFORMULA(G95+TIME(,OFFSET([2]Segment!$C$77,,$B95,),)), 1, 1)</f>
        <v>#ERROR!</v>
      </c>
      <c r="F95" s="185">
        <v>2.0</v>
      </c>
      <c r="G95" s="101" t="str">
        <f t="shared" si="45"/>
        <v>#ERROR!</v>
      </c>
      <c r="H95" s="101">
        <v>0.6645833333333322</v>
      </c>
      <c r="I95" s="101">
        <v>0.6687499999999988</v>
      </c>
      <c r="J95" s="101">
        <v>0.6743055555555544</v>
      </c>
      <c r="K95" s="185">
        <v>7.0</v>
      </c>
      <c r="L95" s="101">
        <v>0.6791666666666655</v>
      </c>
      <c r="M95" s="101">
        <v>0.6840277777777766</v>
      </c>
      <c r="N95" s="101">
        <v>0.6888888888888877</v>
      </c>
      <c r="O95" s="101" t="str">
        <f>ARRAY_CONSTRAIN(ARRAYFORMULA(Q95+TIME(,OFFSET([2]Segment!$C$83,,$B95,),)), 1, 1)</f>
        <v>#ERROR!</v>
      </c>
      <c r="P95" s="185">
        <v>2.0</v>
      </c>
      <c r="Q95" s="182" t="str">
        <f t="shared" si="39"/>
        <v>#ERROR!</v>
      </c>
      <c r="R95" s="101">
        <v>0.6993055555555543</v>
      </c>
      <c r="S95" s="101">
        <v>0.7069444444444432</v>
      </c>
      <c r="T95" s="185">
        <v>7.0</v>
      </c>
      <c r="U95" s="182">
        <v>0.7118055555555542</v>
      </c>
      <c r="V95" s="103">
        <f t="shared" si="40"/>
        <v>72</v>
      </c>
      <c r="W95" s="103">
        <f t="shared" si="46"/>
        <v>90</v>
      </c>
      <c r="X95" s="103">
        <f t="shared" si="42"/>
        <v>18</v>
      </c>
      <c r="Y95" s="104">
        <f t="shared" si="43"/>
        <v>0.25</v>
      </c>
      <c r="Z95" s="142">
        <f t="shared" si="44"/>
        <v>30</v>
      </c>
    </row>
    <row r="96" ht="13.5" customHeight="1">
      <c r="A96" s="127"/>
      <c r="B96" s="141" t="s">
        <v>78</v>
      </c>
      <c r="C96" s="182">
        <v>0.6909722222222212</v>
      </c>
      <c r="D96" s="101">
        <v>0.6979166666666656</v>
      </c>
      <c r="E96" s="101" t="str">
        <f>ARRAY_CONSTRAIN(ARRAYFORMULA(G96+TIME(,OFFSET([2]Segment!$C$77,,$B96,),)), 1, 1)</f>
        <v>#ERROR!</v>
      </c>
      <c r="F96" s="185">
        <v>2.0</v>
      </c>
      <c r="G96" s="101" t="str">
        <f t="shared" si="45"/>
        <v>#ERROR!</v>
      </c>
      <c r="H96" s="101">
        <v>0.7062499999999989</v>
      </c>
      <c r="I96" s="101">
        <v>0.7104166666666656</v>
      </c>
      <c r="J96" s="101">
        <v>0.7159722222222211</v>
      </c>
      <c r="K96" s="185">
        <v>7.0</v>
      </c>
      <c r="L96" s="101">
        <v>0.7208333333333322</v>
      </c>
      <c r="M96" s="101">
        <v>0.7256944444444433</v>
      </c>
      <c r="N96" s="101">
        <v>0.7305555555555544</v>
      </c>
      <c r="O96" s="101" t="str">
        <f>ARRAY_CONSTRAIN(ARRAYFORMULA(Q96+TIME(,OFFSET([2]Segment!$C$83,,$B96,),)), 1, 1)</f>
        <v>#ERROR!</v>
      </c>
      <c r="P96" s="185">
        <v>2.0</v>
      </c>
      <c r="Q96" s="182" t="str">
        <f t="shared" si="39"/>
        <v>#ERROR!</v>
      </c>
      <c r="R96" s="101">
        <v>0.740972222222221</v>
      </c>
      <c r="S96" s="101">
        <v>0.7486111111111099</v>
      </c>
      <c r="T96" s="185">
        <v>7.0</v>
      </c>
      <c r="U96" s="182">
        <v>0.753472222222221</v>
      </c>
      <c r="V96" s="103">
        <f t="shared" si="40"/>
        <v>72</v>
      </c>
      <c r="W96" s="103">
        <f t="shared" si="46"/>
        <v>90</v>
      </c>
      <c r="X96" s="103">
        <f t="shared" si="42"/>
        <v>18</v>
      </c>
      <c r="Y96" s="104">
        <f t="shared" si="43"/>
        <v>0.25</v>
      </c>
      <c r="Z96" s="142">
        <f t="shared" si="44"/>
        <v>60</v>
      </c>
    </row>
    <row r="97" ht="13.5" customHeight="1">
      <c r="A97" s="127"/>
      <c r="B97" s="141" t="s">
        <v>78</v>
      </c>
      <c r="C97" s="182">
        <v>0.7118055555555542</v>
      </c>
      <c r="D97" s="101">
        <v>0.7187499999999987</v>
      </c>
      <c r="E97" s="101" t="str">
        <f>ARRAY_CONSTRAIN(ARRAYFORMULA(G97+TIME(,OFFSET([2]Segment!$C$77,,$B97,),)), 1, 1)</f>
        <v>#ERROR!</v>
      </c>
      <c r="F97" s="185">
        <v>2.0</v>
      </c>
      <c r="G97" s="101" t="str">
        <f t="shared" si="45"/>
        <v>#ERROR!</v>
      </c>
      <c r="H97" s="101">
        <v>0.727083333333332</v>
      </c>
      <c r="I97" s="101">
        <v>0.7312499999999986</v>
      </c>
      <c r="J97" s="101">
        <v>0.7368055555555542</v>
      </c>
      <c r="K97" s="185">
        <v>7.0</v>
      </c>
      <c r="L97" s="101">
        <v>0.7416666666666653</v>
      </c>
      <c r="M97" s="101">
        <v>0.7465277777777763</v>
      </c>
      <c r="N97" s="101">
        <v>0.7513888888888874</v>
      </c>
      <c r="O97" s="101" t="str">
        <f>ARRAY_CONSTRAIN(ARRAYFORMULA(Q97+TIME(,OFFSET([2]Segment!$C$83,,$B97,),)), 1, 1)</f>
        <v>#ERROR!</v>
      </c>
      <c r="P97" s="185">
        <v>2.0</v>
      </c>
      <c r="Q97" s="182" t="str">
        <f t="shared" si="39"/>
        <v>#ERROR!</v>
      </c>
      <c r="R97" s="101">
        <v>0.7618055555555541</v>
      </c>
      <c r="S97" s="101">
        <v>0.7694444444444429</v>
      </c>
      <c r="T97" s="185">
        <v>7.0</v>
      </c>
      <c r="U97" s="182">
        <v>0.774305555555554</v>
      </c>
      <c r="V97" s="103">
        <f t="shared" si="40"/>
        <v>72</v>
      </c>
      <c r="W97" s="103">
        <f t="shared" si="46"/>
        <v>90</v>
      </c>
      <c r="X97" s="103">
        <f t="shared" si="42"/>
        <v>18</v>
      </c>
      <c r="Y97" s="104">
        <f t="shared" si="43"/>
        <v>0.25</v>
      </c>
      <c r="Z97" s="142">
        <f t="shared" si="44"/>
        <v>30</v>
      </c>
    </row>
    <row r="98" ht="13.5" customHeight="1">
      <c r="A98" s="127"/>
      <c r="B98" s="141" t="s">
        <v>79</v>
      </c>
      <c r="C98" s="182">
        <v>0.753472222222221</v>
      </c>
      <c r="D98" s="101">
        <v>0.7611111111111099</v>
      </c>
      <c r="E98" s="101" t="str">
        <f>ARRAY_CONSTRAIN(ARRAYFORMULA(G98+TIME(,OFFSET([2]Segment!$C$77,,$B98,),)), 1, 1)</f>
        <v>#ERROR!</v>
      </c>
      <c r="F98" s="185">
        <v>2.0</v>
      </c>
      <c r="G98" s="101" t="str">
        <f t="shared" si="45"/>
        <v>#ERROR!</v>
      </c>
      <c r="H98" s="101">
        <v>0.7694444444444432</v>
      </c>
      <c r="I98" s="101">
        <v>0.7736111111111098</v>
      </c>
      <c r="J98" s="101">
        <v>0.7791666666666653</v>
      </c>
      <c r="K98" s="185">
        <v>6.0</v>
      </c>
      <c r="L98" s="101">
        <v>0.783333333333332</v>
      </c>
      <c r="M98" s="101">
        <v>0.7874999999999986</v>
      </c>
      <c r="N98" s="101">
        <v>0.7916666666666653</v>
      </c>
      <c r="O98" s="101" t="str">
        <f>ARRAY_CONSTRAIN(ARRAYFORMULA(Q98+TIME(,OFFSET([2]Segment!$C$83,,$B98,),)), 1, 1)</f>
        <v>#ERROR!</v>
      </c>
      <c r="P98" s="185">
        <v>2.0</v>
      </c>
      <c r="Q98" s="182" t="str">
        <f t="shared" si="39"/>
        <v>#ERROR!</v>
      </c>
      <c r="R98" s="101">
        <v>0.800694444444443</v>
      </c>
      <c r="S98" s="101">
        <v>0.8083333333333319</v>
      </c>
      <c r="T98" s="185">
        <v>11.0</v>
      </c>
      <c r="U98" s="182">
        <v>0.8159722222222208</v>
      </c>
      <c r="V98" s="103">
        <f t="shared" si="40"/>
        <v>69</v>
      </c>
      <c r="W98" s="103">
        <f t="shared" si="46"/>
        <v>90</v>
      </c>
      <c r="X98" s="103">
        <f t="shared" si="42"/>
        <v>21</v>
      </c>
      <c r="Y98" s="104">
        <f t="shared" si="43"/>
        <v>0.3043478261</v>
      </c>
      <c r="Z98" s="142">
        <f t="shared" si="44"/>
        <v>60</v>
      </c>
    </row>
    <row r="99" ht="13.5" customHeight="1">
      <c r="A99" s="127"/>
      <c r="B99" s="141" t="s">
        <v>79</v>
      </c>
      <c r="C99" s="182">
        <v>0.774305555555554</v>
      </c>
      <c r="D99" s="101">
        <v>0.7819444444444429</v>
      </c>
      <c r="E99" s="101" t="str">
        <f>ARRAY_CONSTRAIN(ARRAYFORMULA(G99+TIME(,OFFSET([2]Segment!$C$77,,$B99,),)), 1, 1)</f>
        <v>#ERROR!</v>
      </c>
      <c r="F99" s="185">
        <v>2.0</v>
      </c>
      <c r="G99" s="101" t="str">
        <f t="shared" si="45"/>
        <v>#ERROR!</v>
      </c>
      <c r="H99" s="101">
        <v>0.7902777777777762</v>
      </c>
      <c r="I99" s="101">
        <v>0.7944444444444428</v>
      </c>
      <c r="J99" s="101">
        <v>0.7999999999999984</v>
      </c>
      <c r="K99" s="185">
        <v>6.0</v>
      </c>
      <c r="L99" s="101">
        <v>0.804166666666665</v>
      </c>
      <c r="M99" s="101">
        <v>0.8083333333333317</v>
      </c>
      <c r="N99" s="101">
        <v>0.8124999999999983</v>
      </c>
      <c r="O99" s="101" t="str">
        <f>ARRAY_CONSTRAIN(ARRAYFORMULA(Q99+TIME(,OFFSET([2]Segment!$C$83,,$B99,),)), 1, 1)</f>
        <v>#ERROR!</v>
      </c>
      <c r="P99" s="185">
        <v>2.0</v>
      </c>
      <c r="Q99" s="182" t="str">
        <f t="shared" si="39"/>
        <v>#ERROR!</v>
      </c>
      <c r="R99" s="101">
        <v>0.8215277777777761</v>
      </c>
      <c r="S99" s="101">
        <v>0.8291666666666649</v>
      </c>
      <c r="T99" s="185">
        <v>11.0</v>
      </c>
      <c r="U99" s="182">
        <v>0.8368055555555538</v>
      </c>
      <c r="V99" s="103">
        <f t="shared" si="40"/>
        <v>69</v>
      </c>
      <c r="W99" s="103">
        <f t="shared" si="46"/>
        <v>90</v>
      </c>
      <c r="X99" s="103">
        <f t="shared" si="42"/>
        <v>21</v>
      </c>
      <c r="Y99" s="104">
        <f t="shared" si="43"/>
        <v>0.3043478261</v>
      </c>
      <c r="Z99" s="142">
        <f t="shared" si="44"/>
        <v>30</v>
      </c>
    </row>
    <row r="100" ht="13.5" customHeight="1">
      <c r="A100" s="127"/>
      <c r="B100" s="141" t="s">
        <v>79</v>
      </c>
      <c r="C100" s="182">
        <v>0.8159722222222208</v>
      </c>
      <c r="D100" s="101">
        <v>0.8236111111111096</v>
      </c>
      <c r="E100" s="101" t="str">
        <f>ARRAY_CONSTRAIN(ARRAYFORMULA(G100+TIME(,OFFSET([2]Segment!$C$77,,$B100,),)), 1, 1)</f>
        <v>#ERROR!</v>
      </c>
      <c r="F100" s="185">
        <v>2.0</v>
      </c>
      <c r="G100" s="101" t="str">
        <f t="shared" si="45"/>
        <v>#ERROR!</v>
      </c>
      <c r="H100" s="101">
        <v>0.8319444444444429</v>
      </c>
      <c r="I100" s="101">
        <v>0.8361111111111096</v>
      </c>
      <c r="J100" s="101">
        <v>0.8416666666666651</v>
      </c>
      <c r="K100" s="185">
        <v>6.0</v>
      </c>
      <c r="L100" s="101">
        <v>0.8458333333333318</v>
      </c>
      <c r="M100" s="101">
        <v>0.8499999999999984</v>
      </c>
      <c r="N100" s="101">
        <v>0.8541666666666651</v>
      </c>
      <c r="O100" s="101" t="str">
        <f>ARRAY_CONSTRAIN(ARRAYFORMULA(Q100+TIME(,OFFSET([2]Segment!$C$83,,$B100,),)), 1, 1)</f>
        <v>#ERROR!</v>
      </c>
      <c r="P100" s="185">
        <v>2.0</v>
      </c>
      <c r="Q100" s="182" t="str">
        <f t="shared" si="39"/>
        <v>#ERROR!</v>
      </c>
      <c r="R100" s="101">
        <v>0.8631944444444428</v>
      </c>
      <c r="S100" s="101">
        <v>0.8708333333333317</v>
      </c>
      <c r="T100" s="185">
        <v>11.0</v>
      </c>
      <c r="U100" s="182">
        <v>0.8784722222222205</v>
      </c>
      <c r="V100" s="103">
        <f t="shared" si="40"/>
        <v>69</v>
      </c>
      <c r="W100" s="103">
        <f t="shared" si="46"/>
        <v>90</v>
      </c>
      <c r="X100" s="103">
        <f t="shared" si="42"/>
        <v>21</v>
      </c>
      <c r="Y100" s="104">
        <f t="shared" si="43"/>
        <v>0.3043478261</v>
      </c>
      <c r="Z100" s="142">
        <f t="shared" si="44"/>
        <v>60</v>
      </c>
    </row>
    <row r="101" ht="15.0" customHeight="1">
      <c r="A101" s="127"/>
      <c r="B101" s="141" t="s">
        <v>98</v>
      </c>
      <c r="C101" s="182">
        <v>0.8368055555555538</v>
      </c>
      <c r="D101" s="101">
        <v>0.8430555555555538</v>
      </c>
      <c r="E101" s="101" t="str">
        <f>ARRAY_CONSTRAIN(ARRAYFORMULA(G101+TIME(,OFFSET([2]Segment!$C$77,,$B101,),)), 1, 1)</f>
        <v>#ERROR!</v>
      </c>
      <c r="F101" s="185">
        <v>2.0</v>
      </c>
      <c r="G101" s="101" t="str">
        <f t="shared" si="45"/>
        <v>#ERROR!</v>
      </c>
      <c r="H101" s="101">
        <v>0.8513888888888871</v>
      </c>
      <c r="I101" s="101">
        <v>0.8555555555555537</v>
      </c>
      <c r="J101" s="101">
        <v>0.8611111111111093</v>
      </c>
      <c r="K101" s="185">
        <v>8.0</v>
      </c>
      <c r="L101" s="101">
        <v>0.8666666666666648</v>
      </c>
      <c r="M101" s="101">
        <v>0.8708333333333315</v>
      </c>
      <c r="N101" s="101">
        <v>0.8743055555555537</v>
      </c>
      <c r="O101" s="101" t="str">
        <f>ARRAY_CONSTRAIN(ARRAYFORMULA(Q101+TIME(,OFFSET([2]Segment!$C$83,,$B101,),)), 1, 1)</f>
        <v>#ERROR!</v>
      </c>
      <c r="P101" s="185">
        <v>2.0</v>
      </c>
      <c r="Q101" s="182" t="str">
        <f t="shared" si="39"/>
        <v>#ERROR!</v>
      </c>
      <c r="R101" s="101">
        <v>0.8847222222222203</v>
      </c>
      <c r="S101" s="101">
        <v>0.8909722222222203</v>
      </c>
      <c r="T101" s="185">
        <v>12.0</v>
      </c>
      <c r="U101" s="182">
        <v>0.8993055555555536</v>
      </c>
      <c r="V101" s="103">
        <f t="shared" si="40"/>
        <v>66</v>
      </c>
      <c r="W101" s="103">
        <f t="shared" si="46"/>
        <v>90</v>
      </c>
      <c r="X101" s="103">
        <f t="shared" si="42"/>
        <v>24</v>
      </c>
      <c r="Y101" s="104">
        <f t="shared" si="43"/>
        <v>0.3636363636</v>
      </c>
      <c r="Z101" s="142">
        <f t="shared" si="44"/>
        <v>30</v>
      </c>
    </row>
    <row r="102" ht="13.5" customHeight="1">
      <c r="A102" s="127"/>
      <c r="B102" s="141" t="s">
        <v>98</v>
      </c>
      <c r="C102" s="182">
        <v>0.8784722222222205</v>
      </c>
      <c r="D102" s="101">
        <v>0.8847222222222205</v>
      </c>
      <c r="E102" s="101" t="str">
        <f>ARRAY_CONSTRAIN(ARRAYFORMULA(G102+TIME(,OFFSET([2]Segment!$C$77,,$B102,),)), 1, 1)</f>
        <v>#ERROR!</v>
      </c>
      <c r="F102" s="185">
        <v>2.0</v>
      </c>
      <c r="G102" s="101" t="str">
        <f t="shared" si="45"/>
        <v>#ERROR!</v>
      </c>
      <c r="H102" s="101">
        <v>0.8930555555555538</v>
      </c>
      <c r="I102" s="101">
        <v>0.8972222222222205</v>
      </c>
      <c r="J102" s="101">
        <v>0.902777777777776</v>
      </c>
      <c r="K102" s="185">
        <v>8.0</v>
      </c>
      <c r="L102" s="101">
        <v>0.9083333333333315</v>
      </c>
      <c r="M102" s="101">
        <v>0.9124999999999982</v>
      </c>
      <c r="N102" s="101">
        <v>0.9159722222222204</v>
      </c>
      <c r="O102" s="101" t="str">
        <f>ARRAY_CONSTRAIN(ARRAYFORMULA(Q102+TIME(,OFFSET([2]Segment!$C$83,,$B102,),)), 1, 1)</f>
        <v>#ERROR!</v>
      </c>
      <c r="P102" s="185">
        <v>2.0</v>
      </c>
      <c r="Q102" s="182" t="str">
        <f t="shared" si="39"/>
        <v>#ERROR!</v>
      </c>
      <c r="R102" s="101">
        <v>0.926388888888887</v>
      </c>
      <c r="S102" s="101">
        <v>0.932638888888887</v>
      </c>
      <c r="T102" s="185"/>
      <c r="U102" s="107" t="s">
        <v>80</v>
      </c>
      <c r="V102" s="103">
        <f t="shared" si="40"/>
        <v>66</v>
      </c>
      <c r="W102" s="103">
        <f>(S102-C102)*1440</f>
        <v>78</v>
      </c>
      <c r="X102" s="103">
        <f t="shared" si="42"/>
        <v>12</v>
      </c>
      <c r="Y102" s="104">
        <f t="shared" si="43"/>
        <v>0.1818181818</v>
      </c>
      <c r="Z102" s="142">
        <f>(S102-S101)*1440</f>
        <v>60</v>
      </c>
    </row>
    <row r="103" ht="13.5" customHeight="1">
      <c r="A103" s="156"/>
      <c r="B103" s="141" t="s">
        <v>98</v>
      </c>
      <c r="C103" s="182">
        <v>0.8993055555555536</v>
      </c>
      <c r="D103" s="101">
        <v>0.9055555555555536</v>
      </c>
      <c r="E103" s="101" t="str">
        <f>ARRAY_CONSTRAIN(ARRAYFORMULA(G103+TIME(,OFFSET([2]Segment!$C$77,,$B103,),)), 1, 1)</f>
        <v>#ERROR!</v>
      </c>
      <c r="F103" s="185">
        <v>2.0</v>
      </c>
      <c r="G103" s="101" t="str">
        <f t="shared" si="45"/>
        <v>#ERROR!</v>
      </c>
      <c r="H103" s="101">
        <v>0.9138888888888869</v>
      </c>
      <c r="I103" s="101">
        <v>0.9180555555555535</v>
      </c>
      <c r="J103" s="101">
        <v>0.923611111111109</v>
      </c>
      <c r="K103" s="185"/>
      <c r="L103" s="107" t="s">
        <v>80</v>
      </c>
      <c r="M103" s="101"/>
      <c r="N103" s="101"/>
      <c r="O103" s="101"/>
      <c r="P103" s="185"/>
      <c r="Q103" s="182"/>
      <c r="R103" s="101"/>
      <c r="S103" s="101"/>
      <c r="T103" s="185"/>
      <c r="U103" s="182"/>
      <c r="V103" s="103">
        <f t="shared" si="40"/>
        <v>33</v>
      </c>
      <c r="W103" s="103">
        <f>(J103-C103)*1440</f>
        <v>35</v>
      </c>
      <c r="X103" s="103">
        <f t="shared" si="42"/>
        <v>2</v>
      </c>
      <c r="Y103" s="104">
        <f t="shared" si="43"/>
        <v>0.06060606061</v>
      </c>
      <c r="Z103" s="142">
        <f>(J103-J102)*1440</f>
        <v>30</v>
      </c>
    </row>
    <row r="104" ht="13.5" customHeight="1">
      <c r="F104" s="109">
        <f>SUM(F87:F103)</f>
        <v>34</v>
      </c>
      <c r="K104" s="109">
        <f>SUM(K87:K103)</f>
        <v>113</v>
      </c>
      <c r="P104" s="109">
        <f>SUM(P87:P103)</f>
        <v>32</v>
      </c>
      <c r="S104" s="110" t="s">
        <v>81</v>
      </c>
      <c r="V104" s="159">
        <f t="shared" ref="V104:X104" si="47">SUM(V85:V103)/60</f>
        <v>20.96666667</v>
      </c>
      <c r="W104" s="112">
        <f t="shared" si="47"/>
        <v>26.68333333</v>
      </c>
      <c r="X104" s="159">
        <f t="shared" si="47"/>
        <v>5.716666667</v>
      </c>
      <c r="Y104" s="104">
        <f t="shared" si="43"/>
        <v>0.2726550079</v>
      </c>
    </row>
    <row r="105" ht="13.5" customHeight="1"/>
    <row r="106" ht="13.5" customHeight="1"/>
    <row r="107" ht="13.5" customHeight="1"/>
    <row r="108" ht="13.5" customHeight="1">
      <c r="C108" s="172" t="s">
        <v>114</v>
      </c>
      <c r="D108" s="172"/>
      <c r="E108" s="172"/>
      <c r="F108" s="172"/>
      <c r="G108" s="172"/>
      <c r="H108" s="172"/>
      <c r="I108" s="172"/>
    </row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C43:J43"/>
    <mergeCell ref="F44:F45"/>
    <mergeCell ref="A42:A78"/>
    <mergeCell ref="A80:A103"/>
    <mergeCell ref="C81:J81"/>
    <mergeCell ref="F82:F83"/>
    <mergeCell ref="S104:U104"/>
    <mergeCell ref="L81:S81"/>
    <mergeCell ref="A1:A38"/>
    <mergeCell ref="C1:J1"/>
    <mergeCell ref="L1:S1"/>
    <mergeCell ref="F2:F3"/>
    <mergeCell ref="S39:U39"/>
    <mergeCell ref="S41:U41"/>
    <mergeCell ref="S79:U79"/>
    <mergeCell ref="L43:S43"/>
  </mergeCells>
  <conditionalFormatting sqref="A1:A40 B4 A42:A78 B46 A80 B84">
    <cfRule type="containsText" dxfId="3" priority="1" operator="containsText" text="Night">
      <formula>NOT(ISERROR(SEARCH(("Night"),(A1))))</formula>
    </cfRule>
  </conditionalFormatting>
  <conditionalFormatting sqref="A1:A40 B4 A42:A78 B46 A80 B84">
    <cfRule type="containsText" dxfId="4" priority="2" operator="containsText" text="Evening">
      <formula>NOT(ISERROR(SEARCH(("Evening"),(A1))))</formula>
    </cfRule>
  </conditionalFormatting>
  <conditionalFormatting sqref="A1:A40 B4 A42:A78 B46 A80 B84">
    <cfRule type="containsText" dxfId="5" priority="3" operator="containsText" text="Peak">
      <formula>NOT(ISERROR(SEARCH(("Peak"),(A1))))</formula>
    </cfRule>
  </conditionalFormatting>
  <conditionalFormatting sqref="A1:A40 B4 A42:A78 B46 A80 B84">
    <cfRule type="containsText" dxfId="1" priority="4" operator="containsText" text="Afternoon">
      <formula>NOT(ISERROR(SEARCH(("Afternoon"),(A1))))</formula>
    </cfRule>
  </conditionalFormatting>
  <conditionalFormatting sqref="A1:A40 B4 A42:A78 B46 A80 B84">
    <cfRule type="containsText" dxfId="2" priority="5" operator="containsText" text="Morning">
      <formula>NOT(ISERROR(SEARCH(("Morning"),(A1))))</formula>
    </cfRule>
  </conditionalFormatting>
  <conditionalFormatting sqref="B5:B38 B47:B78 B85:B103">
    <cfRule type="containsText" dxfId="0" priority="6" operator="containsText" text="Early Morning">
      <formula>NOT(ISERROR(SEARCH(("Early Morning"),(B5))))</formula>
    </cfRule>
  </conditionalFormatting>
  <conditionalFormatting sqref="B5:B38 B47:B78 B85:B103">
    <cfRule type="containsText" dxfId="1" priority="7" operator="containsText" text="Midday">
      <formula>NOT(ISERROR(SEARCH(("Midday"),(B5))))</formula>
    </cfRule>
  </conditionalFormatting>
  <conditionalFormatting sqref="B5:B38 B47:B78 B85:B103">
    <cfRule type="containsText" dxfId="2" priority="8" operator="containsText" text="Morning">
      <formula>NOT(ISERROR(SEARCH(("Morning"),(B5))))</formula>
    </cfRule>
  </conditionalFormatting>
  <conditionalFormatting sqref="B5:B38 B47:B78 B85:B103">
    <cfRule type="containsText" dxfId="3" priority="9" operator="containsText" text="Night">
      <formula>NOT(ISERROR(SEARCH(("Night"),(B5))))</formula>
    </cfRule>
  </conditionalFormatting>
  <conditionalFormatting sqref="B5:B38 B47:B78 B85:B103">
    <cfRule type="containsText" dxfId="4" priority="10" operator="containsText" text="Evening">
      <formula>NOT(ISERROR(SEARCH(("Evening"),(B5))))</formula>
    </cfRule>
  </conditionalFormatting>
  <conditionalFormatting sqref="B5:B38 B47:B78 B85:B103">
    <cfRule type="containsText" dxfId="5" priority="11" operator="containsText" text="Peak">
      <formula>NOT(ISERROR(SEARCH(("Peak"),(B5))))</formula>
    </cfRule>
  </conditionalFormatting>
  <conditionalFormatting sqref="B1:B4">
    <cfRule type="containsText" dxfId="0" priority="12" operator="containsText" text="Early Morning">
      <formula>NOT(ISERROR(SEARCH(("Early Morning"),(B1))))</formula>
    </cfRule>
  </conditionalFormatting>
  <conditionalFormatting sqref="B42:B46">
    <cfRule type="containsText" dxfId="0" priority="13" operator="containsText" text="Early Morning">
      <formula>NOT(ISERROR(SEARCH(("Early Morning"),(B42))))</formula>
    </cfRule>
  </conditionalFormatting>
  <conditionalFormatting sqref="B81:B84">
    <cfRule type="containsText" dxfId="0" priority="14" operator="containsText" text="Early Morning">
      <formula>NOT(ISERROR(SEARCH(("Early Morning"),(B81))))</formula>
    </cfRule>
  </conditionalFormatting>
  <conditionalFormatting sqref="C1">
    <cfRule type="containsText" dxfId="3" priority="15" operator="containsText" text="Night">
      <formula>NOT(ISERROR(SEARCH(("Night"),(C1))))</formula>
    </cfRule>
  </conditionalFormatting>
  <conditionalFormatting sqref="C1">
    <cfRule type="containsText" dxfId="4" priority="16" operator="containsText" text="Evening">
      <formula>NOT(ISERROR(SEARCH(("Evening"),(C1))))</formula>
    </cfRule>
  </conditionalFormatting>
  <conditionalFormatting sqref="C1">
    <cfRule type="containsText" dxfId="5" priority="17" operator="containsText" text="Peak">
      <formula>NOT(ISERROR(SEARCH(("Peak"),(C1))))</formula>
    </cfRule>
  </conditionalFormatting>
  <conditionalFormatting sqref="C1">
    <cfRule type="containsText" dxfId="1" priority="18" operator="containsText" text="Afternoon">
      <formula>NOT(ISERROR(SEARCH(("Afternoon"),(C1))))</formula>
    </cfRule>
  </conditionalFormatting>
  <conditionalFormatting sqref="C1">
    <cfRule type="containsText" dxfId="2" priority="19" operator="containsText" text="Morning">
      <formula>NOT(ISERROR(SEARCH(("Morning"),(C1))))</formula>
    </cfRule>
  </conditionalFormatting>
  <conditionalFormatting sqref="C43">
    <cfRule type="containsText" dxfId="3" priority="20" operator="containsText" text="Night">
      <formula>NOT(ISERROR(SEARCH(("Night"),(C43))))</formula>
    </cfRule>
  </conditionalFormatting>
  <conditionalFormatting sqref="C43">
    <cfRule type="containsText" dxfId="4" priority="21" operator="containsText" text="Evening">
      <formula>NOT(ISERROR(SEARCH(("Evening"),(C43))))</formula>
    </cfRule>
  </conditionalFormatting>
  <conditionalFormatting sqref="C43">
    <cfRule type="containsText" dxfId="5" priority="22" operator="containsText" text="Peak">
      <formula>NOT(ISERROR(SEARCH(("Peak"),(C43))))</formula>
    </cfRule>
  </conditionalFormatting>
  <conditionalFormatting sqref="C43">
    <cfRule type="containsText" dxfId="1" priority="23" operator="containsText" text="Afternoon">
      <formula>NOT(ISERROR(SEARCH(("Afternoon"),(C43))))</formula>
    </cfRule>
  </conditionalFormatting>
  <conditionalFormatting sqref="C43">
    <cfRule type="containsText" dxfId="2" priority="24" operator="containsText" text="Morning">
      <formula>NOT(ISERROR(SEARCH(("Morning"),(C43))))</formula>
    </cfRule>
  </conditionalFormatting>
  <conditionalFormatting sqref="C81">
    <cfRule type="containsText" dxfId="3" priority="25" operator="containsText" text="Night">
      <formula>NOT(ISERROR(SEARCH(("Night"),(C81))))</formula>
    </cfRule>
  </conditionalFormatting>
  <conditionalFormatting sqref="C81">
    <cfRule type="containsText" dxfId="4" priority="26" operator="containsText" text="Evening">
      <formula>NOT(ISERROR(SEARCH(("Evening"),(C81))))</formula>
    </cfRule>
  </conditionalFormatting>
  <conditionalFormatting sqref="C81">
    <cfRule type="containsText" dxfId="5" priority="27" operator="containsText" text="Peak">
      <formula>NOT(ISERROR(SEARCH(("Peak"),(C81))))</formula>
    </cfRule>
  </conditionalFormatting>
  <conditionalFormatting sqref="C81">
    <cfRule type="containsText" dxfId="1" priority="28" operator="containsText" text="Afternoon">
      <formula>NOT(ISERROR(SEARCH(("Afternoon"),(C81))))</formula>
    </cfRule>
  </conditionalFormatting>
  <conditionalFormatting sqref="C81">
    <cfRule type="containsText" dxfId="2" priority="29" operator="containsText" text="Morning">
      <formula>NOT(ISERROR(SEARCH(("Morning"),(C81))))</formula>
    </cfRule>
  </conditionalFormatting>
  <conditionalFormatting sqref="D7:G38">
    <cfRule type="containsText" dxfId="3" priority="30" operator="containsText" text="Night">
      <formula>NOT(ISERROR(SEARCH(("Night"),(D7))))</formula>
    </cfRule>
  </conditionalFormatting>
  <conditionalFormatting sqref="D7:G38">
    <cfRule type="containsText" dxfId="4" priority="31" operator="containsText" text="Evening">
      <formula>NOT(ISERROR(SEARCH(("Evening"),(D7))))</formula>
    </cfRule>
  </conditionalFormatting>
  <conditionalFormatting sqref="D7:G38">
    <cfRule type="containsText" dxfId="5" priority="32" operator="containsText" text="Peak">
      <formula>NOT(ISERROR(SEARCH(("Peak"),(D7))))</formula>
    </cfRule>
  </conditionalFormatting>
  <conditionalFormatting sqref="D7:G38">
    <cfRule type="containsText" dxfId="1" priority="33" operator="containsText" text="Afternoon">
      <formula>NOT(ISERROR(SEARCH(("Afternoon"),(D7))))</formula>
    </cfRule>
  </conditionalFormatting>
  <conditionalFormatting sqref="D7:G38">
    <cfRule type="containsText" dxfId="2" priority="34" operator="containsText" text="Morning">
      <formula>NOT(ISERROR(SEARCH(("Morning"),(D7))))</formula>
    </cfRule>
  </conditionalFormatting>
  <conditionalFormatting sqref="D49:G78">
    <cfRule type="containsText" dxfId="3" priority="35" operator="containsText" text="Night">
      <formula>NOT(ISERROR(SEARCH(("Night"),(D49))))</formula>
    </cfRule>
  </conditionalFormatting>
  <conditionalFormatting sqref="D49:G78">
    <cfRule type="containsText" dxfId="4" priority="36" operator="containsText" text="Evening">
      <formula>NOT(ISERROR(SEARCH(("Evening"),(D49))))</formula>
    </cfRule>
  </conditionalFormatting>
  <conditionalFormatting sqref="D49:G78">
    <cfRule type="containsText" dxfId="5" priority="37" operator="containsText" text="Peak">
      <formula>NOT(ISERROR(SEARCH(("Peak"),(D49))))</formula>
    </cfRule>
  </conditionalFormatting>
  <conditionalFormatting sqref="D49:G78">
    <cfRule type="containsText" dxfId="1" priority="38" operator="containsText" text="Afternoon">
      <formula>NOT(ISERROR(SEARCH(("Afternoon"),(D49))))</formula>
    </cfRule>
  </conditionalFormatting>
  <conditionalFormatting sqref="D49:G78">
    <cfRule type="containsText" dxfId="2" priority="39" operator="containsText" text="Morning">
      <formula>NOT(ISERROR(SEARCH(("Morning"),(D49))))</formula>
    </cfRule>
  </conditionalFormatting>
  <conditionalFormatting sqref="D87:G103">
    <cfRule type="containsText" dxfId="3" priority="40" operator="containsText" text="Night">
      <formula>NOT(ISERROR(SEARCH(("Night"),(D87))))</formula>
    </cfRule>
  </conditionalFormatting>
  <conditionalFormatting sqref="D87:G103">
    <cfRule type="containsText" dxfId="4" priority="41" operator="containsText" text="Evening">
      <formula>NOT(ISERROR(SEARCH(("Evening"),(D87))))</formula>
    </cfRule>
  </conditionalFormatting>
  <conditionalFormatting sqref="D87:G103">
    <cfRule type="containsText" dxfId="5" priority="42" operator="containsText" text="Peak">
      <formula>NOT(ISERROR(SEARCH(("Peak"),(D87))))</formula>
    </cfRule>
  </conditionalFormatting>
  <conditionalFormatting sqref="D87:G103">
    <cfRule type="containsText" dxfId="1" priority="43" operator="containsText" text="Afternoon">
      <formula>NOT(ISERROR(SEARCH(("Afternoon"),(D87))))</formula>
    </cfRule>
  </conditionalFormatting>
  <conditionalFormatting sqref="D87:G103">
    <cfRule type="containsText" dxfId="2" priority="44" operator="containsText" text="Morning">
      <formula>NOT(ISERROR(SEARCH(("Morning"),(D87))))</formula>
    </cfRule>
  </conditionalFormatting>
  <conditionalFormatting sqref="H6:H36">
    <cfRule type="containsText" dxfId="3" priority="45" operator="containsText" text="Night">
      <formula>NOT(ISERROR(SEARCH(("Night"),(H6))))</formula>
    </cfRule>
  </conditionalFormatting>
  <conditionalFormatting sqref="H6:H36">
    <cfRule type="containsText" dxfId="4" priority="46" operator="containsText" text="Evening">
      <formula>NOT(ISERROR(SEARCH(("Evening"),(H6))))</formula>
    </cfRule>
  </conditionalFormatting>
  <conditionalFormatting sqref="H6:H36">
    <cfRule type="containsText" dxfId="5" priority="47" operator="containsText" text="Peak">
      <formula>NOT(ISERROR(SEARCH(("Peak"),(H6))))</formula>
    </cfRule>
  </conditionalFormatting>
  <conditionalFormatting sqref="H6:H36">
    <cfRule type="containsText" dxfId="1" priority="48" operator="containsText" text="Afternoon">
      <formula>NOT(ISERROR(SEARCH(("Afternoon"),(H6))))</formula>
    </cfRule>
  </conditionalFormatting>
  <conditionalFormatting sqref="H6:H36">
    <cfRule type="containsText" dxfId="2" priority="49" operator="containsText" text="Morning">
      <formula>NOT(ISERROR(SEARCH(("Morning"),(H6))))</formula>
    </cfRule>
  </conditionalFormatting>
  <conditionalFormatting sqref="H48:H78">
    <cfRule type="containsText" dxfId="3" priority="50" operator="containsText" text="Night">
      <formula>NOT(ISERROR(SEARCH(("Night"),(H48))))</formula>
    </cfRule>
  </conditionalFormatting>
  <conditionalFormatting sqref="H48:H78">
    <cfRule type="containsText" dxfId="4" priority="51" operator="containsText" text="Evening">
      <formula>NOT(ISERROR(SEARCH(("Evening"),(H48))))</formula>
    </cfRule>
  </conditionalFormatting>
  <conditionalFormatting sqref="H48:H78">
    <cfRule type="containsText" dxfId="5" priority="52" operator="containsText" text="Peak">
      <formula>NOT(ISERROR(SEARCH(("Peak"),(H48))))</formula>
    </cfRule>
  </conditionalFormatting>
  <conditionalFormatting sqref="H48:H78">
    <cfRule type="containsText" dxfId="1" priority="53" operator="containsText" text="Afternoon">
      <formula>NOT(ISERROR(SEARCH(("Afternoon"),(H48))))</formula>
    </cfRule>
  </conditionalFormatting>
  <conditionalFormatting sqref="H48:H78">
    <cfRule type="containsText" dxfId="2" priority="54" operator="containsText" text="Morning">
      <formula>NOT(ISERROR(SEARCH(("Morning"),(H48))))</formula>
    </cfRule>
  </conditionalFormatting>
  <conditionalFormatting sqref="H86:H103">
    <cfRule type="containsText" dxfId="3" priority="55" operator="containsText" text="Night">
      <formula>NOT(ISERROR(SEARCH(("Night"),(H86))))</formula>
    </cfRule>
  </conditionalFormatting>
  <conditionalFormatting sqref="H86:H103">
    <cfRule type="containsText" dxfId="4" priority="56" operator="containsText" text="Evening">
      <formula>NOT(ISERROR(SEARCH(("Evening"),(H86))))</formula>
    </cfRule>
  </conditionalFormatting>
  <conditionalFormatting sqref="H86:H103">
    <cfRule type="containsText" dxfId="5" priority="57" operator="containsText" text="Peak">
      <formula>NOT(ISERROR(SEARCH(("Peak"),(H86))))</formula>
    </cfRule>
  </conditionalFormatting>
  <conditionalFormatting sqref="H86:H103">
    <cfRule type="containsText" dxfId="1" priority="58" operator="containsText" text="Afternoon">
      <formula>NOT(ISERROR(SEARCH(("Afternoon"),(H86))))</formula>
    </cfRule>
  </conditionalFormatting>
  <conditionalFormatting sqref="H86:H103">
    <cfRule type="containsText" dxfId="2" priority="59" operator="containsText" text="Morning">
      <formula>NOT(ISERROR(SEARCH(("Morning"),(H86))))</formula>
    </cfRule>
  </conditionalFormatting>
  <conditionalFormatting sqref="I5:J38 H37:H38">
    <cfRule type="containsText" dxfId="3" priority="60" operator="containsText" text="Night">
      <formula>NOT(ISERROR(SEARCH(("Night"),(I5))))</formula>
    </cfRule>
  </conditionalFormatting>
  <conditionalFormatting sqref="I5:J38 H37:H38">
    <cfRule type="containsText" dxfId="4" priority="61" operator="containsText" text="Evening">
      <formula>NOT(ISERROR(SEARCH(("Evening"),(I5))))</formula>
    </cfRule>
  </conditionalFormatting>
  <conditionalFormatting sqref="I5:J38 H37:H38">
    <cfRule type="containsText" dxfId="5" priority="62" operator="containsText" text="Peak">
      <formula>NOT(ISERROR(SEARCH(("Peak"),(I5))))</formula>
    </cfRule>
  </conditionalFormatting>
  <conditionalFormatting sqref="I5:J38 H37:H38">
    <cfRule type="containsText" dxfId="1" priority="63" operator="containsText" text="Afternoon">
      <formula>NOT(ISERROR(SEARCH(("Afternoon"),(I5))))</formula>
    </cfRule>
  </conditionalFormatting>
  <conditionalFormatting sqref="I5:J38 H37:H38">
    <cfRule type="containsText" dxfId="2" priority="64" operator="containsText" text="Morning">
      <formula>NOT(ISERROR(SEARCH(("Morning"),(I5))))</formula>
    </cfRule>
  </conditionalFormatting>
  <conditionalFormatting sqref="I47:K78">
    <cfRule type="containsText" dxfId="3" priority="65" operator="containsText" text="Night">
      <formula>NOT(ISERROR(SEARCH(("Night"),(I47))))</formula>
    </cfRule>
  </conditionalFormatting>
  <conditionalFormatting sqref="I47:K78">
    <cfRule type="containsText" dxfId="4" priority="66" operator="containsText" text="Evening">
      <formula>NOT(ISERROR(SEARCH(("Evening"),(I47))))</formula>
    </cfRule>
  </conditionalFormatting>
  <conditionalFormatting sqref="I47:K78">
    <cfRule type="containsText" dxfId="5" priority="67" operator="containsText" text="Peak">
      <formula>NOT(ISERROR(SEARCH(("Peak"),(I47))))</formula>
    </cfRule>
  </conditionalFormatting>
  <conditionalFormatting sqref="I47:K78">
    <cfRule type="containsText" dxfId="1" priority="68" operator="containsText" text="Afternoon">
      <formula>NOT(ISERROR(SEARCH(("Afternoon"),(I47))))</formula>
    </cfRule>
  </conditionalFormatting>
  <conditionalFormatting sqref="I47:K78">
    <cfRule type="containsText" dxfId="2" priority="69" operator="containsText" text="Morning">
      <formula>NOT(ISERROR(SEARCH(("Morning"),(I47))))</formula>
    </cfRule>
  </conditionalFormatting>
  <conditionalFormatting sqref="I85:K103">
    <cfRule type="containsText" dxfId="3" priority="70" operator="containsText" text="Night">
      <formula>NOT(ISERROR(SEARCH(("Night"),(I85))))</formula>
    </cfRule>
  </conditionalFormatting>
  <conditionalFormatting sqref="I85:K103">
    <cfRule type="containsText" dxfId="4" priority="71" operator="containsText" text="Evening">
      <formula>NOT(ISERROR(SEARCH(("Evening"),(I85))))</formula>
    </cfRule>
  </conditionalFormatting>
  <conditionalFormatting sqref="I85:K103">
    <cfRule type="containsText" dxfId="5" priority="72" operator="containsText" text="Peak">
      <formula>NOT(ISERROR(SEARCH(("Peak"),(I85))))</formula>
    </cfRule>
  </conditionalFormatting>
  <conditionalFormatting sqref="I85:K103">
    <cfRule type="containsText" dxfId="1" priority="73" operator="containsText" text="Afternoon">
      <formula>NOT(ISERROR(SEARCH(("Afternoon"),(I85))))</formula>
    </cfRule>
  </conditionalFormatting>
  <conditionalFormatting sqref="I85:K103">
    <cfRule type="containsText" dxfId="2" priority="74" operator="containsText" text="Morning">
      <formula>NOT(ISERROR(SEARCH(("Morning"),(I85))))</formula>
    </cfRule>
  </conditionalFormatting>
  <conditionalFormatting sqref="K5:K38">
    <cfRule type="containsText" dxfId="3" priority="75" operator="containsText" text="Night">
      <formula>NOT(ISERROR(SEARCH(("Night"),(K5))))</formula>
    </cfRule>
  </conditionalFormatting>
  <conditionalFormatting sqref="K5:K38">
    <cfRule type="containsText" dxfId="4" priority="76" operator="containsText" text="Evening">
      <formula>NOT(ISERROR(SEARCH(("Evening"),(K5))))</formula>
    </cfRule>
  </conditionalFormatting>
  <conditionalFormatting sqref="K5:K38">
    <cfRule type="containsText" dxfId="5" priority="77" operator="containsText" text="Peak">
      <formula>NOT(ISERROR(SEARCH(("Peak"),(K5))))</formula>
    </cfRule>
  </conditionalFormatting>
  <conditionalFormatting sqref="K5:K38">
    <cfRule type="containsText" dxfId="1" priority="78" operator="containsText" text="Afternoon">
      <formula>NOT(ISERROR(SEARCH(("Afternoon"),(K5))))</formula>
    </cfRule>
  </conditionalFormatting>
  <conditionalFormatting sqref="K5:K38">
    <cfRule type="containsText" dxfId="2" priority="79" operator="containsText" text="Morning">
      <formula>NOT(ISERROR(SEARCH(("Morning"),(K5))))</formula>
    </cfRule>
  </conditionalFormatting>
  <conditionalFormatting sqref="L1">
    <cfRule type="containsText" dxfId="3" priority="80" operator="containsText" text="Night">
      <formula>NOT(ISERROR(SEARCH(("Night"),(L1))))</formula>
    </cfRule>
  </conditionalFormatting>
  <conditionalFormatting sqref="L1">
    <cfRule type="containsText" dxfId="4" priority="81" operator="containsText" text="Evening">
      <formula>NOT(ISERROR(SEARCH(("Evening"),(L1))))</formula>
    </cfRule>
  </conditionalFormatting>
  <conditionalFormatting sqref="L1">
    <cfRule type="containsText" dxfId="5" priority="82" operator="containsText" text="Peak">
      <formula>NOT(ISERROR(SEARCH(("Peak"),(L1))))</formula>
    </cfRule>
  </conditionalFormatting>
  <conditionalFormatting sqref="L1">
    <cfRule type="containsText" dxfId="1" priority="83" operator="containsText" text="Afternoon">
      <formula>NOT(ISERROR(SEARCH(("Afternoon"),(L1))))</formula>
    </cfRule>
  </conditionalFormatting>
  <conditionalFormatting sqref="L1">
    <cfRule type="containsText" dxfId="2" priority="84" operator="containsText" text="Morning">
      <formula>NOT(ISERROR(SEARCH(("Morning"),(L1))))</formula>
    </cfRule>
  </conditionalFormatting>
  <conditionalFormatting sqref="L43">
    <cfRule type="containsText" dxfId="3" priority="85" operator="containsText" text="Night">
      <formula>NOT(ISERROR(SEARCH(("Night"),(L43))))</formula>
    </cfRule>
  </conditionalFormatting>
  <conditionalFormatting sqref="L43">
    <cfRule type="containsText" dxfId="4" priority="86" operator="containsText" text="Evening">
      <formula>NOT(ISERROR(SEARCH(("Evening"),(L43))))</formula>
    </cfRule>
  </conditionalFormatting>
  <conditionalFormatting sqref="L43">
    <cfRule type="containsText" dxfId="5" priority="87" operator="containsText" text="Peak">
      <formula>NOT(ISERROR(SEARCH(("Peak"),(L43))))</formula>
    </cfRule>
  </conditionalFormatting>
  <conditionalFormatting sqref="L43">
    <cfRule type="containsText" dxfId="1" priority="88" operator="containsText" text="Afternoon">
      <formula>NOT(ISERROR(SEARCH(("Afternoon"),(L43))))</formula>
    </cfRule>
  </conditionalFormatting>
  <conditionalFormatting sqref="L43">
    <cfRule type="containsText" dxfId="2" priority="89" operator="containsText" text="Morning">
      <formula>NOT(ISERROR(SEARCH(("Morning"),(L43))))</formula>
    </cfRule>
  </conditionalFormatting>
  <conditionalFormatting sqref="L81">
    <cfRule type="containsText" dxfId="3" priority="90" operator="containsText" text="Night">
      <formula>NOT(ISERROR(SEARCH(("Night"),(L81))))</formula>
    </cfRule>
  </conditionalFormatting>
  <conditionalFormatting sqref="L81">
    <cfRule type="containsText" dxfId="4" priority="91" operator="containsText" text="Evening">
      <formula>NOT(ISERROR(SEARCH(("Evening"),(L81))))</formula>
    </cfRule>
  </conditionalFormatting>
  <conditionalFormatting sqref="L81">
    <cfRule type="containsText" dxfId="5" priority="92" operator="containsText" text="Peak">
      <formula>NOT(ISERROR(SEARCH(("Peak"),(L81))))</formula>
    </cfRule>
  </conditionalFormatting>
  <conditionalFormatting sqref="L81">
    <cfRule type="containsText" dxfId="1" priority="93" operator="containsText" text="Afternoon">
      <formula>NOT(ISERROR(SEARCH(("Afternoon"),(L81))))</formula>
    </cfRule>
  </conditionalFormatting>
  <conditionalFormatting sqref="L81">
    <cfRule type="containsText" dxfId="2" priority="94" operator="containsText" text="Morning">
      <formula>NOT(ISERROR(SEARCH(("Morning"),(L81))))</formula>
    </cfRule>
  </conditionalFormatting>
  <conditionalFormatting sqref="L47:L76 M47:N78">
    <cfRule type="containsText" dxfId="3" priority="95" operator="containsText" text="Night">
      <formula>NOT(ISERROR(SEARCH(("Night"),(L47))))</formula>
    </cfRule>
  </conditionalFormatting>
  <conditionalFormatting sqref="L47:L76 M47:N78">
    <cfRule type="containsText" dxfId="4" priority="96" operator="containsText" text="Evening">
      <formula>NOT(ISERROR(SEARCH(("Evening"),(L47))))</formula>
    </cfRule>
  </conditionalFormatting>
  <conditionalFormatting sqref="L47:L76 M47:N78">
    <cfRule type="containsText" dxfId="5" priority="97" operator="containsText" text="Peak">
      <formula>NOT(ISERROR(SEARCH(("Peak"),(L47))))</formula>
    </cfRule>
  </conditionalFormatting>
  <conditionalFormatting sqref="L47:L76 M47:N78">
    <cfRule type="containsText" dxfId="1" priority="98" operator="containsText" text="Afternoon">
      <formula>NOT(ISERROR(SEARCH(("Afternoon"),(L47))))</formula>
    </cfRule>
  </conditionalFormatting>
  <conditionalFormatting sqref="L47:L76 M47:N78">
    <cfRule type="containsText" dxfId="2" priority="99" operator="containsText" text="Morning">
      <formula>NOT(ISERROR(SEARCH(("Morning"),(L47))))</formula>
    </cfRule>
  </conditionalFormatting>
  <conditionalFormatting sqref="L85:L102 M85:N103">
    <cfRule type="containsText" dxfId="3" priority="100" operator="containsText" text="Night">
      <formula>NOT(ISERROR(SEARCH(("Night"),(L85))))</formula>
    </cfRule>
  </conditionalFormatting>
  <conditionalFormatting sqref="L85:L102 M85:N103">
    <cfRule type="containsText" dxfId="4" priority="101" operator="containsText" text="Evening">
      <formula>NOT(ISERROR(SEARCH(("Evening"),(L85))))</formula>
    </cfRule>
  </conditionalFormatting>
  <conditionalFormatting sqref="L85:L102 M85:N103">
    <cfRule type="containsText" dxfId="5" priority="102" operator="containsText" text="Peak">
      <formula>NOT(ISERROR(SEARCH(("Peak"),(L85))))</formula>
    </cfRule>
  </conditionalFormatting>
  <conditionalFormatting sqref="L85:L102 M85:N103">
    <cfRule type="containsText" dxfId="1" priority="103" operator="containsText" text="Afternoon">
      <formula>NOT(ISERROR(SEARCH(("Afternoon"),(L85))))</formula>
    </cfRule>
  </conditionalFormatting>
  <conditionalFormatting sqref="L85:L102 M85:N103">
    <cfRule type="containsText" dxfId="2" priority="104" operator="containsText" text="Morning">
      <formula>NOT(ISERROR(SEARCH(("Morning"),(L85))))</formula>
    </cfRule>
  </conditionalFormatting>
  <conditionalFormatting sqref="L5:P36">
    <cfRule type="containsText" dxfId="3" priority="105" operator="containsText" text="Night">
      <formula>NOT(ISERROR(SEARCH(("Night"),(L5))))</formula>
    </cfRule>
  </conditionalFormatting>
  <conditionalFormatting sqref="L5:P36">
    <cfRule type="containsText" dxfId="4" priority="106" operator="containsText" text="Evening">
      <formula>NOT(ISERROR(SEARCH(("Evening"),(L5))))</formula>
    </cfRule>
  </conditionalFormatting>
  <conditionalFormatting sqref="L5:P36">
    <cfRule type="containsText" dxfId="5" priority="107" operator="containsText" text="Peak">
      <formula>NOT(ISERROR(SEARCH(("Peak"),(L5))))</formula>
    </cfRule>
  </conditionalFormatting>
  <conditionalFormatting sqref="L5:P36">
    <cfRule type="containsText" dxfId="1" priority="108" operator="containsText" text="Afternoon">
      <formula>NOT(ISERROR(SEARCH(("Afternoon"),(L5))))</formula>
    </cfRule>
  </conditionalFormatting>
  <conditionalFormatting sqref="L5:P36">
    <cfRule type="containsText" dxfId="2" priority="109" operator="containsText" text="Morning">
      <formula>NOT(ISERROR(SEARCH(("Morning"),(L5))))</formula>
    </cfRule>
  </conditionalFormatting>
  <conditionalFormatting sqref="M37:P38">
    <cfRule type="containsText" dxfId="3" priority="110" operator="containsText" text="Night">
      <formula>NOT(ISERROR(SEARCH(("Night"),(M37))))</formula>
    </cfRule>
  </conditionalFormatting>
  <conditionalFormatting sqref="M37:P38">
    <cfRule type="containsText" dxfId="4" priority="111" operator="containsText" text="Evening">
      <formula>NOT(ISERROR(SEARCH(("Evening"),(M37))))</formula>
    </cfRule>
  </conditionalFormatting>
  <conditionalFormatting sqref="M37:P38">
    <cfRule type="containsText" dxfId="5" priority="112" operator="containsText" text="Peak">
      <formula>NOT(ISERROR(SEARCH(("Peak"),(M37))))</formula>
    </cfRule>
  </conditionalFormatting>
  <conditionalFormatting sqref="M37:P38">
    <cfRule type="containsText" dxfId="1" priority="113" operator="containsText" text="Afternoon">
      <formula>NOT(ISERROR(SEARCH(("Afternoon"),(M37))))</formula>
    </cfRule>
  </conditionalFormatting>
  <conditionalFormatting sqref="M37:P38">
    <cfRule type="containsText" dxfId="2" priority="114" operator="containsText" text="Morning">
      <formula>NOT(ISERROR(SEARCH(("Morning"),(M37))))</formula>
    </cfRule>
  </conditionalFormatting>
  <conditionalFormatting sqref="O47:P78">
    <cfRule type="containsText" dxfId="3" priority="115" operator="containsText" text="Night">
      <formula>NOT(ISERROR(SEARCH(("Night"),(O47))))</formula>
    </cfRule>
  </conditionalFormatting>
  <conditionalFormatting sqref="O47:P78">
    <cfRule type="containsText" dxfId="4" priority="116" operator="containsText" text="Evening">
      <formula>NOT(ISERROR(SEARCH(("Evening"),(O47))))</formula>
    </cfRule>
  </conditionalFormatting>
  <conditionalFormatting sqref="O47:P78">
    <cfRule type="containsText" dxfId="5" priority="117" operator="containsText" text="Peak">
      <formula>NOT(ISERROR(SEARCH(("Peak"),(O47))))</formula>
    </cfRule>
  </conditionalFormatting>
  <conditionalFormatting sqref="O47:P78">
    <cfRule type="containsText" dxfId="1" priority="118" operator="containsText" text="Afternoon">
      <formula>NOT(ISERROR(SEARCH(("Afternoon"),(O47))))</formula>
    </cfRule>
  </conditionalFormatting>
  <conditionalFormatting sqref="O47:P78">
    <cfRule type="containsText" dxfId="2" priority="119" operator="containsText" text="Morning">
      <formula>NOT(ISERROR(SEARCH(("Morning"),(O47))))</formula>
    </cfRule>
  </conditionalFormatting>
  <conditionalFormatting sqref="O85:P103">
    <cfRule type="containsText" dxfId="3" priority="120" operator="containsText" text="Night">
      <formula>NOT(ISERROR(SEARCH(("Night"),(O85))))</formula>
    </cfRule>
  </conditionalFormatting>
  <conditionalFormatting sqref="O85:P103">
    <cfRule type="containsText" dxfId="4" priority="121" operator="containsText" text="Evening">
      <formula>NOT(ISERROR(SEARCH(("Evening"),(O85))))</formula>
    </cfRule>
  </conditionalFormatting>
  <conditionalFormatting sqref="O85:P103">
    <cfRule type="containsText" dxfId="5" priority="122" operator="containsText" text="Peak">
      <formula>NOT(ISERROR(SEARCH(("Peak"),(O85))))</formula>
    </cfRule>
  </conditionalFormatting>
  <conditionalFormatting sqref="O85:P103">
    <cfRule type="containsText" dxfId="1" priority="123" operator="containsText" text="Afternoon">
      <formula>NOT(ISERROR(SEARCH(("Afternoon"),(O85))))</formula>
    </cfRule>
  </conditionalFormatting>
  <conditionalFormatting sqref="O85:P103">
    <cfRule type="containsText" dxfId="2" priority="124" operator="containsText" text="Morning">
      <formula>NOT(ISERROR(SEARCH(("Morning"),(O85))))</formula>
    </cfRule>
  </conditionalFormatting>
  <conditionalFormatting sqref="R5:T38">
    <cfRule type="containsText" dxfId="3" priority="125" operator="containsText" text="Night">
      <formula>NOT(ISERROR(SEARCH(("Night"),(R5))))</formula>
    </cfRule>
  </conditionalFormatting>
  <conditionalFormatting sqref="R5:T38">
    <cfRule type="containsText" dxfId="4" priority="126" operator="containsText" text="Evening">
      <formula>NOT(ISERROR(SEARCH(("Evening"),(R5))))</formula>
    </cfRule>
  </conditionalFormatting>
  <conditionalFormatting sqref="R5:T38">
    <cfRule type="containsText" dxfId="5" priority="127" operator="containsText" text="Peak">
      <formula>NOT(ISERROR(SEARCH(("Peak"),(R5))))</formula>
    </cfRule>
  </conditionalFormatting>
  <conditionalFormatting sqref="R5:T38">
    <cfRule type="containsText" dxfId="1" priority="128" operator="containsText" text="Afternoon">
      <formula>NOT(ISERROR(SEARCH(("Afternoon"),(R5))))</formula>
    </cfRule>
  </conditionalFormatting>
  <conditionalFormatting sqref="R5:T38">
    <cfRule type="containsText" dxfId="2" priority="129" operator="containsText" text="Morning">
      <formula>NOT(ISERROR(SEARCH(("Morning"),(R5))))</formula>
    </cfRule>
  </conditionalFormatting>
  <conditionalFormatting sqref="R47:T78">
    <cfRule type="containsText" dxfId="3" priority="130" operator="containsText" text="Night">
      <formula>NOT(ISERROR(SEARCH(("Night"),(R47))))</formula>
    </cfRule>
  </conditionalFormatting>
  <conditionalFormatting sqref="R47:T78">
    <cfRule type="containsText" dxfId="4" priority="131" operator="containsText" text="Evening">
      <formula>NOT(ISERROR(SEARCH(("Evening"),(R47))))</formula>
    </cfRule>
  </conditionalFormatting>
  <conditionalFormatting sqref="R47:T78">
    <cfRule type="containsText" dxfId="5" priority="132" operator="containsText" text="Peak">
      <formula>NOT(ISERROR(SEARCH(("Peak"),(R47))))</formula>
    </cfRule>
  </conditionalFormatting>
  <conditionalFormatting sqref="R47:T78">
    <cfRule type="containsText" dxfId="1" priority="133" operator="containsText" text="Afternoon">
      <formula>NOT(ISERROR(SEARCH(("Afternoon"),(R47))))</formula>
    </cfRule>
  </conditionalFormatting>
  <conditionalFormatting sqref="R47:T78">
    <cfRule type="containsText" dxfId="2" priority="134" operator="containsText" text="Morning">
      <formula>NOT(ISERROR(SEARCH(("Morning"),(R47))))</formula>
    </cfRule>
  </conditionalFormatting>
  <conditionalFormatting sqref="R85:T103">
    <cfRule type="containsText" dxfId="3" priority="135" operator="containsText" text="Night">
      <formula>NOT(ISERROR(SEARCH(("Night"),(R85))))</formula>
    </cfRule>
  </conditionalFormatting>
  <conditionalFormatting sqref="R85:T103">
    <cfRule type="containsText" dxfId="4" priority="136" operator="containsText" text="Evening">
      <formula>NOT(ISERROR(SEARCH(("Evening"),(R85))))</formula>
    </cfRule>
  </conditionalFormatting>
  <conditionalFormatting sqref="R85:T103">
    <cfRule type="containsText" dxfId="5" priority="137" operator="containsText" text="Peak">
      <formula>NOT(ISERROR(SEARCH(("Peak"),(R85))))</formula>
    </cfRule>
  </conditionalFormatting>
  <conditionalFormatting sqref="R85:T103">
    <cfRule type="containsText" dxfId="1" priority="138" operator="containsText" text="Afternoon">
      <formula>NOT(ISERROR(SEARCH(("Afternoon"),(R85))))</formula>
    </cfRule>
  </conditionalFormatting>
  <conditionalFormatting sqref="R85:T103">
    <cfRule type="containsText" dxfId="2" priority="139" operator="containsText" text="Morning">
      <formula>NOT(ISERROR(SEARCH(("Morning"),(R85))))</formula>
    </cfRule>
  </conditionalFormatting>
  <conditionalFormatting sqref="Z5:Z38 Z47:Z78 Z85:Z103">
    <cfRule type="containsText" dxfId="3" priority="140" operator="containsText" text="Night">
      <formula>NOT(ISERROR(SEARCH(("Night"),(Z5))))</formula>
    </cfRule>
  </conditionalFormatting>
  <conditionalFormatting sqref="Z5:Z38 Z47:Z78 Z85:Z103">
    <cfRule type="containsText" dxfId="4" priority="141" operator="containsText" text="Evening">
      <formula>NOT(ISERROR(SEARCH(("Evening"),(Z5))))</formula>
    </cfRule>
  </conditionalFormatting>
  <conditionalFormatting sqref="Z5:Z38 Z47:Z78 Z85:Z103">
    <cfRule type="containsText" dxfId="5" priority="142" operator="containsText" text="Peak">
      <formula>NOT(ISERROR(SEARCH(("Peak"),(Z5))))</formula>
    </cfRule>
  </conditionalFormatting>
  <conditionalFormatting sqref="Z5:Z38 Z47:Z78 Z85:Z103">
    <cfRule type="containsText" dxfId="1" priority="143" operator="containsText" text="Afternoon">
      <formula>NOT(ISERROR(SEARCH(("Afternoon"),(Z5))))</formula>
    </cfRule>
  </conditionalFormatting>
  <conditionalFormatting sqref="Z5:Z38 Z47:Z78 Z85:Z103">
    <cfRule type="containsText" dxfId="2" priority="144" operator="containsText" text="Morning">
      <formula>NOT(ISERROR(SEARCH(("Morning"),(Z5))))</formula>
    </cfRule>
  </conditionalFormatting>
  <conditionalFormatting sqref="Z5:Z38 Z47:Z78 Z85:Z103">
    <cfRule type="cellIs" dxfId="6" priority="145" operator="lessThan">
      <formula>20</formula>
    </cfRule>
  </conditionalFormatting>
  <conditionalFormatting sqref="Z5:Z38 Z47:Z78 Z85:Z103">
    <cfRule type="cellIs" dxfId="7" priority="146" operator="equal">
      <formula>30</formula>
    </cfRule>
  </conditionalFormatting>
  <conditionalFormatting sqref="Z5:Z38 Z47:Z78 Z85:Z103">
    <cfRule type="cellIs" dxfId="8" priority="147" operator="greaterThan">
      <formula>31</formula>
    </cfRule>
  </conditionalFormatting>
  <conditionalFormatting sqref="Z5:Z38 Z47:Z78 Z85:Z103">
    <cfRule type="cellIs" dxfId="9" priority="148" operator="between">
      <formula>19</formula>
      <formula>29</formula>
    </cfRule>
  </conditionalFormatting>
  <conditionalFormatting sqref="AD7:AD9">
    <cfRule type="containsText" dxfId="10" priority="149" operator="containsText" text="Early Morning">
      <formula>NOT(ISERROR(SEARCH(("Early Morning"),(AD7))))</formula>
    </cfRule>
  </conditionalFormatting>
  <conditionalFormatting sqref="AD49:AD51">
    <cfRule type="containsText" dxfId="10" priority="150" operator="containsText" text="Early Morning">
      <formula>NOT(ISERROR(SEARCH(("Early Morning"),(AD49))))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0"/>
    <col customWidth="1" min="3" max="4" width="12.25"/>
    <col customWidth="1" min="5" max="5" width="4.63"/>
    <col customWidth="1" min="6" max="7" width="12.25"/>
    <col customWidth="1" min="8" max="8" width="3.25"/>
    <col customWidth="1" min="9" max="10" width="12.25"/>
    <col customWidth="1" min="11" max="11" width="2.5"/>
    <col customWidth="1" min="12" max="14" width="12.25"/>
    <col customWidth="1" min="15" max="15" width="9.63"/>
    <col customWidth="1" min="16" max="17" width="12.25"/>
    <col customWidth="1" min="18" max="18" width="9.63"/>
    <col customWidth="1" min="19" max="20" width="12.25"/>
    <col customWidth="1" min="21" max="21" width="2.25"/>
    <col customWidth="1" min="22" max="23" width="12.25"/>
    <col customWidth="1" min="24" max="24" width="4.63"/>
    <col customWidth="1" min="25" max="26" width="12.25"/>
    <col customWidth="1" min="27" max="27" width="9.63"/>
    <col customWidth="1" min="28" max="28" width="12.25"/>
    <col customWidth="1" min="29" max="34" width="8.63"/>
    <col customWidth="1" min="35" max="35" width="19.63"/>
    <col customWidth="1" min="36" max="38" width="8.63"/>
  </cols>
  <sheetData>
    <row r="1" ht="47.25" customHeight="1">
      <c r="A1" s="195" t="s">
        <v>58</v>
      </c>
      <c r="C1" s="196" t="s">
        <v>115</v>
      </c>
      <c r="D1" s="166"/>
      <c r="E1" s="166"/>
      <c r="F1" s="166"/>
      <c r="G1" s="166"/>
      <c r="H1" s="166"/>
      <c r="I1" s="166"/>
      <c r="J1" s="166"/>
      <c r="K1" s="166"/>
      <c r="L1" s="166"/>
      <c r="M1" s="167"/>
      <c r="N1" s="197"/>
      <c r="O1" s="196" t="s">
        <v>116</v>
      </c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7"/>
    </row>
    <row r="2" ht="13.5" customHeight="1">
      <c r="A2" s="127"/>
      <c r="C2" s="89" t="s">
        <v>62</v>
      </c>
      <c r="D2" s="89" t="s">
        <v>85</v>
      </c>
      <c r="E2" s="198" t="s">
        <v>69</v>
      </c>
      <c r="F2" s="89" t="s">
        <v>62</v>
      </c>
      <c r="G2" s="89" t="s">
        <v>85</v>
      </c>
      <c r="H2" s="198" t="s">
        <v>69</v>
      </c>
      <c r="I2" s="89" t="s">
        <v>62</v>
      </c>
      <c r="J2" s="89" t="s">
        <v>85</v>
      </c>
      <c r="K2" s="198" t="s">
        <v>69</v>
      </c>
      <c r="L2" s="89" t="s">
        <v>62</v>
      </c>
      <c r="M2" s="199"/>
      <c r="N2" s="89" t="s">
        <v>85</v>
      </c>
      <c r="O2" s="198" t="s">
        <v>69</v>
      </c>
      <c r="P2" s="89" t="s">
        <v>62</v>
      </c>
      <c r="Q2" s="89" t="s">
        <v>85</v>
      </c>
      <c r="R2" s="198" t="s">
        <v>69</v>
      </c>
      <c r="S2" s="89" t="s">
        <v>62</v>
      </c>
      <c r="T2" s="89" t="s">
        <v>85</v>
      </c>
      <c r="U2" s="198" t="s">
        <v>69</v>
      </c>
      <c r="V2" s="89" t="s">
        <v>62</v>
      </c>
      <c r="W2" s="199"/>
      <c r="X2" s="198" t="s">
        <v>69</v>
      </c>
      <c r="Y2" s="89" t="s">
        <v>62</v>
      </c>
      <c r="Z2" s="89" t="s">
        <v>85</v>
      </c>
      <c r="AA2" s="198" t="s">
        <v>69</v>
      </c>
      <c r="AB2" s="89" t="s">
        <v>62</v>
      </c>
    </row>
    <row r="3" ht="13.5" customHeight="1">
      <c r="A3" s="127"/>
      <c r="B3" s="128" t="s">
        <v>63</v>
      </c>
      <c r="C3" s="130" t="s">
        <v>64</v>
      </c>
      <c r="D3" s="130" t="s">
        <v>117</v>
      </c>
      <c r="E3" s="200"/>
      <c r="F3" s="130" t="s">
        <v>117</v>
      </c>
      <c r="G3" s="130" t="s">
        <v>118</v>
      </c>
      <c r="H3" s="200"/>
      <c r="I3" s="130" t="s">
        <v>118</v>
      </c>
      <c r="J3" s="130" t="s">
        <v>86</v>
      </c>
      <c r="K3" s="200"/>
      <c r="L3" s="130" t="s">
        <v>86</v>
      </c>
      <c r="M3" s="130" t="s">
        <v>70</v>
      </c>
      <c r="N3" s="130" t="s">
        <v>119</v>
      </c>
      <c r="O3" s="200"/>
      <c r="P3" s="130" t="s">
        <v>119</v>
      </c>
      <c r="Q3" s="130" t="s">
        <v>86</v>
      </c>
      <c r="R3" s="200"/>
      <c r="S3" s="130" t="s">
        <v>86</v>
      </c>
      <c r="T3" s="130" t="s">
        <v>118</v>
      </c>
      <c r="U3" s="200"/>
      <c r="V3" s="130" t="s">
        <v>118</v>
      </c>
      <c r="W3" s="130" t="s">
        <v>117</v>
      </c>
      <c r="X3" s="200"/>
      <c r="Y3" s="130" t="s">
        <v>117</v>
      </c>
      <c r="Z3" s="130" t="s">
        <v>64</v>
      </c>
      <c r="AA3" s="200"/>
      <c r="AB3" s="130" t="s">
        <v>64</v>
      </c>
    </row>
    <row r="4" ht="13.5" customHeight="1">
      <c r="A4" s="127"/>
      <c r="B4" s="89" t="s">
        <v>72</v>
      </c>
      <c r="C4" s="89">
        <v>777.0</v>
      </c>
      <c r="D4" s="89">
        <v>487.0</v>
      </c>
      <c r="E4" s="175"/>
      <c r="F4" s="89">
        <v>487.0</v>
      </c>
      <c r="G4" s="89">
        <v>732.0</v>
      </c>
      <c r="H4" s="175"/>
      <c r="I4" s="89">
        <v>732.0</v>
      </c>
      <c r="J4" s="89">
        <v>1.0</v>
      </c>
      <c r="K4" s="175"/>
      <c r="L4" s="89">
        <v>1.0</v>
      </c>
      <c r="M4" s="89">
        <v>330.0</v>
      </c>
      <c r="N4" s="89" t="s">
        <v>120</v>
      </c>
      <c r="O4" s="175"/>
      <c r="P4" s="89" t="s">
        <v>120</v>
      </c>
      <c r="Q4" s="89">
        <v>1.0</v>
      </c>
      <c r="R4" s="175"/>
      <c r="S4" s="89">
        <v>1.0</v>
      </c>
      <c r="T4" s="89">
        <v>732.0</v>
      </c>
      <c r="U4" s="175"/>
      <c r="V4" s="89">
        <v>732.0</v>
      </c>
      <c r="W4" s="89">
        <v>488.0</v>
      </c>
      <c r="X4" s="175"/>
      <c r="Y4" s="89">
        <v>487.0</v>
      </c>
      <c r="Z4" s="89">
        <v>777.0</v>
      </c>
      <c r="AA4" s="175"/>
      <c r="AB4" s="89">
        <v>777.0</v>
      </c>
      <c r="AC4" s="201" t="s">
        <v>73</v>
      </c>
      <c r="AD4" s="201" t="s">
        <v>74</v>
      </c>
      <c r="AE4" s="201" t="s">
        <v>69</v>
      </c>
      <c r="AF4" s="201" t="s">
        <v>121</v>
      </c>
      <c r="AG4" s="202" t="s">
        <v>76</v>
      </c>
    </row>
    <row r="5" ht="13.5" customHeight="1">
      <c r="A5" s="127"/>
      <c r="B5" s="141" t="s">
        <v>89</v>
      </c>
      <c r="C5" s="101"/>
      <c r="D5" s="101"/>
      <c r="E5" s="99"/>
      <c r="F5" s="101"/>
      <c r="G5" s="101"/>
      <c r="H5" s="99"/>
      <c r="I5" s="101"/>
      <c r="J5" s="101"/>
      <c r="K5" s="99"/>
      <c r="L5" s="101"/>
      <c r="M5" s="100">
        <v>0.22847222222222222</v>
      </c>
      <c r="N5" s="101">
        <v>0.2298611111111111</v>
      </c>
      <c r="O5" s="99">
        <v>2.0</v>
      </c>
      <c r="P5" s="101">
        <v>0.23124999999999998</v>
      </c>
      <c r="Q5" s="101">
        <v>0.23680555555555555</v>
      </c>
      <c r="R5" s="99">
        <v>4.0</v>
      </c>
      <c r="S5" s="101">
        <v>0.23958333333333331</v>
      </c>
      <c r="T5" s="101">
        <v>0.24375</v>
      </c>
      <c r="U5" s="99">
        <v>3.0</v>
      </c>
      <c r="V5" s="101">
        <v>0.24583333333333332</v>
      </c>
      <c r="W5" s="101">
        <v>0.25763888888888886</v>
      </c>
      <c r="X5" s="99">
        <v>0.0</v>
      </c>
      <c r="Y5" s="101">
        <v>0.25763888888888886</v>
      </c>
      <c r="Z5" s="101">
        <v>0.26875</v>
      </c>
      <c r="AA5" s="99">
        <v>6.0</v>
      </c>
      <c r="AB5" s="101">
        <v>0.27291666666666664</v>
      </c>
      <c r="AC5" s="103">
        <f t="shared" ref="AC5:AC38" si="1">AD5-AE5</f>
        <v>49</v>
      </c>
      <c r="AD5" s="103">
        <f t="shared" ref="AD5:AD6" si="2">(AB5-M5)*1440</f>
        <v>64</v>
      </c>
      <c r="AE5" s="103">
        <f t="shared" ref="AE5:AE38" si="3">U5+R5+O5+K5+AA5+E5+H5+X5</f>
        <v>15</v>
      </c>
      <c r="AF5" s="104">
        <f t="shared" ref="AF5:AF39" si="4">AE5/AC5</f>
        <v>0.306122449</v>
      </c>
      <c r="AG5" s="142"/>
      <c r="AI5" s="143" t="s">
        <v>90</v>
      </c>
      <c r="AJ5" s="203"/>
      <c r="AK5" s="109"/>
      <c r="AL5" s="109"/>
    </row>
    <row r="6" ht="13.5" customHeight="1">
      <c r="A6" s="127"/>
      <c r="B6" s="141" t="s">
        <v>89</v>
      </c>
      <c r="C6" s="101"/>
      <c r="D6" s="101"/>
      <c r="E6" s="99"/>
      <c r="F6" s="101"/>
      <c r="G6" s="101"/>
      <c r="H6" s="99"/>
      <c r="I6" s="101"/>
      <c r="J6" s="101"/>
      <c r="K6" s="99"/>
      <c r="L6" s="101"/>
      <c r="M6" s="100">
        <v>0.24930555555555556</v>
      </c>
      <c r="N6" s="101">
        <v>0.25069444444444444</v>
      </c>
      <c r="O6" s="99">
        <v>2.0</v>
      </c>
      <c r="P6" s="101">
        <v>0.2520833333333333</v>
      </c>
      <c r="Q6" s="101">
        <v>0.25763888888888886</v>
      </c>
      <c r="R6" s="99">
        <v>3.0</v>
      </c>
      <c r="S6" s="101">
        <v>0.2597222222222222</v>
      </c>
      <c r="T6" s="101">
        <v>0.26388888888888884</v>
      </c>
      <c r="U6" s="99">
        <v>2.0</v>
      </c>
      <c r="V6" s="101">
        <v>0.2652777777777777</v>
      </c>
      <c r="W6" s="101">
        <v>0.2770833333333333</v>
      </c>
      <c r="X6" s="99">
        <v>0.0</v>
      </c>
      <c r="Y6" s="101">
        <v>0.2770833333333333</v>
      </c>
      <c r="Z6" s="101">
        <v>0.2881944444444444</v>
      </c>
      <c r="AA6" s="204"/>
      <c r="AB6" s="205">
        <v>0.2881944444444444</v>
      </c>
      <c r="AC6" s="103">
        <f t="shared" si="1"/>
        <v>49</v>
      </c>
      <c r="AD6" s="103">
        <f t="shared" si="2"/>
        <v>56</v>
      </c>
      <c r="AE6" s="103">
        <f t="shared" si="3"/>
        <v>7</v>
      </c>
      <c r="AF6" s="104">
        <f t="shared" si="4"/>
        <v>0.1428571429</v>
      </c>
      <c r="AG6" s="142">
        <f t="shared" ref="AG6:AG29" si="5">(AB6-AB5)*1440</f>
        <v>22</v>
      </c>
      <c r="AI6" s="146" t="s">
        <v>91</v>
      </c>
      <c r="AJ6" s="203"/>
      <c r="AK6" s="109"/>
      <c r="AL6" s="109"/>
    </row>
    <row r="7" ht="13.5" customHeight="1">
      <c r="A7" s="127"/>
      <c r="B7" s="141" t="s">
        <v>89</v>
      </c>
      <c r="C7" s="100">
        <v>0.23124999999999998</v>
      </c>
      <c r="D7" s="101">
        <v>0.24236111111111108</v>
      </c>
      <c r="E7" s="99">
        <v>0.0</v>
      </c>
      <c r="F7" s="101">
        <v>0.24236111111111108</v>
      </c>
      <c r="G7" s="206">
        <v>0.25416666666666665</v>
      </c>
      <c r="H7" s="99">
        <v>3.0</v>
      </c>
      <c r="I7" s="101">
        <v>0.25625</v>
      </c>
      <c r="J7" s="101">
        <v>0.2597222222222222</v>
      </c>
      <c r="K7" s="99">
        <v>3.0</v>
      </c>
      <c r="L7" s="101">
        <v>0.2618055555555555</v>
      </c>
      <c r="M7" s="101">
        <v>0.2694444444444444</v>
      </c>
      <c r="N7" s="101">
        <v>0.27083333333333326</v>
      </c>
      <c r="O7" s="99">
        <v>2.0</v>
      </c>
      <c r="P7" s="101">
        <v>0.27222222222222214</v>
      </c>
      <c r="Q7" s="101">
        <v>0.2777777777777777</v>
      </c>
      <c r="R7" s="99">
        <v>5.0</v>
      </c>
      <c r="S7" s="101">
        <v>0.2812499999999999</v>
      </c>
      <c r="T7" s="101">
        <v>0.28541666666666654</v>
      </c>
      <c r="U7" s="99">
        <v>3.0</v>
      </c>
      <c r="V7" s="101">
        <v>0.28749999999999987</v>
      </c>
      <c r="W7" s="101">
        <v>0.29930555555555544</v>
      </c>
      <c r="X7" s="99">
        <v>0.0</v>
      </c>
      <c r="Y7" s="101">
        <v>0.29930555555555544</v>
      </c>
      <c r="Z7" s="101">
        <v>0.31041666666666656</v>
      </c>
      <c r="AA7" s="207">
        <v>3.0</v>
      </c>
      <c r="AB7" s="101">
        <v>0.3124999999999999</v>
      </c>
      <c r="AC7" s="103">
        <f t="shared" si="1"/>
        <v>98</v>
      </c>
      <c r="AD7" s="103">
        <f t="shared" ref="AD7:AD29" si="6">(AB7-C7)*1440</f>
        <v>117</v>
      </c>
      <c r="AE7" s="103">
        <f t="shared" si="3"/>
        <v>19</v>
      </c>
      <c r="AF7" s="104">
        <f t="shared" si="4"/>
        <v>0.193877551</v>
      </c>
      <c r="AG7" s="142">
        <f t="shared" si="5"/>
        <v>35</v>
      </c>
      <c r="AI7" s="147" t="s">
        <v>92</v>
      </c>
      <c r="AJ7" s="203"/>
      <c r="AK7" s="109"/>
      <c r="AL7" s="109"/>
    </row>
    <row r="8" ht="13.5" customHeight="1">
      <c r="A8" s="127"/>
      <c r="B8" s="141" t="s">
        <v>89</v>
      </c>
      <c r="C8" s="100">
        <v>0.2520833333333333</v>
      </c>
      <c r="D8" s="101">
        <v>0.26319444444444445</v>
      </c>
      <c r="E8" s="99">
        <v>0.0</v>
      </c>
      <c r="F8" s="101">
        <v>0.26319444444444445</v>
      </c>
      <c r="G8" s="206">
        <v>0.275</v>
      </c>
      <c r="H8" s="99">
        <v>3.0</v>
      </c>
      <c r="I8" s="101">
        <v>0.27708333333333335</v>
      </c>
      <c r="J8" s="101">
        <v>0.28055555555555556</v>
      </c>
      <c r="K8" s="99">
        <v>3.0</v>
      </c>
      <c r="L8" s="101">
        <v>0.2826388888888889</v>
      </c>
      <c r="M8" s="101">
        <v>0.29027777777777775</v>
      </c>
      <c r="N8" s="101">
        <v>0.29166666666666663</v>
      </c>
      <c r="O8" s="99">
        <v>2.0</v>
      </c>
      <c r="P8" s="101">
        <v>0.2930555555555555</v>
      </c>
      <c r="Q8" s="101">
        <v>0.29861111111111105</v>
      </c>
      <c r="R8" s="99">
        <v>5.0</v>
      </c>
      <c r="S8" s="101">
        <v>0.30208333333333326</v>
      </c>
      <c r="T8" s="101">
        <v>0.3062499999999999</v>
      </c>
      <c r="U8" s="99">
        <v>3.0</v>
      </c>
      <c r="V8" s="101">
        <v>0.30833333333333324</v>
      </c>
      <c r="W8" s="101">
        <v>0.3201388888888888</v>
      </c>
      <c r="X8" s="99">
        <v>0.0</v>
      </c>
      <c r="Y8" s="101">
        <v>0.3201388888888888</v>
      </c>
      <c r="Z8" s="101">
        <v>0.33124999999999993</v>
      </c>
      <c r="AA8" s="99">
        <v>6.0</v>
      </c>
      <c r="AB8" s="101">
        <v>0.3354166666666666</v>
      </c>
      <c r="AC8" s="103">
        <f t="shared" si="1"/>
        <v>98</v>
      </c>
      <c r="AD8" s="103">
        <f t="shared" si="6"/>
        <v>120</v>
      </c>
      <c r="AE8" s="103">
        <f t="shared" si="3"/>
        <v>22</v>
      </c>
      <c r="AF8" s="104">
        <f t="shared" si="4"/>
        <v>0.2244897959</v>
      </c>
      <c r="AG8" s="142">
        <f t="shared" si="5"/>
        <v>33</v>
      </c>
      <c r="AI8" s="148" t="s">
        <v>93</v>
      </c>
      <c r="AJ8" s="203"/>
      <c r="AK8" s="109"/>
      <c r="AL8" s="109"/>
    </row>
    <row r="9" ht="13.5" customHeight="1">
      <c r="A9" s="127"/>
      <c r="B9" s="141" t="s">
        <v>77</v>
      </c>
      <c r="C9" s="101">
        <v>0.27291666666666664</v>
      </c>
      <c r="D9" s="101">
        <v>0.28541666666666665</v>
      </c>
      <c r="E9" s="99">
        <v>0.0</v>
      </c>
      <c r="F9" s="101">
        <v>0.28541666666666665</v>
      </c>
      <c r="G9" s="101">
        <v>0.2972222222222222</v>
      </c>
      <c r="H9" s="99">
        <v>2.0</v>
      </c>
      <c r="I9" s="101">
        <v>0.2986111111111111</v>
      </c>
      <c r="J9" s="101">
        <v>0.3020833333333333</v>
      </c>
      <c r="K9" s="99">
        <v>1.0</v>
      </c>
      <c r="L9" s="101">
        <v>0.30277777777777776</v>
      </c>
      <c r="M9" s="101">
        <v>0.31180555555555556</v>
      </c>
      <c r="N9" s="101">
        <v>0.31319444444444444</v>
      </c>
      <c r="O9" s="99">
        <v>0.0</v>
      </c>
      <c r="P9" s="101">
        <v>0.31319444444444444</v>
      </c>
      <c r="Q9" s="101">
        <v>0.3208333333333333</v>
      </c>
      <c r="R9" s="99">
        <v>4.0</v>
      </c>
      <c r="S9" s="101">
        <v>0.32361111111111107</v>
      </c>
      <c r="T9" s="206">
        <v>0.3277777777777777</v>
      </c>
      <c r="U9" s="99">
        <v>3.0</v>
      </c>
      <c r="V9" s="101">
        <v>0.32986111111111105</v>
      </c>
      <c r="W9" s="101">
        <v>0.3416666666666666</v>
      </c>
      <c r="X9" s="99">
        <v>0.0</v>
      </c>
      <c r="Y9" s="101">
        <v>0.3416666666666666</v>
      </c>
      <c r="Z9" s="101">
        <v>0.35416666666666663</v>
      </c>
      <c r="AA9" s="99">
        <v>2.0</v>
      </c>
      <c r="AB9" s="101">
        <v>0.3555555555555555</v>
      </c>
      <c r="AC9" s="103">
        <f t="shared" si="1"/>
        <v>107</v>
      </c>
      <c r="AD9" s="103">
        <f t="shared" si="6"/>
        <v>119</v>
      </c>
      <c r="AE9" s="103">
        <f t="shared" si="3"/>
        <v>12</v>
      </c>
      <c r="AF9" s="104">
        <f t="shared" si="4"/>
        <v>0.1121495327</v>
      </c>
      <c r="AG9" s="142">
        <f t="shared" si="5"/>
        <v>29</v>
      </c>
      <c r="AI9" s="149" t="s">
        <v>94</v>
      </c>
      <c r="AJ9" s="203"/>
      <c r="AK9" s="109"/>
      <c r="AL9" s="109"/>
    </row>
    <row r="10" ht="13.5" customHeight="1">
      <c r="A10" s="127"/>
      <c r="B10" s="141" t="s">
        <v>77</v>
      </c>
      <c r="C10" s="101">
        <v>0.2881944444444444</v>
      </c>
      <c r="D10" s="101">
        <v>0.30069444444444443</v>
      </c>
      <c r="E10" s="99">
        <v>0.0</v>
      </c>
      <c r="F10" s="101">
        <v>0.30069444444444443</v>
      </c>
      <c r="G10" s="101">
        <v>0.3125</v>
      </c>
      <c r="H10" s="99">
        <v>2.0</v>
      </c>
      <c r="I10" s="101">
        <v>0.3138888888888889</v>
      </c>
      <c r="J10" s="101">
        <v>0.3173611111111111</v>
      </c>
      <c r="K10" s="99">
        <v>1.0</v>
      </c>
      <c r="L10" s="101">
        <v>0.31805555555555554</v>
      </c>
      <c r="M10" s="205">
        <v>0.32708333333333334</v>
      </c>
      <c r="N10" s="101">
        <v>0.3284722222222222</v>
      </c>
      <c r="O10" s="99">
        <v>2.0</v>
      </c>
      <c r="P10" s="101">
        <v>0.3298611111111111</v>
      </c>
      <c r="Q10" s="101">
        <v>0.33749999999999997</v>
      </c>
      <c r="R10" s="99">
        <v>4.0</v>
      </c>
      <c r="S10" s="101">
        <v>0.34027777777777773</v>
      </c>
      <c r="T10" s="101">
        <v>0.3444444444444444</v>
      </c>
      <c r="U10" s="99">
        <v>3.0</v>
      </c>
      <c r="V10" s="101">
        <v>0.3465277777777777</v>
      </c>
      <c r="W10" s="101">
        <v>0.3583333333333333</v>
      </c>
      <c r="X10" s="99">
        <v>0.0</v>
      </c>
      <c r="Y10" s="101">
        <v>0.3583333333333333</v>
      </c>
      <c r="Z10" s="101">
        <v>0.3708333333333333</v>
      </c>
      <c r="AA10" s="145">
        <v>8.0</v>
      </c>
      <c r="AB10" s="101">
        <v>0.37638888888888883</v>
      </c>
      <c r="AC10" s="103">
        <f t="shared" si="1"/>
        <v>107</v>
      </c>
      <c r="AD10" s="103">
        <f t="shared" si="6"/>
        <v>127</v>
      </c>
      <c r="AE10" s="103">
        <f t="shared" si="3"/>
        <v>20</v>
      </c>
      <c r="AF10" s="104">
        <f t="shared" si="4"/>
        <v>0.1869158879</v>
      </c>
      <c r="AG10" s="142">
        <f t="shared" si="5"/>
        <v>30</v>
      </c>
      <c r="AI10" s="150" t="s">
        <v>111</v>
      </c>
      <c r="AJ10" s="203"/>
      <c r="AK10" s="109"/>
      <c r="AL10" s="109"/>
    </row>
    <row r="11" ht="13.5" customHeight="1">
      <c r="A11" s="127"/>
      <c r="B11" s="141" t="s">
        <v>77</v>
      </c>
      <c r="C11" s="101">
        <v>0.3124999999999999</v>
      </c>
      <c r="D11" s="101">
        <v>0.3249999999999999</v>
      </c>
      <c r="E11" s="99">
        <v>0.0</v>
      </c>
      <c r="F11" s="208">
        <v>0.3249999999999999</v>
      </c>
      <c r="G11" s="101">
        <v>0.33680555555555547</v>
      </c>
      <c r="H11" s="99">
        <v>2.0</v>
      </c>
      <c r="I11" s="101">
        <v>0.33819444444444435</v>
      </c>
      <c r="J11" s="101">
        <v>0.34166666666666656</v>
      </c>
      <c r="K11" s="207">
        <v>5.0</v>
      </c>
      <c r="L11" s="101">
        <v>0.3451388888888888</v>
      </c>
      <c r="M11" s="101">
        <v>0.3541666666666666</v>
      </c>
      <c r="N11" s="101">
        <v>0.35555555555555546</v>
      </c>
      <c r="O11" s="99">
        <v>0.0</v>
      </c>
      <c r="P11" s="101">
        <v>0.35555555555555546</v>
      </c>
      <c r="Q11" s="101">
        <v>0.3631944444444443</v>
      </c>
      <c r="R11" s="99">
        <v>3.0</v>
      </c>
      <c r="S11" s="101">
        <v>0.36527777777777765</v>
      </c>
      <c r="T11" s="206">
        <v>0.3694444444444443</v>
      </c>
      <c r="U11" s="99">
        <v>3.0</v>
      </c>
      <c r="V11" s="101">
        <v>0.3715277777777776</v>
      </c>
      <c r="W11" s="101">
        <v>0.3833333333333332</v>
      </c>
      <c r="X11" s="99">
        <v>0.0</v>
      </c>
      <c r="Y11" s="101">
        <v>0.3833333333333332</v>
      </c>
      <c r="Z11" s="101">
        <v>0.3958333333333332</v>
      </c>
      <c r="AA11" s="99">
        <v>2.0</v>
      </c>
      <c r="AB11" s="101">
        <v>0.3972222222222221</v>
      </c>
      <c r="AC11" s="103">
        <f t="shared" si="1"/>
        <v>107</v>
      </c>
      <c r="AD11" s="103">
        <f t="shared" si="6"/>
        <v>122</v>
      </c>
      <c r="AE11" s="103">
        <f t="shared" si="3"/>
        <v>15</v>
      </c>
      <c r="AF11" s="104">
        <f t="shared" si="4"/>
        <v>0.1401869159</v>
      </c>
      <c r="AG11" s="142">
        <f t="shared" si="5"/>
        <v>30</v>
      </c>
      <c r="AI11" s="151" t="s">
        <v>96</v>
      </c>
      <c r="AJ11" s="203"/>
      <c r="AK11" s="109"/>
      <c r="AL11" s="109"/>
    </row>
    <row r="12" ht="13.5" customHeight="1">
      <c r="A12" s="127"/>
      <c r="B12" s="141" t="s">
        <v>77</v>
      </c>
      <c r="C12" s="101">
        <v>0.3354166666666666</v>
      </c>
      <c r="D12" s="101">
        <v>0.3479166666666666</v>
      </c>
      <c r="E12" s="99">
        <v>0.0</v>
      </c>
      <c r="F12" s="101">
        <v>0.3479166666666666</v>
      </c>
      <c r="G12" s="206">
        <v>0.35972222222222217</v>
      </c>
      <c r="H12" s="99">
        <v>2.0</v>
      </c>
      <c r="I12" s="101">
        <v>0.36111111111111105</v>
      </c>
      <c r="J12" s="101">
        <v>0.36458333333333326</v>
      </c>
      <c r="K12" s="99">
        <v>2.0</v>
      </c>
      <c r="L12" s="101">
        <v>0.36597222222222214</v>
      </c>
      <c r="M12" s="101">
        <v>0.37499999999999994</v>
      </c>
      <c r="N12" s="101">
        <v>0.37638888888888883</v>
      </c>
      <c r="O12" s="99">
        <v>0.0</v>
      </c>
      <c r="P12" s="101">
        <v>0.37638888888888883</v>
      </c>
      <c r="Q12" s="101">
        <v>0.3840277777777777</v>
      </c>
      <c r="R12" s="99">
        <v>4.0</v>
      </c>
      <c r="S12" s="101">
        <v>0.38680555555555546</v>
      </c>
      <c r="T12" s="101">
        <v>0.3909722222222221</v>
      </c>
      <c r="U12" s="99">
        <v>2.0</v>
      </c>
      <c r="V12" s="101">
        <v>0.392361111111111</v>
      </c>
      <c r="W12" s="101">
        <v>0.40416666666666656</v>
      </c>
      <c r="X12" s="99">
        <v>0.0</v>
      </c>
      <c r="Y12" s="101">
        <v>0.40416666666666656</v>
      </c>
      <c r="Z12" s="101">
        <v>0.4166666666666666</v>
      </c>
      <c r="AA12" s="99">
        <v>2.0</v>
      </c>
      <c r="AB12" s="101">
        <v>0.41805555555555546</v>
      </c>
      <c r="AC12" s="103">
        <f t="shared" si="1"/>
        <v>107</v>
      </c>
      <c r="AD12" s="103">
        <f t="shared" si="6"/>
        <v>119</v>
      </c>
      <c r="AE12" s="103">
        <f t="shared" si="3"/>
        <v>12</v>
      </c>
      <c r="AF12" s="104">
        <f t="shared" si="4"/>
        <v>0.1121495327</v>
      </c>
      <c r="AG12" s="142">
        <f t="shared" si="5"/>
        <v>30</v>
      </c>
      <c r="AI12" s="152" t="s">
        <v>97</v>
      </c>
      <c r="AJ12" s="203"/>
      <c r="AK12" s="109"/>
      <c r="AL12" s="109"/>
    </row>
    <row r="13" ht="13.5" customHeight="1">
      <c r="A13" s="127"/>
      <c r="B13" s="141" t="s">
        <v>78</v>
      </c>
      <c r="C13" s="101">
        <v>0.3555555555555555</v>
      </c>
      <c r="D13" s="101">
        <v>0.3680555555555555</v>
      </c>
      <c r="E13" s="99">
        <v>0.0</v>
      </c>
      <c r="F13" s="101">
        <v>0.3680555555555555</v>
      </c>
      <c r="G13" s="101">
        <v>0.3798611111111111</v>
      </c>
      <c r="H13" s="99">
        <v>3.0</v>
      </c>
      <c r="I13" s="101">
        <v>0.3819444444444444</v>
      </c>
      <c r="J13" s="101">
        <v>0.38541666666666663</v>
      </c>
      <c r="K13" s="99">
        <v>2.0</v>
      </c>
      <c r="L13" s="101">
        <v>0.3868055555555555</v>
      </c>
      <c r="M13" s="101">
        <v>0.3958333333333333</v>
      </c>
      <c r="N13" s="101">
        <v>0.3972222222222222</v>
      </c>
      <c r="O13" s="99">
        <v>0.0</v>
      </c>
      <c r="P13" s="101">
        <v>0.3972222222222222</v>
      </c>
      <c r="Q13" s="101">
        <v>0.40486111111111106</v>
      </c>
      <c r="R13" s="99">
        <v>3.0</v>
      </c>
      <c r="S13" s="101">
        <v>0.4069444444444444</v>
      </c>
      <c r="T13" s="101">
        <v>0.41111111111111104</v>
      </c>
      <c r="U13" s="99">
        <v>2.0</v>
      </c>
      <c r="V13" s="101">
        <v>0.4124999999999999</v>
      </c>
      <c r="W13" s="101">
        <v>0.4243055555555555</v>
      </c>
      <c r="X13" s="99">
        <v>0.0</v>
      </c>
      <c r="Y13" s="101">
        <v>0.4243055555555555</v>
      </c>
      <c r="Z13" s="101">
        <v>0.4368055555555555</v>
      </c>
      <c r="AA13" s="99">
        <v>3.0</v>
      </c>
      <c r="AB13" s="101">
        <v>0.43888888888888883</v>
      </c>
      <c r="AC13" s="103">
        <f t="shared" si="1"/>
        <v>107</v>
      </c>
      <c r="AD13" s="103">
        <f t="shared" si="6"/>
        <v>120</v>
      </c>
      <c r="AE13" s="103">
        <f t="shared" si="3"/>
        <v>13</v>
      </c>
      <c r="AF13" s="104">
        <f t="shared" si="4"/>
        <v>0.1214953271</v>
      </c>
      <c r="AG13" s="142">
        <f t="shared" si="5"/>
        <v>30</v>
      </c>
      <c r="AJ13" s="203"/>
      <c r="AK13" s="109"/>
      <c r="AL13" s="109"/>
    </row>
    <row r="14" ht="13.5" customHeight="1">
      <c r="A14" s="127"/>
      <c r="B14" s="141" t="s">
        <v>78</v>
      </c>
      <c r="C14" s="101">
        <v>0.37638888888888883</v>
      </c>
      <c r="D14" s="101">
        <v>0.38888888888888884</v>
      </c>
      <c r="E14" s="99">
        <v>0.0</v>
      </c>
      <c r="F14" s="101">
        <v>0.38888888888888884</v>
      </c>
      <c r="G14" s="101">
        <v>0.4006944444444444</v>
      </c>
      <c r="H14" s="99">
        <v>3.0</v>
      </c>
      <c r="I14" s="101">
        <v>0.40277777777777773</v>
      </c>
      <c r="J14" s="101">
        <v>0.40624999999999994</v>
      </c>
      <c r="K14" s="99">
        <v>2.0</v>
      </c>
      <c r="L14" s="101">
        <v>0.40763888888888883</v>
      </c>
      <c r="M14" s="101">
        <v>0.41666666666666663</v>
      </c>
      <c r="N14" s="101">
        <v>0.4180555555555555</v>
      </c>
      <c r="O14" s="99">
        <v>0.0</v>
      </c>
      <c r="P14" s="101">
        <v>0.4180555555555555</v>
      </c>
      <c r="Q14" s="101">
        <v>0.4256944444444444</v>
      </c>
      <c r="R14" s="99">
        <v>3.0</v>
      </c>
      <c r="S14" s="101">
        <v>0.4277777777777777</v>
      </c>
      <c r="T14" s="101">
        <v>0.43194444444444435</v>
      </c>
      <c r="U14" s="99">
        <v>2.0</v>
      </c>
      <c r="V14" s="101">
        <v>0.43333333333333324</v>
      </c>
      <c r="W14" s="101">
        <v>0.4451388888888888</v>
      </c>
      <c r="X14" s="99">
        <v>0.0</v>
      </c>
      <c r="Y14" s="101">
        <v>0.4451388888888888</v>
      </c>
      <c r="Z14" s="101">
        <v>0.4576388888888888</v>
      </c>
      <c r="AA14" s="99">
        <v>3.0</v>
      </c>
      <c r="AB14" s="101">
        <v>0.45972222222222214</v>
      </c>
      <c r="AC14" s="103">
        <f t="shared" si="1"/>
        <v>107</v>
      </c>
      <c r="AD14" s="103">
        <f t="shared" si="6"/>
        <v>120</v>
      </c>
      <c r="AE14" s="103">
        <f t="shared" si="3"/>
        <v>13</v>
      </c>
      <c r="AF14" s="104">
        <f t="shared" si="4"/>
        <v>0.1214953271</v>
      </c>
      <c r="AG14" s="142">
        <f t="shared" si="5"/>
        <v>30</v>
      </c>
      <c r="AJ14" s="203"/>
      <c r="AK14" s="109"/>
      <c r="AL14" s="109"/>
    </row>
    <row r="15" ht="13.5" customHeight="1">
      <c r="A15" s="127"/>
      <c r="B15" s="141" t="s">
        <v>78</v>
      </c>
      <c r="C15" s="101">
        <v>0.3972222222222221</v>
      </c>
      <c r="D15" s="101">
        <v>0.4097222222222221</v>
      </c>
      <c r="E15" s="99">
        <v>0.0</v>
      </c>
      <c r="F15" s="101">
        <v>0.4097222222222221</v>
      </c>
      <c r="G15" s="101">
        <v>0.42152777777777767</v>
      </c>
      <c r="H15" s="99">
        <v>3.0</v>
      </c>
      <c r="I15" s="101">
        <v>0.423611111111111</v>
      </c>
      <c r="J15" s="101">
        <v>0.4270833333333332</v>
      </c>
      <c r="K15" s="99">
        <v>2.0</v>
      </c>
      <c r="L15" s="101">
        <v>0.4284722222222221</v>
      </c>
      <c r="M15" s="101">
        <v>0.4374999999999999</v>
      </c>
      <c r="N15" s="101">
        <v>0.4388888888888888</v>
      </c>
      <c r="O15" s="99">
        <v>0.0</v>
      </c>
      <c r="P15" s="101">
        <v>0.4388888888888888</v>
      </c>
      <c r="Q15" s="101">
        <v>0.44652777777777763</v>
      </c>
      <c r="R15" s="99">
        <v>3.0</v>
      </c>
      <c r="S15" s="101">
        <v>0.44861111111111096</v>
      </c>
      <c r="T15" s="101">
        <v>0.4527777777777776</v>
      </c>
      <c r="U15" s="99">
        <v>2.0</v>
      </c>
      <c r="V15" s="101">
        <v>0.4541666666666665</v>
      </c>
      <c r="W15" s="101">
        <v>0.46597222222222207</v>
      </c>
      <c r="X15" s="99">
        <v>0.0</v>
      </c>
      <c r="Y15" s="101">
        <v>0.46597222222222207</v>
      </c>
      <c r="Z15" s="101">
        <v>0.4784722222222221</v>
      </c>
      <c r="AA15" s="99">
        <v>3.0</v>
      </c>
      <c r="AB15" s="101">
        <v>0.4805555555555554</v>
      </c>
      <c r="AC15" s="103">
        <f t="shared" si="1"/>
        <v>107</v>
      </c>
      <c r="AD15" s="103">
        <f t="shared" si="6"/>
        <v>120</v>
      </c>
      <c r="AE15" s="103">
        <f t="shared" si="3"/>
        <v>13</v>
      </c>
      <c r="AF15" s="104">
        <f t="shared" si="4"/>
        <v>0.1214953271</v>
      </c>
      <c r="AG15" s="142">
        <f t="shared" si="5"/>
        <v>30</v>
      </c>
      <c r="AJ15" s="203"/>
      <c r="AK15" s="109"/>
      <c r="AL15" s="109"/>
    </row>
    <row r="16" ht="13.5" customHeight="1">
      <c r="A16" s="127"/>
      <c r="B16" s="141" t="s">
        <v>78</v>
      </c>
      <c r="C16" s="101">
        <v>0.41805555555555546</v>
      </c>
      <c r="D16" s="101">
        <v>0.43055555555555547</v>
      </c>
      <c r="E16" s="99">
        <v>0.0</v>
      </c>
      <c r="F16" s="101">
        <v>0.43055555555555547</v>
      </c>
      <c r="G16" s="101">
        <v>0.44236111111111104</v>
      </c>
      <c r="H16" s="99">
        <v>3.0</v>
      </c>
      <c r="I16" s="101">
        <v>0.44444444444444436</v>
      </c>
      <c r="J16" s="101">
        <v>0.4479166666666666</v>
      </c>
      <c r="K16" s="99">
        <v>2.0</v>
      </c>
      <c r="L16" s="101">
        <v>0.44930555555555546</v>
      </c>
      <c r="M16" s="101">
        <v>0.45833333333333326</v>
      </c>
      <c r="N16" s="101">
        <v>0.45972222222222214</v>
      </c>
      <c r="O16" s="99">
        <v>0.0</v>
      </c>
      <c r="P16" s="101">
        <v>0.45972222222222214</v>
      </c>
      <c r="Q16" s="101">
        <v>0.467361111111111</v>
      </c>
      <c r="R16" s="99">
        <v>3.0</v>
      </c>
      <c r="S16" s="101">
        <v>0.46944444444444433</v>
      </c>
      <c r="T16" s="101">
        <v>0.473611111111111</v>
      </c>
      <c r="U16" s="99">
        <v>2.0</v>
      </c>
      <c r="V16" s="101">
        <v>0.47499999999999987</v>
      </c>
      <c r="W16" s="101">
        <v>0.48680555555555544</v>
      </c>
      <c r="X16" s="99">
        <v>0.0</v>
      </c>
      <c r="Y16" s="101">
        <v>0.48680555555555544</v>
      </c>
      <c r="Z16" s="101">
        <v>0.49930555555555545</v>
      </c>
      <c r="AA16" s="99">
        <v>3.0</v>
      </c>
      <c r="AB16" s="101">
        <v>0.5013888888888888</v>
      </c>
      <c r="AC16" s="103">
        <f t="shared" si="1"/>
        <v>107</v>
      </c>
      <c r="AD16" s="103">
        <f t="shared" si="6"/>
        <v>120</v>
      </c>
      <c r="AE16" s="103">
        <f t="shared" si="3"/>
        <v>13</v>
      </c>
      <c r="AF16" s="104">
        <f t="shared" si="4"/>
        <v>0.1214953271</v>
      </c>
      <c r="AG16" s="142">
        <f t="shared" si="5"/>
        <v>30</v>
      </c>
      <c r="AJ16" s="203"/>
      <c r="AK16" s="109"/>
      <c r="AL16" s="109"/>
    </row>
    <row r="17" ht="13.5" customHeight="1">
      <c r="A17" s="127"/>
      <c r="B17" s="141" t="s">
        <v>78</v>
      </c>
      <c r="C17" s="101">
        <v>0.43888888888888883</v>
      </c>
      <c r="D17" s="101">
        <v>0.45138888888888884</v>
      </c>
      <c r="E17" s="99">
        <v>0.0</v>
      </c>
      <c r="F17" s="101">
        <v>0.45138888888888884</v>
      </c>
      <c r="G17" s="101">
        <v>0.4631944444444444</v>
      </c>
      <c r="H17" s="99">
        <v>3.0</v>
      </c>
      <c r="I17" s="101">
        <v>0.46527777777777773</v>
      </c>
      <c r="J17" s="101">
        <v>0.46874999999999994</v>
      </c>
      <c r="K17" s="99">
        <v>2.0</v>
      </c>
      <c r="L17" s="101">
        <v>0.47013888888888883</v>
      </c>
      <c r="M17" s="101">
        <v>0.47916666666666663</v>
      </c>
      <c r="N17" s="101">
        <v>0.4805555555555555</v>
      </c>
      <c r="O17" s="99">
        <v>0.0</v>
      </c>
      <c r="P17" s="101">
        <v>0.4805555555555555</v>
      </c>
      <c r="Q17" s="101">
        <v>0.4881944444444444</v>
      </c>
      <c r="R17" s="99">
        <v>3.0</v>
      </c>
      <c r="S17" s="101">
        <v>0.4902777777777777</v>
      </c>
      <c r="T17" s="101">
        <v>0.49444444444444435</v>
      </c>
      <c r="U17" s="99">
        <v>2.0</v>
      </c>
      <c r="V17" s="101">
        <v>0.49583333333333324</v>
      </c>
      <c r="W17" s="101">
        <v>0.5076388888888888</v>
      </c>
      <c r="X17" s="99">
        <v>0.0</v>
      </c>
      <c r="Y17" s="101">
        <v>0.5076388888888888</v>
      </c>
      <c r="Z17" s="101">
        <v>0.5201388888888887</v>
      </c>
      <c r="AA17" s="99">
        <v>3.0</v>
      </c>
      <c r="AB17" s="101">
        <v>0.522222222222222</v>
      </c>
      <c r="AC17" s="103">
        <f t="shared" si="1"/>
        <v>107</v>
      </c>
      <c r="AD17" s="103">
        <f t="shared" si="6"/>
        <v>120</v>
      </c>
      <c r="AE17" s="103">
        <f t="shared" si="3"/>
        <v>13</v>
      </c>
      <c r="AF17" s="104">
        <f t="shared" si="4"/>
        <v>0.1214953271</v>
      </c>
      <c r="AG17" s="142">
        <f t="shared" si="5"/>
        <v>30</v>
      </c>
      <c r="AJ17" s="203"/>
      <c r="AK17" s="109"/>
      <c r="AL17" s="109"/>
    </row>
    <row r="18" ht="13.5" customHeight="1">
      <c r="A18" s="127"/>
      <c r="B18" s="141" t="s">
        <v>78</v>
      </c>
      <c r="C18" s="101">
        <v>0.45972222222222214</v>
      </c>
      <c r="D18" s="101">
        <v>0.47222222222222215</v>
      </c>
      <c r="E18" s="99">
        <v>0.0</v>
      </c>
      <c r="F18" s="101">
        <v>0.47222222222222215</v>
      </c>
      <c r="G18" s="101">
        <v>0.4840277777777777</v>
      </c>
      <c r="H18" s="99">
        <v>3.0</v>
      </c>
      <c r="I18" s="206">
        <v>0.48611111111111105</v>
      </c>
      <c r="J18" s="101">
        <v>0.48958333333333326</v>
      </c>
      <c r="K18" s="99">
        <v>2.0</v>
      </c>
      <c r="L18" s="101">
        <v>0.49097222222222214</v>
      </c>
      <c r="M18" s="101">
        <v>0.49999999999999994</v>
      </c>
      <c r="N18" s="101">
        <v>0.5013888888888889</v>
      </c>
      <c r="O18" s="99">
        <v>0.0</v>
      </c>
      <c r="P18" s="101">
        <v>0.5013888888888889</v>
      </c>
      <c r="Q18" s="101">
        <v>0.5090277777777777</v>
      </c>
      <c r="R18" s="99">
        <v>3.0</v>
      </c>
      <c r="S18" s="101">
        <v>0.5111111111111111</v>
      </c>
      <c r="T18" s="101">
        <v>0.5152777777777777</v>
      </c>
      <c r="U18" s="99">
        <v>2.0</v>
      </c>
      <c r="V18" s="101">
        <v>0.5166666666666666</v>
      </c>
      <c r="W18" s="101">
        <v>0.5284722222222221</v>
      </c>
      <c r="X18" s="99">
        <v>0.0</v>
      </c>
      <c r="Y18" s="101">
        <v>0.5284722222222221</v>
      </c>
      <c r="Z18" s="101">
        <v>0.5409722222222221</v>
      </c>
      <c r="AA18" s="99">
        <v>3.0</v>
      </c>
      <c r="AB18" s="101">
        <v>0.5430555555555554</v>
      </c>
      <c r="AC18" s="103">
        <f t="shared" si="1"/>
        <v>107</v>
      </c>
      <c r="AD18" s="103">
        <f t="shared" si="6"/>
        <v>120</v>
      </c>
      <c r="AE18" s="103">
        <f t="shared" si="3"/>
        <v>13</v>
      </c>
      <c r="AF18" s="104">
        <f t="shared" si="4"/>
        <v>0.1214953271</v>
      </c>
      <c r="AG18" s="142">
        <f t="shared" si="5"/>
        <v>30</v>
      </c>
      <c r="AJ18" s="203"/>
      <c r="AK18" s="109"/>
      <c r="AL18" s="109"/>
    </row>
    <row r="19" ht="13.5" customHeight="1">
      <c r="A19" s="127"/>
      <c r="B19" s="141" t="s">
        <v>78</v>
      </c>
      <c r="C19" s="101">
        <v>0.4805555555555554</v>
      </c>
      <c r="D19" s="101">
        <v>0.4930555555555554</v>
      </c>
      <c r="E19" s="99">
        <v>0.0</v>
      </c>
      <c r="F19" s="101">
        <v>0.4930555555555554</v>
      </c>
      <c r="G19" s="101">
        <v>0.504861111111111</v>
      </c>
      <c r="H19" s="99">
        <v>3.0</v>
      </c>
      <c r="I19" s="101">
        <v>0.5069444444444443</v>
      </c>
      <c r="J19" s="101">
        <v>0.5104166666666665</v>
      </c>
      <c r="K19" s="99">
        <v>2.0</v>
      </c>
      <c r="L19" s="101">
        <v>0.5118055555555554</v>
      </c>
      <c r="M19" s="101">
        <v>0.5208333333333331</v>
      </c>
      <c r="N19" s="101">
        <v>0.522222222222222</v>
      </c>
      <c r="O19" s="99">
        <v>0.0</v>
      </c>
      <c r="P19" s="101">
        <v>0.522222222222222</v>
      </c>
      <c r="Q19" s="101">
        <v>0.5298611111111109</v>
      </c>
      <c r="R19" s="99">
        <v>3.0</v>
      </c>
      <c r="S19" s="101">
        <v>0.5319444444444442</v>
      </c>
      <c r="T19" s="206">
        <v>0.5361111111111109</v>
      </c>
      <c r="U19" s="99">
        <v>2.0</v>
      </c>
      <c r="V19" s="101">
        <v>0.5374999999999998</v>
      </c>
      <c r="W19" s="101">
        <v>0.5493055555555553</v>
      </c>
      <c r="X19" s="99">
        <v>0.0</v>
      </c>
      <c r="Y19" s="101">
        <v>0.5493055555555553</v>
      </c>
      <c r="Z19" s="101">
        <v>0.5618055555555552</v>
      </c>
      <c r="AA19" s="99">
        <v>1.0</v>
      </c>
      <c r="AB19" s="101">
        <v>0.5624999999999997</v>
      </c>
      <c r="AC19" s="103">
        <f t="shared" si="1"/>
        <v>107</v>
      </c>
      <c r="AD19" s="103">
        <f t="shared" si="6"/>
        <v>118</v>
      </c>
      <c r="AE19" s="103">
        <f t="shared" si="3"/>
        <v>11</v>
      </c>
      <c r="AF19" s="104">
        <f t="shared" si="4"/>
        <v>0.1028037383</v>
      </c>
      <c r="AG19" s="142">
        <f t="shared" si="5"/>
        <v>28</v>
      </c>
      <c r="AJ19" s="203"/>
      <c r="AK19" s="109"/>
      <c r="AL19" s="109"/>
    </row>
    <row r="20" ht="13.5" customHeight="1">
      <c r="A20" s="127"/>
      <c r="B20" s="141" t="s">
        <v>78</v>
      </c>
      <c r="C20" s="101">
        <v>0.5013888888888888</v>
      </c>
      <c r="D20" s="101">
        <v>0.5138888888888887</v>
      </c>
      <c r="E20" s="99">
        <v>0.0</v>
      </c>
      <c r="F20" s="101">
        <v>0.5138888888888887</v>
      </c>
      <c r="G20" s="101">
        <v>0.5256944444444442</v>
      </c>
      <c r="H20" s="99">
        <v>3.0</v>
      </c>
      <c r="I20" s="101">
        <v>0.5277777777777776</v>
      </c>
      <c r="J20" s="101">
        <v>0.5312499999999998</v>
      </c>
      <c r="K20" s="99">
        <v>2.0</v>
      </c>
      <c r="L20" s="101">
        <v>0.5326388888888887</v>
      </c>
      <c r="M20" s="101">
        <v>0.5416666666666664</v>
      </c>
      <c r="N20" s="101">
        <v>0.5430555555555553</v>
      </c>
      <c r="O20" s="99">
        <v>0.0</v>
      </c>
      <c r="P20" s="101">
        <v>0.5430555555555553</v>
      </c>
      <c r="Q20" s="101">
        <v>0.5506944444444442</v>
      </c>
      <c r="R20" s="99">
        <v>3.0</v>
      </c>
      <c r="S20" s="101">
        <v>0.5527777777777775</v>
      </c>
      <c r="T20" s="101">
        <v>0.5569444444444441</v>
      </c>
      <c r="U20" s="99">
        <v>2.0</v>
      </c>
      <c r="V20" s="101">
        <v>0.558333333333333</v>
      </c>
      <c r="W20" s="101">
        <v>0.5701388888888885</v>
      </c>
      <c r="X20" s="99">
        <v>0.0</v>
      </c>
      <c r="Y20" s="101">
        <v>0.5701388888888885</v>
      </c>
      <c r="Z20" s="101">
        <v>0.5826388888888885</v>
      </c>
      <c r="AA20" s="99">
        <v>1.0</v>
      </c>
      <c r="AB20" s="101">
        <v>0.5833333333333329</v>
      </c>
      <c r="AC20" s="103">
        <f t="shared" si="1"/>
        <v>107</v>
      </c>
      <c r="AD20" s="103">
        <f t="shared" si="6"/>
        <v>118</v>
      </c>
      <c r="AE20" s="103">
        <f t="shared" si="3"/>
        <v>11</v>
      </c>
      <c r="AF20" s="104">
        <f t="shared" si="4"/>
        <v>0.1028037383</v>
      </c>
      <c r="AG20" s="142">
        <f t="shared" si="5"/>
        <v>30</v>
      </c>
      <c r="AJ20" s="203"/>
      <c r="AK20" s="109"/>
      <c r="AL20" s="109"/>
    </row>
    <row r="21" ht="13.5" customHeight="1">
      <c r="A21" s="127"/>
      <c r="B21" s="141" t="s">
        <v>78</v>
      </c>
      <c r="C21" s="101">
        <v>0.522222222222222</v>
      </c>
      <c r="D21" s="101">
        <v>0.534722222222222</v>
      </c>
      <c r="E21" s="99">
        <v>0.0</v>
      </c>
      <c r="F21" s="101">
        <v>0.534722222222222</v>
      </c>
      <c r="G21" s="101">
        <v>0.5465277777777775</v>
      </c>
      <c r="H21" s="99">
        <v>3.0</v>
      </c>
      <c r="I21" s="101">
        <v>0.5486111111111108</v>
      </c>
      <c r="J21" s="101">
        <v>0.552083333333333</v>
      </c>
      <c r="K21" s="99">
        <v>2.0</v>
      </c>
      <c r="L21" s="101">
        <v>0.5534722222222219</v>
      </c>
      <c r="M21" s="101">
        <v>0.5624999999999997</v>
      </c>
      <c r="N21" s="101">
        <v>0.5638888888888886</v>
      </c>
      <c r="O21" s="99">
        <v>0.0</v>
      </c>
      <c r="P21" s="101">
        <v>0.5638888888888886</v>
      </c>
      <c r="Q21" s="101">
        <v>0.5715277777777774</v>
      </c>
      <c r="R21" s="99">
        <v>3.0</v>
      </c>
      <c r="S21" s="101">
        <v>0.5736111111111107</v>
      </c>
      <c r="T21" s="101">
        <v>0.5777777777777774</v>
      </c>
      <c r="U21" s="145">
        <v>3.0</v>
      </c>
      <c r="V21" s="101">
        <v>0.5798611111111107</v>
      </c>
      <c r="W21" s="101">
        <v>0.5916666666666662</v>
      </c>
      <c r="X21" s="99">
        <v>0.0</v>
      </c>
      <c r="Y21" s="101">
        <v>0.5916666666666662</v>
      </c>
      <c r="Z21" s="101">
        <v>0.6041666666666662</v>
      </c>
      <c r="AA21" s="145">
        <v>0.0</v>
      </c>
      <c r="AB21" s="101">
        <v>0.6041666666666662</v>
      </c>
      <c r="AC21" s="103">
        <f t="shared" si="1"/>
        <v>107</v>
      </c>
      <c r="AD21" s="103">
        <f t="shared" si="6"/>
        <v>118</v>
      </c>
      <c r="AE21" s="103">
        <f t="shared" si="3"/>
        <v>11</v>
      </c>
      <c r="AF21" s="104">
        <f t="shared" si="4"/>
        <v>0.1028037383</v>
      </c>
      <c r="AG21" s="142">
        <f t="shared" si="5"/>
        <v>30</v>
      </c>
      <c r="AJ21" s="203"/>
      <c r="AK21" s="109"/>
      <c r="AL21" s="109"/>
    </row>
    <row r="22" ht="13.5" customHeight="1">
      <c r="A22" s="127"/>
      <c r="B22" s="141" t="s">
        <v>78</v>
      </c>
      <c r="C22" s="101">
        <v>0.5430555555555554</v>
      </c>
      <c r="D22" s="101">
        <v>0.5555555555555554</v>
      </c>
      <c r="E22" s="99">
        <v>0.0</v>
      </c>
      <c r="F22" s="101">
        <v>0.5555555555555554</v>
      </c>
      <c r="G22" s="101">
        <v>0.5673611111111109</v>
      </c>
      <c r="H22" s="99">
        <v>3.0</v>
      </c>
      <c r="I22" s="101">
        <v>0.5694444444444442</v>
      </c>
      <c r="J22" s="101">
        <v>0.5729166666666664</v>
      </c>
      <c r="K22" s="99">
        <v>2.0</v>
      </c>
      <c r="L22" s="101">
        <v>0.5743055555555553</v>
      </c>
      <c r="M22" s="101">
        <v>0.583333333333333</v>
      </c>
      <c r="N22" s="101">
        <v>0.5847222222222219</v>
      </c>
      <c r="O22" s="99">
        <v>0.0</v>
      </c>
      <c r="P22" s="101">
        <v>0.5847222222222219</v>
      </c>
      <c r="Q22" s="101">
        <v>0.5923611111111108</v>
      </c>
      <c r="R22" s="99">
        <v>3.0</v>
      </c>
      <c r="S22" s="101">
        <v>0.5944444444444441</v>
      </c>
      <c r="T22" s="101">
        <v>0.5986111111111108</v>
      </c>
      <c r="U22" s="99">
        <v>2.0</v>
      </c>
      <c r="V22" s="101">
        <v>0.5999999999999996</v>
      </c>
      <c r="W22" s="101">
        <v>0.6118055555555552</v>
      </c>
      <c r="X22" s="99">
        <v>0.0</v>
      </c>
      <c r="Y22" s="101">
        <v>0.6118055555555552</v>
      </c>
      <c r="Z22" s="101">
        <v>0.6243055555555551</v>
      </c>
      <c r="AA22" s="99">
        <v>1.0</v>
      </c>
      <c r="AB22" s="101">
        <v>0.6249999999999996</v>
      </c>
      <c r="AC22" s="103">
        <f t="shared" si="1"/>
        <v>107</v>
      </c>
      <c r="AD22" s="103">
        <f t="shared" si="6"/>
        <v>118</v>
      </c>
      <c r="AE22" s="103">
        <f t="shared" si="3"/>
        <v>11</v>
      </c>
      <c r="AF22" s="104">
        <f t="shared" si="4"/>
        <v>0.1028037383</v>
      </c>
      <c r="AG22" s="142">
        <f t="shared" si="5"/>
        <v>30</v>
      </c>
      <c r="AJ22" s="203"/>
      <c r="AK22" s="109"/>
      <c r="AL22" s="109"/>
    </row>
    <row r="23" ht="13.5" customHeight="1">
      <c r="A23" s="127"/>
      <c r="B23" s="141" t="s">
        <v>7</v>
      </c>
      <c r="C23" s="101">
        <v>0.5624999999999997</v>
      </c>
      <c r="D23" s="101">
        <v>0.5756944444444441</v>
      </c>
      <c r="E23" s="99">
        <v>0.0</v>
      </c>
      <c r="F23" s="101">
        <v>0.5756944444444441</v>
      </c>
      <c r="G23" s="101">
        <v>0.5874999999999996</v>
      </c>
      <c r="H23" s="99">
        <v>2.0</v>
      </c>
      <c r="I23" s="101">
        <v>0.5888888888888885</v>
      </c>
      <c r="J23" s="101">
        <v>0.5930555555555551</v>
      </c>
      <c r="K23" s="99">
        <v>2.0</v>
      </c>
      <c r="L23" s="101">
        <v>0.594444444444444</v>
      </c>
      <c r="M23" s="208">
        <v>0.6041666666666662</v>
      </c>
      <c r="N23" s="101">
        <v>0.6055555555555551</v>
      </c>
      <c r="O23" s="99">
        <v>0.0</v>
      </c>
      <c r="P23" s="101">
        <v>0.6055555555555551</v>
      </c>
      <c r="Q23" s="101">
        <v>0.6138888888888884</v>
      </c>
      <c r="R23" s="99">
        <v>3.0</v>
      </c>
      <c r="S23" s="101">
        <v>0.6159722222222217</v>
      </c>
      <c r="T23" s="101">
        <v>0.6201388888888884</v>
      </c>
      <c r="U23" s="99">
        <v>1.0</v>
      </c>
      <c r="V23" s="101">
        <v>0.6208333333333328</v>
      </c>
      <c r="W23" s="101">
        <v>0.6326388888888883</v>
      </c>
      <c r="X23" s="99">
        <v>0.0</v>
      </c>
      <c r="Y23" s="101">
        <v>0.6326388888888883</v>
      </c>
      <c r="Z23" s="101">
        <v>0.6451388888888883</v>
      </c>
      <c r="AA23" s="99">
        <v>1.0</v>
      </c>
      <c r="AB23" s="101">
        <v>0.6458333333333327</v>
      </c>
      <c r="AC23" s="103">
        <f t="shared" si="1"/>
        <v>111</v>
      </c>
      <c r="AD23" s="103">
        <f t="shared" si="6"/>
        <v>120</v>
      </c>
      <c r="AE23" s="103">
        <f t="shared" si="3"/>
        <v>9</v>
      </c>
      <c r="AF23" s="104">
        <f t="shared" si="4"/>
        <v>0.08108108108</v>
      </c>
      <c r="AG23" s="142">
        <f t="shared" si="5"/>
        <v>30</v>
      </c>
      <c r="AJ23" s="203"/>
      <c r="AK23" s="109"/>
      <c r="AL23" s="109"/>
    </row>
    <row r="24" ht="13.5" customHeight="1">
      <c r="A24" s="127"/>
      <c r="B24" s="141" t="s">
        <v>7</v>
      </c>
      <c r="C24" s="101">
        <v>0.5833333333333329</v>
      </c>
      <c r="D24" s="208">
        <v>0.5965277777777773</v>
      </c>
      <c r="E24" s="99">
        <v>0.0</v>
      </c>
      <c r="F24" s="101">
        <v>0.5965277777777773</v>
      </c>
      <c r="G24" s="101">
        <v>0.6083333333333328</v>
      </c>
      <c r="H24" s="99">
        <v>2.0</v>
      </c>
      <c r="I24" s="101">
        <v>0.6097222222222217</v>
      </c>
      <c r="J24" s="101">
        <v>0.6138888888888884</v>
      </c>
      <c r="K24" s="99">
        <v>2.0</v>
      </c>
      <c r="L24" s="101">
        <v>0.6152777777777773</v>
      </c>
      <c r="M24" s="101">
        <v>0.6249999999999994</v>
      </c>
      <c r="N24" s="101">
        <v>0.6263888888888883</v>
      </c>
      <c r="O24" s="99">
        <v>0.0</v>
      </c>
      <c r="P24" s="101">
        <v>0.6263888888888883</v>
      </c>
      <c r="Q24" s="101">
        <v>0.6347222222222216</v>
      </c>
      <c r="R24" s="99">
        <v>3.0</v>
      </c>
      <c r="S24" s="101">
        <v>0.636805555555555</v>
      </c>
      <c r="T24" s="101">
        <v>0.6409722222222216</v>
      </c>
      <c r="U24" s="99">
        <v>1.0</v>
      </c>
      <c r="V24" s="101">
        <v>0.641666666666666</v>
      </c>
      <c r="W24" s="101">
        <v>0.6534722222222216</v>
      </c>
      <c r="X24" s="99">
        <v>0.0</v>
      </c>
      <c r="Y24" s="101">
        <v>0.6534722222222216</v>
      </c>
      <c r="Z24" s="101">
        <v>0.6659722222222215</v>
      </c>
      <c r="AA24" s="99">
        <v>1.0</v>
      </c>
      <c r="AB24" s="101">
        <v>0.666666666666666</v>
      </c>
      <c r="AC24" s="103">
        <f t="shared" si="1"/>
        <v>111</v>
      </c>
      <c r="AD24" s="103">
        <f t="shared" si="6"/>
        <v>120</v>
      </c>
      <c r="AE24" s="103">
        <f t="shared" si="3"/>
        <v>9</v>
      </c>
      <c r="AF24" s="104">
        <f t="shared" si="4"/>
        <v>0.08108108108</v>
      </c>
      <c r="AG24" s="142">
        <f t="shared" si="5"/>
        <v>30</v>
      </c>
      <c r="AJ24" s="203"/>
      <c r="AK24" s="109"/>
      <c r="AL24" s="109"/>
    </row>
    <row r="25" ht="13.5" customHeight="1">
      <c r="A25" s="127"/>
      <c r="B25" s="141" t="s">
        <v>7</v>
      </c>
      <c r="C25" s="101">
        <v>0.6041666666666662</v>
      </c>
      <c r="D25" s="101">
        <v>0.6173611111111106</v>
      </c>
      <c r="E25" s="99">
        <v>0.0</v>
      </c>
      <c r="F25" s="101">
        <v>0.6173611111111106</v>
      </c>
      <c r="G25" s="101">
        <v>0.6291666666666661</v>
      </c>
      <c r="H25" s="99">
        <v>2.0</v>
      </c>
      <c r="I25" s="101">
        <v>0.630555555555555</v>
      </c>
      <c r="J25" s="101">
        <v>0.6347222222222216</v>
      </c>
      <c r="K25" s="99">
        <v>2.0</v>
      </c>
      <c r="L25" s="101">
        <v>0.6361111111111105</v>
      </c>
      <c r="M25" s="101">
        <v>0.6458333333333327</v>
      </c>
      <c r="N25" s="101">
        <v>0.6472222222222216</v>
      </c>
      <c r="O25" s="99">
        <v>0.0</v>
      </c>
      <c r="P25" s="101">
        <v>0.6472222222222216</v>
      </c>
      <c r="Q25" s="101">
        <v>0.6555555555555549</v>
      </c>
      <c r="R25" s="99">
        <v>3.0</v>
      </c>
      <c r="S25" s="101">
        <v>0.6576388888888882</v>
      </c>
      <c r="T25" s="101">
        <v>0.6618055555555549</v>
      </c>
      <c r="U25" s="99">
        <v>1.0</v>
      </c>
      <c r="V25" s="101">
        <v>0.6624999999999993</v>
      </c>
      <c r="W25" s="101">
        <v>0.6743055555555548</v>
      </c>
      <c r="X25" s="99">
        <v>0.0</v>
      </c>
      <c r="Y25" s="101">
        <v>0.6743055555555548</v>
      </c>
      <c r="Z25" s="101">
        <v>0.6868055555555548</v>
      </c>
      <c r="AA25" s="99">
        <v>3.0</v>
      </c>
      <c r="AB25" s="101">
        <v>0.6888888888888881</v>
      </c>
      <c r="AC25" s="103">
        <f t="shared" si="1"/>
        <v>111</v>
      </c>
      <c r="AD25" s="103">
        <f t="shared" si="6"/>
        <v>122</v>
      </c>
      <c r="AE25" s="103">
        <f t="shared" si="3"/>
        <v>11</v>
      </c>
      <c r="AF25" s="104">
        <f t="shared" si="4"/>
        <v>0.0990990991</v>
      </c>
      <c r="AG25" s="142">
        <f t="shared" si="5"/>
        <v>32</v>
      </c>
      <c r="AJ25" s="203"/>
      <c r="AK25" s="109"/>
      <c r="AL25" s="109"/>
    </row>
    <row r="26" ht="13.5" customHeight="1">
      <c r="A26" s="127"/>
      <c r="B26" s="141" t="s">
        <v>7</v>
      </c>
      <c r="C26" s="101">
        <v>0.6249999999999996</v>
      </c>
      <c r="D26" s="101">
        <v>0.638194444444444</v>
      </c>
      <c r="E26" s="99">
        <v>0.0</v>
      </c>
      <c r="F26" s="101">
        <v>0.638194444444444</v>
      </c>
      <c r="G26" s="101">
        <v>0.6499999999999995</v>
      </c>
      <c r="H26" s="99">
        <v>2.0</v>
      </c>
      <c r="I26" s="101">
        <v>0.6513888888888884</v>
      </c>
      <c r="J26" s="101">
        <v>0.655555555555555</v>
      </c>
      <c r="K26" s="99">
        <v>2.0</v>
      </c>
      <c r="L26" s="101">
        <v>0.6569444444444439</v>
      </c>
      <c r="M26" s="101">
        <v>0.6666666666666661</v>
      </c>
      <c r="N26" s="101">
        <v>0.668055555555555</v>
      </c>
      <c r="O26" s="99">
        <v>0.0</v>
      </c>
      <c r="P26" s="101">
        <v>0.668055555555555</v>
      </c>
      <c r="Q26" s="101">
        <v>0.6763888888888883</v>
      </c>
      <c r="R26" s="99">
        <v>3.0</v>
      </c>
      <c r="S26" s="101">
        <v>0.6784722222222216</v>
      </c>
      <c r="T26" s="101">
        <v>0.6826388888888882</v>
      </c>
      <c r="U26" s="99">
        <v>1.0</v>
      </c>
      <c r="V26" s="101">
        <v>0.6833333333333327</v>
      </c>
      <c r="W26" s="101">
        <v>0.6951388888888882</v>
      </c>
      <c r="X26" s="99">
        <v>0.0</v>
      </c>
      <c r="Y26" s="101">
        <v>0.6951388888888882</v>
      </c>
      <c r="Z26" s="101">
        <v>0.7076388888888882</v>
      </c>
      <c r="AA26" s="99">
        <v>3.0</v>
      </c>
      <c r="AB26" s="101">
        <v>0.7097222222222215</v>
      </c>
      <c r="AC26" s="103">
        <f t="shared" si="1"/>
        <v>111</v>
      </c>
      <c r="AD26" s="103">
        <f t="shared" si="6"/>
        <v>122</v>
      </c>
      <c r="AE26" s="103">
        <f t="shared" si="3"/>
        <v>11</v>
      </c>
      <c r="AF26" s="104">
        <f t="shared" si="4"/>
        <v>0.0990990991</v>
      </c>
      <c r="AG26" s="142">
        <f t="shared" si="5"/>
        <v>30</v>
      </c>
      <c r="AJ26" s="203"/>
      <c r="AK26" s="109"/>
      <c r="AL26" s="109"/>
    </row>
    <row r="27" ht="13.5" customHeight="1">
      <c r="A27" s="127"/>
      <c r="B27" s="141" t="s">
        <v>7</v>
      </c>
      <c r="C27" s="101">
        <v>0.6458333333333327</v>
      </c>
      <c r="D27" s="101">
        <v>0.6590277777777771</v>
      </c>
      <c r="E27" s="99">
        <v>0.0</v>
      </c>
      <c r="F27" s="101">
        <v>0.6590277777777771</v>
      </c>
      <c r="G27" s="101">
        <v>0.6708333333333326</v>
      </c>
      <c r="H27" s="99">
        <v>2.0</v>
      </c>
      <c r="I27" s="101">
        <v>0.6722222222222215</v>
      </c>
      <c r="J27" s="101">
        <v>0.6763888888888882</v>
      </c>
      <c r="K27" s="99">
        <v>2.0</v>
      </c>
      <c r="L27" s="101">
        <v>0.677777777777777</v>
      </c>
      <c r="M27" s="101">
        <v>0.6874999999999992</v>
      </c>
      <c r="N27" s="101">
        <v>0.6888888888888881</v>
      </c>
      <c r="O27" s="99">
        <v>0.0</v>
      </c>
      <c r="P27" s="101">
        <v>0.6888888888888881</v>
      </c>
      <c r="Q27" s="101">
        <v>0.6972222222222214</v>
      </c>
      <c r="R27" s="99">
        <v>3.0</v>
      </c>
      <c r="S27" s="101">
        <v>0.6993055555555547</v>
      </c>
      <c r="T27" s="101">
        <v>0.7034722222222214</v>
      </c>
      <c r="U27" s="99">
        <v>1.0</v>
      </c>
      <c r="V27" s="101">
        <v>0.7041666666666658</v>
      </c>
      <c r="W27" s="101">
        <v>0.7159722222222213</v>
      </c>
      <c r="X27" s="99">
        <v>0.0</v>
      </c>
      <c r="Y27" s="101">
        <v>0.7159722222222213</v>
      </c>
      <c r="Z27" s="101">
        <v>0.7284722222222213</v>
      </c>
      <c r="AA27" s="99">
        <v>4.0</v>
      </c>
      <c r="AB27" s="101">
        <v>0.7312499999999991</v>
      </c>
      <c r="AC27" s="103">
        <f t="shared" si="1"/>
        <v>111</v>
      </c>
      <c r="AD27" s="103">
        <f t="shared" si="6"/>
        <v>123</v>
      </c>
      <c r="AE27" s="103">
        <f t="shared" si="3"/>
        <v>12</v>
      </c>
      <c r="AF27" s="104">
        <f t="shared" si="4"/>
        <v>0.1081081081</v>
      </c>
      <c r="AG27" s="142">
        <f t="shared" si="5"/>
        <v>31</v>
      </c>
      <c r="AJ27" s="203"/>
      <c r="AK27" s="109"/>
      <c r="AL27" s="109"/>
    </row>
    <row r="28" ht="13.5" customHeight="1">
      <c r="A28" s="127"/>
      <c r="B28" s="141" t="s">
        <v>7</v>
      </c>
      <c r="C28" s="101">
        <v>0.666666666666666</v>
      </c>
      <c r="D28" s="101">
        <v>0.6798611111111104</v>
      </c>
      <c r="E28" s="99">
        <v>0.0</v>
      </c>
      <c r="F28" s="101">
        <v>0.6798611111111104</v>
      </c>
      <c r="G28" s="101">
        <v>0.6916666666666659</v>
      </c>
      <c r="H28" s="99">
        <v>2.0</v>
      </c>
      <c r="I28" s="101">
        <v>0.6930555555555548</v>
      </c>
      <c r="J28" s="101">
        <v>0.6972222222222214</v>
      </c>
      <c r="K28" s="99">
        <v>2.0</v>
      </c>
      <c r="L28" s="101">
        <v>0.6986111111111103</v>
      </c>
      <c r="M28" s="101">
        <v>0.7083333333333325</v>
      </c>
      <c r="N28" s="101">
        <v>0.7097222222222214</v>
      </c>
      <c r="O28" s="99">
        <v>0.0</v>
      </c>
      <c r="P28" s="101">
        <v>0.7097222222222214</v>
      </c>
      <c r="Q28" s="101">
        <v>0.7180555555555547</v>
      </c>
      <c r="R28" s="99">
        <v>3.0</v>
      </c>
      <c r="S28" s="101">
        <v>0.720138888888888</v>
      </c>
      <c r="T28" s="101">
        <v>0.7243055555555546</v>
      </c>
      <c r="U28" s="99">
        <v>1.0</v>
      </c>
      <c r="V28" s="101">
        <v>0.7249999999999991</v>
      </c>
      <c r="W28" s="101">
        <v>0.7368055555555546</v>
      </c>
      <c r="X28" s="99">
        <v>0.0</v>
      </c>
      <c r="Y28" s="101">
        <v>0.7368055555555546</v>
      </c>
      <c r="Z28" s="101">
        <v>0.7493055555555546</v>
      </c>
      <c r="AA28" s="99">
        <v>4.0</v>
      </c>
      <c r="AB28" s="101">
        <v>0.7520833333333323</v>
      </c>
      <c r="AC28" s="103">
        <f t="shared" si="1"/>
        <v>111</v>
      </c>
      <c r="AD28" s="103">
        <f t="shared" si="6"/>
        <v>123</v>
      </c>
      <c r="AE28" s="103">
        <f t="shared" si="3"/>
        <v>12</v>
      </c>
      <c r="AF28" s="104">
        <f t="shared" si="4"/>
        <v>0.1081081081</v>
      </c>
      <c r="AG28" s="142">
        <f t="shared" si="5"/>
        <v>30</v>
      </c>
      <c r="AJ28" s="203"/>
      <c r="AK28" s="109"/>
      <c r="AL28" s="109"/>
    </row>
    <row r="29" ht="13.5" customHeight="1">
      <c r="A29" s="127"/>
      <c r="B29" s="141" t="s">
        <v>78</v>
      </c>
      <c r="C29" s="101">
        <v>0.6888888888888881</v>
      </c>
      <c r="D29" s="101">
        <v>0.7013888888888881</v>
      </c>
      <c r="E29" s="99">
        <v>0.0</v>
      </c>
      <c r="F29" s="101">
        <v>0.7013888888888881</v>
      </c>
      <c r="G29" s="101">
        <v>0.7131944444444436</v>
      </c>
      <c r="H29" s="99">
        <v>2.0</v>
      </c>
      <c r="I29" s="101">
        <v>0.7145833333333325</v>
      </c>
      <c r="J29" s="101">
        <v>0.7180555555555547</v>
      </c>
      <c r="K29" s="99">
        <v>3.0</v>
      </c>
      <c r="L29" s="101">
        <v>0.720138888888888</v>
      </c>
      <c r="M29" s="101">
        <v>0.7291666666666657</v>
      </c>
      <c r="N29" s="101">
        <v>0.7305555555555546</v>
      </c>
      <c r="O29" s="99">
        <v>0.0</v>
      </c>
      <c r="P29" s="101">
        <v>0.7305555555555546</v>
      </c>
      <c r="Q29" s="101">
        <v>0.7381944444444435</v>
      </c>
      <c r="R29" s="99">
        <v>3.0</v>
      </c>
      <c r="S29" s="101">
        <v>0.7402777777777768</v>
      </c>
      <c r="T29" s="101">
        <v>0.7444444444444435</v>
      </c>
      <c r="U29" s="99">
        <v>2.0</v>
      </c>
      <c r="V29" s="101">
        <v>0.7458333333333323</v>
      </c>
      <c r="W29" s="101">
        <v>0.7576388888888879</v>
      </c>
      <c r="X29" s="99">
        <v>0.0</v>
      </c>
      <c r="Y29" s="101">
        <v>0.7576388888888879</v>
      </c>
      <c r="Z29" s="101">
        <v>0.7701388888888878</v>
      </c>
      <c r="AA29" s="99">
        <v>4.0</v>
      </c>
      <c r="AB29" s="101">
        <v>0.7729166666666656</v>
      </c>
      <c r="AC29" s="103">
        <f t="shared" si="1"/>
        <v>107</v>
      </c>
      <c r="AD29" s="103">
        <f t="shared" si="6"/>
        <v>121</v>
      </c>
      <c r="AE29" s="103">
        <f t="shared" si="3"/>
        <v>14</v>
      </c>
      <c r="AF29" s="104">
        <f t="shared" si="4"/>
        <v>0.1308411215</v>
      </c>
      <c r="AG29" s="142">
        <f t="shared" si="5"/>
        <v>30</v>
      </c>
      <c r="AJ29" s="203"/>
      <c r="AK29" s="109"/>
      <c r="AL29" s="109"/>
    </row>
    <row r="30" ht="13.5" customHeight="1">
      <c r="A30" s="127"/>
      <c r="B30" s="141" t="s">
        <v>78</v>
      </c>
      <c r="C30" s="101">
        <v>0.7097222222222215</v>
      </c>
      <c r="D30" s="101">
        <v>0.7222222222222214</v>
      </c>
      <c r="E30" s="99">
        <v>0.0</v>
      </c>
      <c r="F30" s="101">
        <v>0.7222222222222214</v>
      </c>
      <c r="G30" s="101">
        <v>0.734027777777777</v>
      </c>
      <c r="H30" s="99">
        <v>2.0</v>
      </c>
      <c r="I30" s="101">
        <v>0.7354166666666658</v>
      </c>
      <c r="J30" s="101">
        <v>0.738888888888888</v>
      </c>
      <c r="K30" s="99">
        <v>3.0</v>
      </c>
      <c r="L30" s="101">
        <v>0.7409722222222214</v>
      </c>
      <c r="M30" s="101">
        <v>0.7499999999999991</v>
      </c>
      <c r="N30" s="101">
        <v>0.751388888888888</v>
      </c>
      <c r="O30" s="99">
        <v>0.0</v>
      </c>
      <c r="P30" s="101">
        <v>0.751388888888888</v>
      </c>
      <c r="Q30" s="101">
        <v>0.7590277777777769</v>
      </c>
      <c r="R30" s="99">
        <v>3.0</v>
      </c>
      <c r="S30" s="101">
        <v>0.7611111111111102</v>
      </c>
      <c r="T30" s="101">
        <v>0.7652777777777768</v>
      </c>
      <c r="U30" s="99">
        <v>5.0</v>
      </c>
      <c r="V30" s="206">
        <v>0.768749999999999</v>
      </c>
      <c r="W30" s="101">
        <v>0.7805555555555546</v>
      </c>
      <c r="X30" s="99">
        <v>0.0</v>
      </c>
      <c r="Y30" s="101">
        <v>0.7805555555555546</v>
      </c>
      <c r="Z30" s="101">
        <v>0.7930555555555545</v>
      </c>
      <c r="AA30" s="99"/>
      <c r="AB30" s="155"/>
      <c r="AC30" s="103">
        <f t="shared" si="1"/>
        <v>107</v>
      </c>
      <c r="AD30" s="103">
        <f>(Z30-C30)*1440</f>
        <v>120</v>
      </c>
      <c r="AE30" s="103">
        <f t="shared" si="3"/>
        <v>13</v>
      </c>
      <c r="AF30" s="104">
        <f t="shared" si="4"/>
        <v>0.1214953271</v>
      </c>
      <c r="AG30" s="142">
        <f t="shared" ref="AG30:AG32" si="7">(Z30-Z29)*1440</f>
        <v>33</v>
      </c>
      <c r="AJ30" s="203"/>
      <c r="AK30" s="109"/>
      <c r="AL30" s="109"/>
    </row>
    <row r="31" ht="13.5" customHeight="1">
      <c r="A31" s="127"/>
      <c r="B31" s="141" t="s">
        <v>79</v>
      </c>
      <c r="C31" s="101">
        <v>0.7312499999999991</v>
      </c>
      <c r="D31" s="101">
        <v>0.743749999999999</v>
      </c>
      <c r="E31" s="99">
        <v>0.0</v>
      </c>
      <c r="F31" s="101">
        <v>0.743749999999999</v>
      </c>
      <c r="G31" s="101">
        <v>0.7548611111111101</v>
      </c>
      <c r="H31" s="99">
        <v>3.0</v>
      </c>
      <c r="I31" s="101">
        <v>0.7569444444444434</v>
      </c>
      <c r="J31" s="101">
        <v>0.7604166666666656</v>
      </c>
      <c r="K31" s="99">
        <v>3.0</v>
      </c>
      <c r="L31" s="101">
        <v>0.762499999999999</v>
      </c>
      <c r="M31" s="101">
        <v>0.7701388888888878</v>
      </c>
      <c r="N31" s="101">
        <v>0.7715277777777767</v>
      </c>
      <c r="O31" s="99">
        <v>2.0</v>
      </c>
      <c r="P31" s="101">
        <v>0.7729166666666656</v>
      </c>
      <c r="Q31" s="101">
        <v>0.7791666666666656</v>
      </c>
      <c r="R31" s="99">
        <v>5.0</v>
      </c>
      <c r="S31" s="101">
        <v>0.7826388888888878</v>
      </c>
      <c r="T31" s="101">
        <v>0.7868055555555544</v>
      </c>
      <c r="U31" s="99">
        <v>5.0</v>
      </c>
      <c r="V31" s="206">
        <v>0.7902777777777766</v>
      </c>
      <c r="W31" s="101">
        <v>0.8020833333333321</v>
      </c>
      <c r="X31" s="99">
        <v>0.0</v>
      </c>
      <c r="Y31" s="101">
        <v>0.8020833333333321</v>
      </c>
      <c r="Z31" s="101">
        <v>0.8145833333333321</v>
      </c>
      <c r="AA31" s="99">
        <v>0.0</v>
      </c>
      <c r="AB31" s="101">
        <v>0.8145833333333321</v>
      </c>
      <c r="AC31" s="103">
        <f t="shared" si="1"/>
        <v>102</v>
      </c>
      <c r="AD31" s="103">
        <f>(AB31-C31)*1440</f>
        <v>120</v>
      </c>
      <c r="AE31" s="103">
        <f t="shared" si="3"/>
        <v>18</v>
      </c>
      <c r="AF31" s="104">
        <f t="shared" si="4"/>
        <v>0.1764705882</v>
      </c>
      <c r="AG31" s="142">
        <f t="shared" si="7"/>
        <v>31</v>
      </c>
      <c r="AJ31" s="203"/>
      <c r="AK31" s="109"/>
      <c r="AL31" s="109"/>
    </row>
    <row r="32" ht="13.5" customHeight="1">
      <c r="A32" s="127"/>
      <c r="B32" s="141" t="s">
        <v>79</v>
      </c>
      <c r="C32" s="101">
        <v>0.7520833333333323</v>
      </c>
      <c r="D32" s="101">
        <v>0.7645833333333323</v>
      </c>
      <c r="E32" s="99">
        <v>0.0</v>
      </c>
      <c r="F32" s="101">
        <v>0.7645833333333323</v>
      </c>
      <c r="G32" s="101">
        <v>0.7756944444444434</v>
      </c>
      <c r="H32" s="99">
        <v>3.0</v>
      </c>
      <c r="I32" s="101">
        <v>0.7777777777777767</v>
      </c>
      <c r="J32" s="101">
        <v>0.7812499999999989</v>
      </c>
      <c r="K32" s="99">
        <v>3.0</v>
      </c>
      <c r="L32" s="101">
        <v>0.7833333333333322</v>
      </c>
      <c r="M32" s="101">
        <v>0.7909722222222211</v>
      </c>
      <c r="N32" s="101">
        <v>0.79236111111111</v>
      </c>
      <c r="O32" s="99">
        <v>2.0</v>
      </c>
      <c r="P32" s="101">
        <v>0.7937499999999988</v>
      </c>
      <c r="Q32" s="101">
        <v>0.7999999999999988</v>
      </c>
      <c r="R32" s="99">
        <v>4.0</v>
      </c>
      <c r="S32" s="101">
        <v>0.8027777777777766</v>
      </c>
      <c r="T32" s="101">
        <v>0.8069444444444432</v>
      </c>
      <c r="U32" s="99">
        <v>2.0</v>
      </c>
      <c r="V32" s="101">
        <v>0.8083333333333321</v>
      </c>
      <c r="W32" s="101">
        <v>0.8201388888888876</v>
      </c>
      <c r="X32" s="99">
        <v>0.0</v>
      </c>
      <c r="Y32" s="101">
        <v>0.8201388888888876</v>
      </c>
      <c r="Z32" s="101">
        <v>0.8326388888888876</v>
      </c>
      <c r="AA32" s="99"/>
      <c r="AB32" s="155"/>
      <c r="AC32" s="103">
        <f t="shared" si="1"/>
        <v>102</v>
      </c>
      <c r="AD32" s="103">
        <f>(Z32-C32)*1440</f>
        <v>116</v>
      </c>
      <c r="AE32" s="103">
        <f t="shared" si="3"/>
        <v>14</v>
      </c>
      <c r="AF32" s="104">
        <f t="shared" si="4"/>
        <v>0.137254902</v>
      </c>
      <c r="AG32" s="142">
        <f t="shared" si="7"/>
        <v>26</v>
      </c>
      <c r="AJ32" s="203"/>
      <c r="AK32" s="109"/>
      <c r="AL32" s="109"/>
    </row>
    <row r="33" ht="13.5" customHeight="1">
      <c r="A33" s="127"/>
      <c r="B33" s="141" t="s">
        <v>79</v>
      </c>
      <c r="C33" s="101">
        <v>0.7729166666666656</v>
      </c>
      <c r="D33" s="101">
        <v>0.7854166666666655</v>
      </c>
      <c r="E33" s="99">
        <v>0.0</v>
      </c>
      <c r="F33" s="101">
        <v>0.7854166666666655</v>
      </c>
      <c r="G33" s="101">
        <v>0.7965277777777766</v>
      </c>
      <c r="H33" s="99">
        <v>3.0</v>
      </c>
      <c r="I33" s="206">
        <v>0.7986111111111099</v>
      </c>
      <c r="J33" s="101">
        <v>0.8020833333333321</v>
      </c>
      <c r="K33" s="99">
        <v>3.0</v>
      </c>
      <c r="L33" s="101">
        <v>0.8041666666666655</v>
      </c>
      <c r="M33" s="101">
        <v>0.8118055555555543</v>
      </c>
      <c r="N33" s="101">
        <v>0.8131944444444432</v>
      </c>
      <c r="O33" s="99">
        <v>2.0</v>
      </c>
      <c r="P33" s="101">
        <v>0.8145833333333321</v>
      </c>
      <c r="Q33" s="101">
        <v>0.8208333333333321</v>
      </c>
      <c r="R33" s="99">
        <v>4.0</v>
      </c>
      <c r="S33" s="101">
        <v>0.8236111111111099</v>
      </c>
      <c r="T33" s="101">
        <v>0.8277777777777765</v>
      </c>
      <c r="U33" s="99">
        <v>2.0</v>
      </c>
      <c r="V33" s="101">
        <v>0.8291666666666654</v>
      </c>
      <c r="W33" s="101">
        <v>0.8409722222222209</v>
      </c>
      <c r="X33" s="99">
        <v>0.0</v>
      </c>
      <c r="Y33" s="101">
        <v>0.8409722222222209</v>
      </c>
      <c r="Z33" s="101">
        <v>0.8534722222222209</v>
      </c>
      <c r="AA33" s="99">
        <v>5.0</v>
      </c>
      <c r="AB33" s="101">
        <v>0.8569444444444431</v>
      </c>
      <c r="AC33" s="103">
        <f t="shared" si="1"/>
        <v>102</v>
      </c>
      <c r="AD33" s="103">
        <f t="shared" ref="AD33:AD36" si="8">(AB33-C33)*1440</f>
        <v>121</v>
      </c>
      <c r="AE33" s="103">
        <f t="shared" si="3"/>
        <v>19</v>
      </c>
      <c r="AF33" s="104">
        <f t="shared" si="4"/>
        <v>0.1862745098</v>
      </c>
      <c r="AG33" s="142">
        <f>(AB33-AB31)*1440</f>
        <v>61</v>
      </c>
      <c r="AJ33" s="203"/>
      <c r="AK33" s="109"/>
      <c r="AL33" s="109"/>
    </row>
    <row r="34" ht="13.5" customHeight="1">
      <c r="A34" s="127"/>
      <c r="B34" s="141" t="s">
        <v>79</v>
      </c>
      <c r="C34" s="101">
        <v>0.8145833333333321</v>
      </c>
      <c r="D34" s="101">
        <v>0.8270833333333321</v>
      </c>
      <c r="E34" s="99">
        <v>0.0</v>
      </c>
      <c r="F34" s="101">
        <v>0.8270833333333321</v>
      </c>
      <c r="G34" s="101">
        <v>0.8381944444444431</v>
      </c>
      <c r="H34" s="99">
        <v>3.0</v>
      </c>
      <c r="I34" s="101">
        <v>0.8402777777777765</v>
      </c>
      <c r="J34" s="101">
        <v>0.8437499999999987</v>
      </c>
      <c r="K34" s="99">
        <v>3.0</v>
      </c>
      <c r="L34" s="101">
        <v>0.845833333333332</v>
      </c>
      <c r="M34" s="101">
        <v>0.8534722222222209</v>
      </c>
      <c r="N34" s="101">
        <v>0.8548611111111097</v>
      </c>
      <c r="O34" s="99">
        <v>2.0</v>
      </c>
      <c r="P34" s="101">
        <v>0.8562499999999986</v>
      </c>
      <c r="Q34" s="101">
        <v>0.8624999999999986</v>
      </c>
      <c r="R34" s="99">
        <v>4.0</v>
      </c>
      <c r="S34" s="101">
        <v>0.8652777777777764</v>
      </c>
      <c r="T34" s="101">
        <v>0.869444444444443</v>
      </c>
      <c r="U34" s="99">
        <v>2.0</v>
      </c>
      <c r="V34" s="101">
        <v>0.8708333333333319</v>
      </c>
      <c r="W34" s="101">
        <v>0.8826388888888874</v>
      </c>
      <c r="X34" s="99">
        <v>0.0</v>
      </c>
      <c r="Y34" s="101">
        <v>0.8826388888888874</v>
      </c>
      <c r="Z34" s="101">
        <v>0.8951388888888874</v>
      </c>
      <c r="AA34" s="99">
        <v>5.0</v>
      </c>
      <c r="AB34" s="101">
        <v>0.8986111111111096</v>
      </c>
      <c r="AC34" s="103">
        <f t="shared" si="1"/>
        <v>102</v>
      </c>
      <c r="AD34" s="103">
        <f t="shared" si="8"/>
        <v>121</v>
      </c>
      <c r="AE34" s="103">
        <f t="shared" si="3"/>
        <v>19</v>
      </c>
      <c r="AF34" s="104">
        <f t="shared" si="4"/>
        <v>0.1862745098</v>
      </c>
      <c r="AG34" s="142">
        <f t="shared" ref="AG34:AG36" si="9">(AB34-AB33)*1440</f>
        <v>60</v>
      </c>
      <c r="AJ34" s="203"/>
      <c r="AK34" s="109"/>
      <c r="AL34" s="109"/>
    </row>
    <row r="35" ht="13.5" customHeight="1">
      <c r="A35" s="127"/>
      <c r="B35" s="141" t="s">
        <v>98</v>
      </c>
      <c r="C35" s="101">
        <v>0.8569444444444431</v>
      </c>
      <c r="D35" s="101">
        <v>0.8687499999999986</v>
      </c>
      <c r="E35" s="99">
        <v>0.0</v>
      </c>
      <c r="F35" s="101">
        <v>0.8687499999999986</v>
      </c>
      <c r="G35" s="101">
        <v>0.8798611111111097</v>
      </c>
      <c r="H35" s="99">
        <v>3.0</v>
      </c>
      <c r="I35" s="101">
        <v>0.881944444444443</v>
      </c>
      <c r="J35" s="101">
        <v>0.8854166666666652</v>
      </c>
      <c r="K35" s="99">
        <v>3.0</v>
      </c>
      <c r="L35" s="101">
        <v>0.8874999999999985</v>
      </c>
      <c r="M35" s="101">
        <v>0.8951388888888874</v>
      </c>
      <c r="N35" s="101">
        <v>0.8965277777777763</v>
      </c>
      <c r="O35" s="99">
        <v>2.0</v>
      </c>
      <c r="P35" s="101">
        <v>0.8979166666666651</v>
      </c>
      <c r="Q35" s="101">
        <v>0.9041666666666651</v>
      </c>
      <c r="R35" s="99">
        <v>4.0</v>
      </c>
      <c r="S35" s="101">
        <v>0.9069444444444429</v>
      </c>
      <c r="T35" s="101">
        <v>0.9111111111111095</v>
      </c>
      <c r="U35" s="99">
        <v>2.0</v>
      </c>
      <c r="V35" s="101">
        <v>0.9124999999999984</v>
      </c>
      <c r="W35" s="101">
        <v>0.9243055555555539</v>
      </c>
      <c r="X35" s="99">
        <v>0.0</v>
      </c>
      <c r="Y35" s="101">
        <v>0.9243055555555539</v>
      </c>
      <c r="Z35" s="101">
        <v>0.935416666666665</v>
      </c>
      <c r="AA35" s="99">
        <v>7.0</v>
      </c>
      <c r="AB35" s="101">
        <v>0.9402777777777761</v>
      </c>
      <c r="AC35" s="103">
        <f t="shared" si="1"/>
        <v>99</v>
      </c>
      <c r="AD35" s="103">
        <f t="shared" si="8"/>
        <v>120</v>
      </c>
      <c r="AE35" s="103">
        <f t="shared" si="3"/>
        <v>21</v>
      </c>
      <c r="AF35" s="104">
        <f t="shared" si="4"/>
        <v>0.2121212121</v>
      </c>
      <c r="AG35" s="142">
        <f t="shared" si="9"/>
        <v>60</v>
      </c>
      <c r="AJ35" s="203"/>
      <c r="AK35" s="109"/>
      <c r="AL35" s="109"/>
    </row>
    <row r="36" ht="13.5" customHeight="1">
      <c r="A36" s="127"/>
      <c r="B36" s="141" t="s">
        <v>98</v>
      </c>
      <c r="C36" s="101">
        <v>0.8986111111111096</v>
      </c>
      <c r="D36" s="101">
        <v>0.9104166666666651</v>
      </c>
      <c r="E36" s="99">
        <v>0.0</v>
      </c>
      <c r="F36" s="101">
        <v>0.9104166666666651</v>
      </c>
      <c r="G36" s="101">
        <v>0.9215277777777762</v>
      </c>
      <c r="H36" s="99">
        <v>3.0</v>
      </c>
      <c r="I36" s="101">
        <v>0.9236111111111095</v>
      </c>
      <c r="J36" s="101">
        <v>0.9270833333333317</v>
      </c>
      <c r="K36" s="99">
        <v>3.0</v>
      </c>
      <c r="L36" s="101">
        <v>0.929166666666665</v>
      </c>
      <c r="M36" s="101">
        <v>0.9368055555555539</v>
      </c>
      <c r="N36" s="101">
        <v>0.9381944444444428</v>
      </c>
      <c r="O36" s="99">
        <v>2.0</v>
      </c>
      <c r="P36" s="101">
        <v>0.9395833333333317</v>
      </c>
      <c r="Q36" s="101">
        <v>0.9458333333333316</v>
      </c>
      <c r="R36" s="99">
        <v>4.0</v>
      </c>
      <c r="S36" s="101">
        <v>0.9486111111111094</v>
      </c>
      <c r="T36" s="101">
        <v>0.9527777777777761</v>
      </c>
      <c r="U36" s="99">
        <v>2.0</v>
      </c>
      <c r="V36" s="101">
        <v>0.9541666666666649</v>
      </c>
      <c r="W36" s="101">
        <v>0.9659722222222205</v>
      </c>
      <c r="X36" s="99">
        <v>0.0</v>
      </c>
      <c r="Y36" s="101">
        <v>0.9659722222222205</v>
      </c>
      <c r="Z36" s="101">
        <v>0.9770833333333315</v>
      </c>
      <c r="AA36" s="99">
        <v>7.0</v>
      </c>
      <c r="AB36" s="101">
        <v>0.9819444444444426</v>
      </c>
      <c r="AC36" s="103">
        <f t="shared" si="1"/>
        <v>99</v>
      </c>
      <c r="AD36" s="103">
        <f t="shared" si="8"/>
        <v>120</v>
      </c>
      <c r="AE36" s="103">
        <f t="shared" si="3"/>
        <v>21</v>
      </c>
      <c r="AF36" s="104">
        <f t="shared" si="4"/>
        <v>0.2121212121</v>
      </c>
      <c r="AG36" s="142">
        <f t="shared" si="9"/>
        <v>60</v>
      </c>
      <c r="AJ36" s="203"/>
      <c r="AK36" s="109"/>
      <c r="AL36" s="109"/>
    </row>
    <row r="37" ht="13.5" customHeight="1">
      <c r="A37" s="127"/>
      <c r="B37" s="141" t="s">
        <v>98</v>
      </c>
      <c r="C37" s="101">
        <v>0.9402777777777761</v>
      </c>
      <c r="D37" s="101">
        <v>0.9520833333333316</v>
      </c>
      <c r="E37" s="99">
        <v>0.0</v>
      </c>
      <c r="F37" s="101">
        <v>0.9520833333333316</v>
      </c>
      <c r="G37" s="101">
        <v>0.9631944444444427</v>
      </c>
      <c r="H37" s="99">
        <v>3.0</v>
      </c>
      <c r="I37" s="101">
        <v>0.965277777777776</v>
      </c>
      <c r="J37" s="101">
        <v>0.9687499999999982</v>
      </c>
      <c r="K37" s="99">
        <v>3.0</v>
      </c>
      <c r="L37" s="101">
        <v>0.9708333333333315</v>
      </c>
      <c r="M37" s="101">
        <v>0.9784722222222204</v>
      </c>
      <c r="N37" s="101">
        <v>0.9798611111111093</v>
      </c>
      <c r="O37" s="99">
        <v>2.0</v>
      </c>
      <c r="P37" s="101">
        <v>0.9812499999999982</v>
      </c>
      <c r="Q37" s="101">
        <v>0.9874999999999982</v>
      </c>
      <c r="R37" s="99"/>
      <c r="S37" s="155"/>
      <c r="T37" s="101"/>
      <c r="U37" s="99"/>
      <c r="V37" s="101"/>
      <c r="W37" s="101"/>
      <c r="X37" s="99"/>
      <c r="Y37" s="101"/>
      <c r="Z37" s="101"/>
      <c r="AA37" s="99"/>
      <c r="AB37" s="101"/>
      <c r="AC37" s="103">
        <f t="shared" si="1"/>
        <v>60</v>
      </c>
      <c r="AD37" s="103">
        <f>(Q37-C37)*1440</f>
        <v>68</v>
      </c>
      <c r="AE37" s="103">
        <f t="shared" si="3"/>
        <v>8</v>
      </c>
      <c r="AF37" s="104">
        <f t="shared" si="4"/>
        <v>0.1333333333</v>
      </c>
      <c r="AG37" s="142">
        <f t="shared" ref="AG37:AG38" si="10">(M37-M36)*1440</f>
        <v>60</v>
      </c>
      <c r="AJ37" s="203"/>
      <c r="AK37" s="109"/>
      <c r="AL37" s="109"/>
    </row>
    <row r="38" ht="13.5" customHeight="1">
      <c r="A38" s="127"/>
      <c r="B38" s="141" t="s">
        <v>98</v>
      </c>
      <c r="C38" s="101">
        <v>0.9819444444444426</v>
      </c>
      <c r="D38" s="101">
        <v>0.9937499999999981</v>
      </c>
      <c r="E38" s="99">
        <v>0.0</v>
      </c>
      <c r="F38" s="101">
        <v>0.9937499999999981</v>
      </c>
      <c r="G38" s="101">
        <v>1.0048611111111092</v>
      </c>
      <c r="H38" s="99">
        <v>3.0</v>
      </c>
      <c r="I38" s="101">
        <v>1.0069444444444426</v>
      </c>
      <c r="J38" s="101">
        <v>1.010416666666665</v>
      </c>
      <c r="K38" s="99">
        <v>3.0</v>
      </c>
      <c r="L38" s="101">
        <v>1.0124999999999984</v>
      </c>
      <c r="M38" s="101">
        <v>1.0201388888888874</v>
      </c>
      <c r="N38" s="155"/>
      <c r="O38" s="99"/>
      <c r="P38" s="101"/>
      <c r="Q38" s="101"/>
      <c r="R38" s="99"/>
      <c r="S38" s="101"/>
      <c r="T38" s="101"/>
      <c r="U38" s="99"/>
      <c r="V38" s="101"/>
      <c r="W38" s="101"/>
      <c r="X38" s="99"/>
      <c r="Y38" s="101"/>
      <c r="Z38" s="101"/>
      <c r="AA38" s="99"/>
      <c r="AB38" s="101"/>
      <c r="AC38" s="103">
        <f t="shared" si="1"/>
        <v>49</v>
      </c>
      <c r="AD38" s="103">
        <f>(M38-C38)*1440</f>
        <v>55</v>
      </c>
      <c r="AE38" s="103">
        <f t="shared" si="3"/>
        <v>6</v>
      </c>
      <c r="AF38" s="104">
        <f t="shared" si="4"/>
        <v>0.1224489796</v>
      </c>
      <c r="AG38" s="142">
        <f t="shared" si="10"/>
        <v>60</v>
      </c>
      <c r="AJ38" s="203"/>
      <c r="AK38" s="109"/>
      <c r="AL38" s="109"/>
    </row>
    <row r="39" ht="13.5" customHeight="1">
      <c r="A39" s="156"/>
      <c r="N39" s="101"/>
      <c r="S39" s="110"/>
      <c r="V39" s="157"/>
      <c r="W39" s="164"/>
      <c r="X39" s="164"/>
      <c r="Y39" s="164"/>
      <c r="Z39" s="110" t="s">
        <v>81</v>
      </c>
      <c r="AC39" s="159">
        <f t="shared" ref="AC39:AE39" si="11">SUM(AC5:AC38)/60</f>
        <v>56.45</v>
      </c>
      <c r="AD39" s="112">
        <f t="shared" si="11"/>
        <v>64.13333333</v>
      </c>
      <c r="AE39" s="159">
        <f t="shared" si="11"/>
        <v>7.683333333</v>
      </c>
      <c r="AF39" s="104">
        <f t="shared" si="4"/>
        <v>0.1361086507</v>
      </c>
    </row>
    <row r="40" ht="13.5" customHeight="1">
      <c r="A40" s="123" t="s">
        <v>82</v>
      </c>
      <c r="B40" s="118"/>
      <c r="C40" s="160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</row>
    <row r="41" ht="13.5" customHeight="1">
      <c r="A41" s="127"/>
      <c r="C41" s="196" t="s">
        <v>122</v>
      </c>
      <c r="D41" s="166"/>
      <c r="E41" s="166"/>
      <c r="F41" s="166"/>
      <c r="G41" s="166"/>
      <c r="H41" s="166"/>
      <c r="I41" s="166"/>
      <c r="J41" s="166"/>
      <c r="K41" s="166"/>
      <c r="L41" s="166"/>
      <c r="M41" s="167"/>
      <c r="N41" s="197"/>
      <c r="O41" s="196" t="s">
        <v>123</v>
      </c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7"/>
    </row>
    <row r="42" ht="13.5" customHeight="1">
      <c r="A42" s="127"/>
      <c r="C42" s="89" t="s">
        <v>62</v>
      </c>
      <c r="D42" s="89" t="s">
        <v>85</v>
      </c>
      <c r="E42" s="198" t="s">
        <v>69</v>
      </c>
      <c r="F42" s="89" t="s">
        <v>62</v>
      </c>
      <c r="G42" s="89" t="s">
        <v>85</v>
      </c>
      <c r="H42" s="198" t="s">
        <v>69</v>
      </c>
      <c r="I42" s="89" t="s">
        <v>62</v>
      </c>
      <c r="J42" s="89" t="s">
        <v>85</v>
      </c>
      <c r="K42" s="198" t="s">
        <v>69</v>
      </c>
      <c r="L42" s="89" t="s">
        <v>62</v>
      </c>
      <c r="M42" s="199"/>
      <c r="N42" s="89" t="s">
        <v>85</v>
      </c>
      <c r="O42" s="198" t="s">
        <v>69</v>
      </c>
      <c r="P42" s="89" t="s">
        <v>62</v>
      </c>
      <c r="Q42" s="89" t="s">
        <v>85</v>
      </c>
      <c r="R42" s="198" t="s">
        <v>69</v>
      </c>
      <c r="S42" s="89" t="s">
        <v>62</v>
      </c>
      <c r="T42" s="89" t="s">
        <v>85</v>
      </c>
      <c r="U42" s="198" t="s">
        <v>69</v>
      </c>
      <c r="V42" s="89" t="s">
        <v>62</v>
      </c>
      <c r="W42" s="199"/>
      <c r="X42" s="198" t="s">
        <v>69</v>
      </c>
      <c r="Y42" s="89" t="s">
        <v>62</v>
      </c>
      <c r="Z42" s="89" t="s">
        <v>85</v>
      </c>
      <c r="AA42" s="198" t="s">
        <v>69</v>
      </c>
      <c r="AB42" s="89" t="s">
        <v>62</v>
      </c>
    </row>
    <row r="43" ht="13.5" customHeight="1">
      <c r="A43" s="127"/>
      <c r="B43" s="128" t="s">
        <v>63</v>
      </c>
      <c r="C43" s="130" t="s">
        <v>64</v>
      </c>
      <c r="D43" s="130" t="s">
        <v>117</v>
      </c>
      <c r="E43" s="200"/>
      <c r="F43" s="130" t="s">
        <v>117</v>
      </c>
      <c r="G43" s="130" t="s">
        <v>118</v>
      </c>
      <c r="H43" s="200"/>
      <c r="I43" s="130" t="s">
        <v>118</v>
      </c>
      <c r="J43" s="130" t="s">
        <v>86</v>
      </c>
      <c r="K43" s="200"/>
      <c r="L43" s="130" t="s">
        <v>86</v>
      </c>
      <c r="M43" s="130" t="s">
        <v>70</v>
      </c>
      <c r="N43" s="130" t="s">
        <v>119</v>
      </c>
      <c r="O43" s="200"/>
      <c r="P43" s="130" t="s">
        <v>119</v>
      </c>
      <c r="Q43" s="130" t="s">
        <v>86</v>
      </c>
      <c r="R43" s="200"/>
      <c r="S43" s="130" t="s">
        <v>86</v>
      </c>
      <c r="T43" s="130" t="s">
        <v>118</v>
      </c>
      <c r="U43" s="200"/>
      <c r="V43" s="130" t="s">
        <v>118</v>
      </c>
      <c r="W43" s="130" t="s">
        <v>117</v>
      </c>
      <c r="X43" s="200"/>
      <c r="Y43" s="130" t="s">
        <v>117</v>
      </c>
      <c r="Z43" s="130" t="s">
        <v>64</v>
      </c>
      <c r="AA43" s="200"/>
      <c r="AB43" s="130" t="s">
        <v>64</v>
      </c>
    </row>
    <row r="44" ht="13.5" customHeight="1">
      <c r="A44" s="127"/>
      <c r="B44" s="89" t="s">
        <v>72</v>
      </c>
      <c r="C44" s="89">
        <v>777.0</v>
      </c>
      <c r="D44" s="89">
        <v>487.0</v>
      </c>
      <c r="E44" s="175"/>
      <c r="F44" s="89">
        <v>487.0</v>
      </c>
      <c r="G44" s="89">
        <v>732.0</v>
      </c>
      <c r="H44" s="175"/>
      <c r="I44" s="89">
        <v>732.0</v>
      </c>
      <c r="J44" s="89">
        <v>1.0</v>
      </c>
      <c r="K44" s="175"/>
      <c r="L44" s="89">
        <v>1.0</v>
      </c>
      <c r="M44" s="89">
        <v>330.0</v>
      </c>
      <c r="N44" s="89" t="s">
        <v>120</v>
      </c>
      <c r="O44" s="175"/>
      <c r="P44" s="89" t="s">
        <v>120</v>
      </c>
      <c r="Q44" s="89">
        <v>1.0</v>
      </c>
      <c r="R44" s="175"/>
      <c r="S44" s="89">
        <v>1.0</v>
      </c>
      <c r="T44" s="89">
        <v>732.0</v>
      </c>
      <c r="U44" s="175"/>
      <c r="V44" s="89">
        <v>732.0</v>
      </c>
      <c r="W44" s="89">
        <v>488.0</v>
      </c>
      <c r="X44" s="175"/>
      <c r="Y44" s="89">
        <v>487.0</v>
      </c>
      <c r="Z44" s="89">
        <v>777.0</v>
      </c>
      <c r="AA44" s="175"/>
      <c r="AB44" s="89">
        <v>777.0</v>
      </c>
      <c r="AC44" s="139" t="s">
        <v>73</v>
      </c>
      <c r="AD44" s="139" t="s">
        <v>74</v>
      </c>
      <c r="AE44" s="139" t="s">
        <v>69</v>
      </c>
      <c r="AF44" s="139" t="s">
        <v>121</v>
      </c>
      <c r="AG44" s="140" t="s">
        <v>76</v>
      </c>
      <c r="AL44" s="109"/>
    </row>
    <row r="45" ht="13.5" customHeight="1">
      <c r="A45" s="127"/>
      <c r="B45" s="141" t="s">
        <v>89</v>
      </c>
      <c r="C45" s="101"/>
      <c r="D45" s="101"/>
      <c r="E45" s="99"/>
      <c r="F45" s="101"/>
      <c r="G45" s="101"/>
      <c r="H45" s="99"/>
      <c r="I45" s="101"/>
      <c r="J45" s="101"/>
      <c r="K45" s="99"/>
      <c r="L45" s="101"/>
      <c r="M45" s="100">
        <v>0.26944444444444443</v>
      </c>
      <c r="N45" s="101">
        <v>0.2708333333333333</v>
      </c>
      <c r="O45" s="99">
        <v>2.0</v>
      </c>
      <c r="P45" s="101">
        <v>0.2722222222222222</v>
      </c>
      <c r="Q45" s="101">
        <v>0.27777777777777773</v>
      </c>
      <c r="R45" s="99">
        <v>5.0</v>
      </c>
      <c r="S45" s="101">
        <v>0.28124999999999994</v>
      </c>
      <c r="T45" s="101">
        <v>0.2854166666666666</v>
      </c>
      <c r="U45" s="99">
        <v>3.0</v>
      </c>
      <c r="V45" s="101">
        <v>0.2874999999999999</v>
      </c>
      <c r="W45" s="101">
        <v>0.2993055555555555</v>
      </c>
      <c r="X45" s="99"/>
      <c r="Y45" s="101">
        <v>0.2993055555555555</v>
      </c>
      <c r="Z45" s="101">
        <v>0.3104166666666666</v>
      </c>
      <c r="AA45" s="99">
        <v>6.0</v>
      </c>
      <c r="AB45" s="101">
        <v>0.31458333333333327</v>
      </c>
      <c r="AC45" s="103">
        <f t="shared" ref="AC45:AC76" si="12">AD45-AE45</f>
        <v>49</v>
      </c>
      <c r="AD45" s="103">
        <f t="shared" ref="AD45:AD46" si="13">(AB45-M45)*1440</f>
        <v>65</v>
      </c>
      <c r="AE45" s="103">
        <f t="shared" ref="AE45:AE76" si="14">U45+R45+O45+K45+AA45+E45+H45+X45</f>
        <v>16</v>
      </c>
      <c r="AF45" s="104">
        <f t="shared" ref="AF45:AF77" si="15">AE45/AC45</f>
        <v>0.3265306122</v>
      </c>
      <c r="AG45" s="142"/>
      <c r="AL45" s="109"/>
    </row>
    <row r="46" ht="13.5" customHeight="1">
      <c r="A46" s="127"/>
      <c r="B46" s="141" t="s">
        <v>89</v>
      </c>
      <c r="C46" s="101"/>
      <c r="D46" s="101"/>
      <c r="E46" s="99"/>
      <c r="F46" s="101"/>
      <c r="G46" s="101"/>
      <c r="H46" s="99"/>
      <c r="I46" s="101"/>
      <c r="J46" s="101"/>
      <c r="K46" s="99"/>
      <c r="L46" s="101"/>
      <c r="M46" s="100">
        <v>0.29027777777777775</v>
      </c>
      <c r="N46" s="101">
        <v>0.29166666666666663</v>
      </c>
      <c r="O46" s="99">
        <v>2.0</v>
      </c>
      <c r="P46" s="101">
        <v>0.2930555555555555</v>
      </c>
      <c r="Q46" s="101">
        <v>0.29861111111111105</v>
      </c>
      <c r="R46" s="99">
        <v>5.0</v>
      </c>
      <c r="S46" s="101">
        <v>0.30208333333333326</v>
      </c>
      <c r="T46" s="101">
        <v>0.3062499999999999</v>
      </c>
      <c r="U46" s="99">
        <v>3.0</v>
      </c>
      <c r="V46" s="101">
        <v>0.30833333333333324</v>
      </c>
      <c r="W46" s="101">
        <v>0.3201388888888888</v>
      </c>
      <c r="X46" s="99"/>
      <c r="Y46" s="101">
        <v>0.3201388888888888</v>
      </c>
      <c r="Z46" s="101">
        <v>0.33124999999999993</v>
      </c>
      <c r="AA46" s="99">
        <v>6.0</v>
      </c>
      <c r="AB46" s="101">
        <v>0.3354166666666666</v>
      </c>
      <c r="AC46" s="103">
        <f t="shared" si="12"/>
        <v>49</v>
      </c>
      <c r="AD46" s="103">
        <f t="shared" si="13"/>
        <v>65</v>
      </c>
      <c r="AE46" s="103">
        <f t="shared" si="14"/>
        <v>16</v>
      </c>
      <c r="AF46" s="104">
        <f t="shared" si="15"/>
        <v>0.3265306122</v>
      </c>
      <c r="AG46" s="142">
        <f t="shared" ref="AG46:AG67" si="16">(AB46-AB45)*1440</f>
        <v>30</v>
      </c>
      <c r="AL46" s="109"/>
    </row>
    <row r="47" ht="13.5" customHeight="1">
      <c r="A47" s="127"/>
      <c r="B47" s="141" t="s">
        <v>77</v>
      </c>
      <c r="C47" s="100">
        <v>0.27291666666666664</v>
      </c>
      <c r="D47" s="101">
        <v>0.28541666666666665</v>
      </c>
      <c r="E47" s="99">
        <v>0.0</v>
      </c>
      <c r="F47" s="101">
        <v>0.28541666666666665</v>
      </c>
      <c r="G47" s="101">
        <v>0.2972222222222222</v>
      </c>
      <c r="H47" s="99">
        <v>2.0</v>
      </c>
      <c r="I47" s="101">
        <v>0.2986111111111111</v>
      </c>
      <c r="J47" s="101">
        <v>0.3020833333333333</v>
      </c>
      <c r="K47" s="99">
        <v>2.0</v>
      </c>
      <c r="L47" s="101">
        <v>0.3034722222222222</v>
      </c>
      <c r="M47" s="101">
        <v>0.3125</v>
      </c>
      <c r="N47" s="101">
        <v>0.3138888888888889</v>
      </c>
      <c r="O47" s="99">
        <v>0.0</v>
      </c>
      <c r="P47" s="101">
        <v>0.3138888888888889</v>
      </c>
      <c r="Q47" s="101">
        <v>0.32152777777777775</v>
      </c>
      <c r="R47" s="99">
        <v>4.0</v>
      </c>
      <c r="S47" s="101">
        <v>0.3243055555555555</v>
      </c>
      <c r="T47" s="101">
        <v>0.32847222222222217</v>
      </c>
      <c r="U47" s="99">
        <v>3.0</v>
      </c>
      <c r="V47" s="101">
        <v>0.3305555555555555</v>
      </c>
      <c r="W47" s="101">
        <v>0.34236111111111106</v>
      </c>
      <c r="X47" s="99">
        <v>0.0</v>
      </c>
      <c r="Y47" s="101">
        <v>0.34236111111111106</v>
      </c>
      <c r="Z47" s="101">
        <v>0.35486111111111107</v>
      </c>
      <c r="AA47" s="99">
        <v>2.0</v>
      </c>
      <c r="AB47" s="101">
        <v>0.35624999999999996</v>
      </c>
      <c r="AC47" s="103">
        <f t="shared" si="12"/>
        <v>107</v>
      </c>
      <c r="AD47" s="103">
        <f t="shared" ref="AD47:AD67" si="17">(AB47-C47)*1440</f>
        <v>120</v>
      </c>
      <c r="AE47" s="103">
        <f t="shared" si="14"/>
        <v>13</v>
      </c>
      <c r="AF47" s="104">
        <f t="shared" si="15"/>
        <v>0.1214953271</v>
      </c>
      <c r="AG47" s="142">
        <f t="shared" si="16"/>
        <v>30</v>
      </c>
      <c r="AL47" s="109"/>
    </row>
    <row r="48" ht="13.5" customHeight="1">
      <c r="A48" s="127"/>
      <c r="B48" s="141" t="s">
        <v>77</v>
      </c>
      <c r="C48" s="100">
        <v>0.29374999999999996</v>
      </c>
      <c r="D48" s="101">
        <v>0.30624999999999997</v>
      </c>
      <c r="E48" s="99">
        <v>0.0</v>
      </c>
      <c r="F48" s="101">
        <v>0.30624999999999997</v>
      </c>
      <c r="G48" s="101">
        <v>0.31805555555555554</v>
      </c>
      <c r="H48" s="99">
        <v>2.0</v>
      </c>
      <c r="I48" s="101">
        <v>0.3194444444444444</v>
      </c>
      <c r="J48" s="101">
        <v>0.32291666666666663</v>
      </c>
      <c r="K48" s="99">
        <v>2.0</v>
      </c>
      <c r="L48" s="101">
        <v>0.3243055555555555</v>
      </c>
      <c r="M48" s="101">
        <v>0.3333333333333333</v>
      </c>
      <c r="N48" s="101">
        <v>0.3347222222222222</v>
      </c>
      <c r="O48" s="99">
        <v>0.0</v>
      </c>
      <c r="P48" s="101">
        <v>0.3347222222222222</v>
      </c>
      <c r="Q48" s="101">
        <v>0.34236111111111106</v>
      </c>
      <c r="R48" s="99">
        <v>4.0</v>
      </c>
      <c r="S48" s="101">
        <v>0.34513888888888883</v>
      </c>
      <c r="T48" s="101">
        <v>0.3493055555555555</v>
      </c>
      <c r="U48" s="99">
        <v>3.0</v>
      </c>
      <c r="V48" s="101">
        <v>0.3513888888888888</v>
      </c>
      <c r="W48" s="101">
        <v>0.3631944444444444</v>
      </c>
      <c r="X48" s="99">
        <v>0.0</v>
      </c>
      <c r="Y48" s="101">
        <v>0.3631944444444444</v>
      </c>
      <c r="Z48" s="101">
        <v>0.3756944444444444</v>
      </c>
      <c r="AA48" s="99">
        <v>2.0</v>
      </c>
      <c r="AB48" s="101">
        <v>0.37708333333333327</v>
      </c>
      <c r="AC48" s="103">
        <f t="shared" si="12"/>
        <v>107</v>
      </c>
      <c r="AD48" s="103">
        <f t="shared" si="17"/>
        <v>120</v>
      </c>
      <c r="AE48" s="103">
        <f t="shared" si="14"/>
        <v>13</v>
      </c>
      <c r="AF48" s="104">
        <f t="shared" si="15"/>
        <v>0.1214953271</v>
      </c>
      <c r="AG48" s="142">
        <f t="shared" si="16"/>
        <v>30</v>
      </c>
      <c r="AL48" s="109"/>
    </row>
    <row r="49" ht="13.5" customHeight="1">
      <c r="A49" s="127"/>
      <c r="B49" s="141" t="s">
        <v>77</v>
      </c>
      <c r="C49" s="101">
        <v>0.31458333333333327</v>
      </c>
      <c r="D49" s="101">
        <v>0.3270833333333333</v>
      </c>
      <c r="E49" s="99">
        <v>0.0</v>
      </c>
      <c r="F49" s="101">
        <v>0.3270833333333333</v>
      </c>
      <c r="G49" s="101">
        <v>0.33888888888888885</v>
      </c>
      <c r="H49" s="99">
        <v>2.0</v>
      </c>
      <c r="I49" s="101">
        <v>0.34027777777777773</v>
      </c>
      <c r="J49" s="101">
        <v>0.34374999999999994</v>
      </c>
      <c r="K49" s="99">
        <v>2.0</v>
      </c>
      <c r="L49" s="101">
        <v>0.34513888888888883</v>
      </c>
      <c r="M49" s="101">
        <v>0.35416666666666663</v>
      </c>
      <c r="N49" s="101">
        <v>0.3555555555555555</v>
      </c>
      <c r="O49" s="99">
        <v>0.0</v>
      </c>
      <c r="P49" s="101">
        <v>0.3555555555555555</v>
      </c>
      <c r="Q49" s="101">
        <v>0.3631944444444444</v>
      </c>
      <c r="R49" s="99">
        <v>4.0</v>
      </c>
      <c r="S49" s="101">
        <v>0.36597222222222214</v>
      </c>
      <c r="T49" s="101">
        <v>0.3701388888888888</v>
      </c>
      <c r="U49" s="99">
        <v>3.0</v>
      </c>
      <c r="V49" s="101">
        <v>0.3722222222222221</v>
      </c>
      <c r="W49" s="101">
        <v>0.3840277777777777</v>
      </c>
      <c r="X49" s="99">
        <v>0.0</v>
      </c>
      <c r="Y49" s="101">
        <v>0.3840277777777777</v>
      </c>
      <c r="Z49" s="101">
        <v>0.3965277777777777</v>
      </c>
      <c r="AA49" s="99">
        <v>2.0</v>
      </c>
      <c r="AB49" s="101">
        <v>0.3979166666666666</v>
      </c>
      <c r="AC49" s="103">
        <f t="shared" si="12"/>
        <v>107</v>
      </c>
      <c r="AD49" s="103">
        <f t="shared" si="17"/>
        <v>120</v>
      </c>
      <c r="AE49" s="103">
        <f t="shared" si="14"/>
        <v>13</v>
      </c>
      <c r="AF49" s="104">
        <f t="shared" si="15"/>
        <v>0.1214953271</v>
      </c>
      <c r="AG49" s="142">
        <f t="shared" si="16"/>
        <v>30</v>
      </c>
      <c r="AL49" s="109"/>
    </row>
    <row r="50" ht="13.5" customHeight="1">
      <c r="A50" s="127"/>
      <c r="B50" s="141" t="s">
        <v>77</v>
      </c>
      <c r="C50" s="101">
        <v>0.3354166666666666</v>
      </c>
      <c r="D50" s="101">
        <v>0.3479166666666666</v>
      </c>
      <c r="E50" s="99">
        <v>0.0</v>
      </c>
      <c r="F50" s="101">
        <v>0.3479166666666666</v>
      </c>
      <c r="G50" s="101">
        <v>0.35972222222222217</v>
      </c>
      <c r="H50" s="99">
        <v>2.0</v>
      </c>
      <c r="I50" s="101">
        <v>0.36111111111111105</v>
      </c>
      <c r="J50" s="101">
        <v>0.36458333333333326</v>
      </c>
      <c r="K50" s="99">
        <v>2.0</v>
      </c>
      <c r="L50" s="101">
        <v>0.36597222222222214</v>
      </c>
      <c r="M50" s="101">
        <v>0.37499999999999994</v>
      </c>
      <c r="N50" s="101">
        <v>0.37638888888888883</v>
      </c>
      <c r="O50" s="99">
        <v>0.0</v>
      </c>
      <c r="P50" s="101">
        <v>0.37638888888888883</v>
      </c>
      <c r="Q50" s="101">
        <v>0.3840277777777777</v>
      </c>
      <c r="R50" s="99">
        <v>4.0</v>
      </c>
      <c r="S50" s="101">
        <v>0.38680555555555546</v>
      </c>
      <c r="T50" s="101">
        <v>0.3909722222222221</v>
      </c>
      <c r="U50" s="99">
        <v>3.0</v>
      </c>
      <c r="V50" s="101">
        <v>0.39305555555555544</v>
      </c>
      <c r="W50" s="101">
        <v>0.404861111111111</v>
      </c>
      <c r="X50" s="99">
        <v>0.0</v>
      </c>
      <c r="Y50" s="101">
        <v>0.404861111111111</v>
      </c>
      <c r="Z50" s="101">
        <v>0.417361111111111</v>
      </c>
      <c r="AA50" s="99">
        <v>2.0</v>
      </c>
      <c r="AB50" s="101">
        <v>0.4187499999999999</v>
      </c>
      <c r="AC50" s="103">
        <f t="shared" si="12"/>
        <v>107</v>
      </c>
      <c r="AD50" s="103">
        <f t="shared" si="17"/>
        <v>120</v>
      </c>
      <c r="AE50" s="103">
        <f t="shared" si="14"/>
        <v>13</v>
      </c>
      <c r="AF50" s="104">
        <f t="shared" si="15"/>
        <v>0.1214953271</v>
      </c>
      <c r="AG50" s="142">
        <f t="shared" si="16"/>
        <v>30</v>
      </c>
      <c r="AL50" s="109"/>
    </row>
    <row r="51" ht="13.5" customHeight="1">
      <c r="A51" s="127"/>
      <c r="B51" s="141" t="s">
        <v>78</v>
      </c>
      <c r="C51" s="101">
        <v>0.35624999999999996</v>
      </c>
      <c r="D51" s="101">
        <v>0.36874999999999997</v>
      </c>
      <c r="E51" s="99">
        <v>0.0</v>
      </c>
      <c r="F51" s="101">
        <v>0.36874999999999997</v>
      </c>
      <c r="G51" s="101">
        <v>0.38055555555555554</v>
      </c>
      <c r="H51" s="99">
        <v>3.0</v>
      </c>
      <c r="I51" s="101">
        <v>0.38263888888888886</v>
      </c>
      <c r="J51" s="101">
        <v>0.38611111111111107</v>
      </c>
      <c r="K51" s="99">
        <v>2.0</v>
      </c>
      <c r="L51" s="101">
        <v>0.38749999999999996</v>
      </c>
      <c r="M51" s="101">
        <v>0.39652777777777776</v>
      </c>
      <c r="N51" s="101">
        <v>0.39791666666666664</v>
      </c>
      <c r="O51" s="99">
        <v>0.0</v>
      </c>
      <c r="P51" s="101">
        <v>0.39791666666666664</v>
      </c>
      <c r="Q51" s="101">
        <v>0.4055555555555555</v>
      </c>
      <c r="R51" s="99">
        <v>3.0</v>
      </c>
      <c r="S51" s="101">
        <v>0.40763888888888883</v>
      </c>
      <c r="T51" s="101">
        <v>0.4118055555555555</v>
      </c>
      <c r="U51" s="99">
        <v>2.0</v>
      </c>
      <c r="V51" s="101">
        <v>0.41319444444444436</v>
      </c>
      <c r="W51" s="101">
        <v>0.42499999999999993</v>
      </c>
      <c r="X51" s="99">
        <v>0.0</v>
      </c>
      <c r="Y51" s="101">
        <v>0.42499999999999993</v>
      </c>
      <c r="Z51" s="101">
        <v>0.43749999999999994</v>
      </c>
      <c r="AA51" s="99">
        <v>3.0</v>
      </c>
      <c r="AB51" s="101">
        <v>0.43958333333333327</v>
      </c>
      <c r="AC51" s="103">
        <f t="shared" si="12"/>
        <v>107</v>
      </c>
      <c r="AD51" s="103">
        <f t="shared" si="17"/>
        <v>120</v>
      </c>
      <c r="AE51" s="103">
        <f t="shared" si="14"/>
        <v>13</v>
      </c>
      <c r="AF51" s="104">
        <f t="shared" si="15"/>
        <v>0.1214953271</v>
      </c>
      <c r="AG51" s="142">
        <f t="shared" si="16"/>
        <v>30</v>
      </c>
      <c r="AL51" s="109"/>
    </row>
    <row r="52" ht="13.5" customHeight="1">
      <c r="A52" s="127"/>
      <c r="B52" s="141" t="s">
        <v>78</v>
      </c>
      <c r="C52" s="101">
        <v>0.37708333333333327</v>
      </c>
      <c r="D52" s="101">
        <v>0.3895833333333333</v>
      </c>
      <c r="E52" s="99">
        <v>0.0</v>
      </c>
      <c r="F52" s="101">
        <v>0.3895833333333333</v>
      </c>
      <c r="G52" s="101">
        <v>0.40138888888888885</v>
      </c>
      <c r="H52" s="99">
        <v>3.0</v>
      </c>
      <c r="I52" s="101">
        <v>0.4034722222222222</v>
      </c>
      <c r="J52" s="101">
        <v>0.4069444444444444</v>
      </c>
      <c r="K52" s="99">
        <v>2.0</v>
      </c>
      <c r="L52" s="101">
        <v>0.40833333333333327</v>
      </c>
      <c r="M52" s="101">
        <v>0.41736111111111107</v>
      </c>
      <c r="N52" s="101">
        <v>0.41874999999999996</v>
      </c>
      <c r="O52" s="99">
        <v>0.0</v>
      </c>
      <c r="P52" s="101">
        <v>0.41874999999999996</v>
      </c>
      <c r="Q52" s="101">
        <v>0.4263888888888888</v>
      </c>
      <c r="R52" s="99">
        <v>3.0</v>
      </c>
      <c r="S52" s="101">
        <v>0.42847222222222214</v>
      </c>
      <c r="T52" s="101">
        <v>0.4326388888888888</v>
      </c>
      <c r="U52" s="99">
        <v>2.0</v>
      </c>
      <c r="V52" s="101">
        <v>0.4340277777777777</v>
      </c>
      <c r="W52" s="101">
        <v>0.44583333333333325</v>
      </c>
      <c r="X52" s="99">
        <v>0.0</v>
      </c>
      <c r="Y52" s="101">
        <v>0.44583333333333325</v>
      </c>
      <c r="Z52" s="101">
        <v>0.45833333333333326</v>
      </c>
      <c r="AA52" s="99">
        <v>3.0</v>
      </c>
      <c r="AB52" s="101">
        <v>0.4604166666666666</v>
      </c>
      <c r="AC52" s="103">
        <f t="shared" si="12"/>
        <v>107</v>
      </c>
      <c r="AD52" s="103">
        <f t="shared" si="17"/>
        <v>120</v>
      </c>
      <c r="AE52" s="103">
        <f t="shared" si="14"/>
        <v>13</v>
      </c>
      <c r="AF52" s="104">
        <f t="shared" si="15"/>
        <v>0.1214953271</v>
      </c>
      <c r="AG52" s="142">
        <f t="shared" si="16"/>
        <v>30</v>
      </c>
      <c r="AL52" s="109"/>
    </row>
    <row r="53" ht="13.5" customHeight="1">
      <c r="A53" s="127"/>
      <c r="B53" s="141" t="s">
        <v>78</v>
      </c>
      <c r="C53" s="101">
        <v>0.3979166666666666</v>
      </c>
      <c r="D53" s="101">
        <v>0.4104166666666666</v>
      </c>
      <c r="E53" s="99">
        <v>0.0</v>
      </c>
      <c r="F53" s="101">
        <v>0.4104166666666666</v>
      </c>
      <c r="G53" s="101">
        <v>0.42222222222222217</v>
      </c>
      <c r="H53" s="99">
        <v>3.0</v>
      </c>
      <c r="I53" s="101">
        <v>0.4243055555555555</v>
      </c>
      <c r="J53" s="101">
        <v>0.4277777777777777</v>
      </c>
      <c r="K53" s="99">
        <v>2.0</v>
      </c>
      <c r="L53" s="101">
        <v>0.4291666666666666</v>
      </c>
      <c r="M53" s="101">
        <v>0.4381944444444444</v>
      </c>
      <c r="N53" s="101">
        <v>0.43958333333333327</v>
      </c>
      <c r="O53" s="99">
        <v>0.0</v>
      </c>
      <c r="P53" s="101">
        <v>0.43958333333333327</v>
      </c>
      <c r="Q53" s="101">
        <v>0.44722222222222213</v>
      </c>
      <c r="R53" s="99">
        <v>3.0</v>
      </c>
      <c r="S53" s="101">
        <v>0.44930555555555546</v>
      </c>
      <c r="T53" s="101">
        <v>0.4534722222222221</v>
      </c>
      <c r="U53" s="99">
        <v>2.0</v>
      </c>
      <c r="V53" s="101">
        <v>0.454861111111111</v>
      </c>
      <c r="W53" s="101">
        <v>0.46666666666666656</v>
      </c>
      <c r="X53" s="99">
        <v>0.0</v>
      </c>
      <c r="Y53" s="101">
        <v>0.46666666666666656</v>
      </c>
      <c r="Z53" s="101">
        <v>0.4791666666666666</v>
      </c>
      <c r="AA53" s="99">
        <v>3.0</v>
      </c>
      <c r="AB53" s="101">
        <v>0.4812499999999999</v>
      </c>
      <c r="AC53" s="103">
        <f t="shared" si="12"/>
        <v>107</v>
      </c>
      <c r="AD53" s="103">
        <f t="shared" si="17"/>
        <v>120</v>
      </c>
      <c r="AE53" s="103">
        <f t="shared" si="14"/>
        <v>13</v>
      </c>
      <c r="AF53" s="104">
        <f t="shared" si="15"/>
        <v>0.1214953271</v>
      </c>
      <c r="AG53" s="142">
        <f t="shared" si="16"/>
        <v>30</v>
      </c>
      <c r="AL53" s="109"/>
    </row>
    <row r="54" ht="13.5" customHeight="1">
      <c r="A54" s="127"/>
      <c r="B54" s="141" t="s">
        <v>78</v>
      </c>
      <c r="C54" s="101">
        <v>0.4187499999999999</v>
      </c>
      <c r="D54" s="101">
        <v>0.4312499999999999</v>
      </c>
      <c r="E54" s="99">
        <v>0.0</v>
      </c>
      <c r="F54" s="101">
        <v>0.4312499999999999</v>
      </c>
      <c r="G54" s="101">
        <v>0.4430555555555555</v>
      </c>
      <c r="H54" s="99">
        <v>3.0</v>
      </c>
      <c r="I54" s="101">
        <v>0.4451388888888888</v>
      </c>
      <c r="J54" s="101">
        <v>0.448611111111111</v>
      </c>
      <c r="K54" s="99">
        <v>2.0</v>
      </c>
      <c r="L54" s="101">
        <v>0.4499999999999999</v>
      </c>
      <c r="M54" s="101">
        <v>0.4590277777777777</v>
      </c>
      <c r="N54" s="101">
        <v>0.4604166666666666</v>
      </c>
      <c r="O54" s="99">
        <v>0.0</v>
      </c>
      <c r="P54" s="101">
        <v>0.4604166666666666</v>
      </c>
      <c r="Q54" s="101">
        <v>0.46805555555555545</v>
      </c>
      <c r="R54" s="99">
        <v>3.0</v>
      </c>
      <c r="S54" s="101">
        <v>0.4701388888888888</v>
      </c>
      <c r="T54" s="101">
        <v>0.4743055555555554</v>
      </c>
      <c r="U54" s="99">
        <v>2.0</v>
      </c>
      <c r="V54" s="101">
        <v>0.4756944444444443</v>
      </c>
      <c r="W54" s="101">
        <v>0.4874999999999999</v>
      </c>
      <c r="X54" s="99">
        <v>0.0</v>
      </c>
      <c r="Y54" s="101">
        <v>0.4874999999999999</v>
      </c>
      <c r="Z54" s="101">
        <v>0.4999999999999999</v>
      </c>
      <c r="AA54" s="99">
        <v>3.0</v>
      </c>
      <c r="AB54" s="101">
        <v>0.5020833333333332</v>
      </c>
      <c r="AC54" s="103">
        <f t="shared" si="12"/>
        <v>107</v>
      </c>
      <c r="AD54" s="103">
        <f t="shared" si="17"/>
        <v>120</v>
      </c>
      <c r="AE54" s="103">
        <f t="shared" si="14"/>
        <v>13</v>
      </c>
      <c r="AF54" s="104">
        <f t="shared" si="15"/>
        <v>0.1214953271</v>
      </c>
      <c r="AG54" s="142">
        <f t="shared" si="16"/>
        <v>30</v>
      </c>
      <c r="AL54" s="109"/>
    </row>
    <row r="55" ht="13.5" customHeight="1">
      <c r="A55" s="127"/>
      <c r="B55" s="141" t="s">
        <v>78</v>
      </c>
      <c r="C55" s="101">
        <v>0.43958333333333327</v>
      </c>
      <c r="D55" s="101">
        <v>0.4520833333333333</v>
      </c>
      <c r="E55" s="99">
        <v>0.0</v>
      </c>
      <c r="F55" s="101">
        <v>0.4520833333333333</v>
      </c>
      <c r="G55" s="101">
        <v>0.46388888888888885</v>
      </c>
      <c r="H55" s="99">
        <v>3.0</v>
      </c>
      <c r="I55" s="101">
        <v>0.4659722222222222</v>
      </c>
      <c r="J55" s="101">
        <v>0.4694444444444444</v>
      </c>
      <c r="K55" s="99">
        <v>2.0</v>
      </c>
      <c r="L55" s="101">
        <v>0.47083333333333327</v>
      </c>
      <c r="M55" s="101">
        <v>0.47986111111111107</v>
      </c>
      <c r="N55" s="101">
        <v>0.48124999999999996</v>
      </c>
      <c r="O55" s="99">
        <v>0.0</v>
      </c>
      <c r="P55" s="101">
        <v>0.48124999999999996</v>
      </c>
      <c r="Q55" s="101">
        <v>0.4888888888888888</v>
      </c>
      <c r="R55" s="99">
        <v>3.0</v>
      </c>
      <c r="S55" s="101">
        <v>0.49097222222222214</v>
      </c>
      <c r="T55" s="101">
        <v>0.4951388888888888</v>
      </c>
      <c r="U55" s="99">
        <v>2.0</v>
      </c>
      <c r="V55" s="101">
        <v>0.4965277777777777</v>
      </c>
      <c r="W55" s="101">
        <v>0.5083333333333332</v>
      </c>
      <c r="X55" s="99">
        <v>0.0</v>
      </c>
      <c r="Y55" s="101">
        <v>0.5083333333333332</v>
      </c>
      <c r="Z55" s="101">
        <v>0.5208333333333331</v>
      </c>
      <c r="AA55" s="99">
        <v>3.0</v>
      </c>
      <c r="AB55" s="101">
        <v>0.5229166666666665</v>
      </c>
      <c r="AC55" s="103">
        <f t="shared" si="12"/>
        <v>107</v>
      </c>
      <c r="AD55" s="103">
        <f t="shared" si="17"/>
        <v>120</v>
      </c>
      <c r="AE55" s="103">
        <f t="shared" si="14"/>
        <v>13</v>
      </c>
      <c r="AF55" s="104">
        <f t="shared" si="15"/>
        <v>0.1214953271</v>
      </c>
      <c r="AG55" s="142">
        <f t="shared" si="16"/>
        <v>30</v>
      </c>
      <c r="AL55" s="109"/>
    </row>
    <row r="56" ht="13.5" customHeight="1">
      <c r="A56" s="127"/>
      <c r="B56" s="141" t="s">
        <v>78</v>
      </c>
      <c r="C56" s="101">
        <v>0.4604166666666666</v>
      </c>
      <c r="D56" s="101">
        <v>0.4729166666666666</v>
      </c>
      <c r="E56" s="99">
        <v>0.0</v>
      </c>
      <c r="F56" s="101">
        <v>0.4729166666666666</v>
      </c>
      <c r="G56" s="101">
        <v>0.48472222222222217</v>
      </c>
      <c r="H56" s="99">
        <v>3.0</v>
      </c>
      <c r="I56" s="101">
        <v>0.4868055555555555</v>
      </c>
      <c r="J56" s="101">
        <v>0.4902777777777777</v>
      </c>
      <c r="K56" s="99">
        <v>2.0</v>
      </c>
      <c r="L56" s="101">
        <v>0.4916666666666666</v>
      </c>
      <c r="M56" s="101">
        <v>0.5006944444444443</v>
      </c>
      <c r="N56" s="101">
        <v>0.5020833333333332</v>
      </c>
      <c r="O56" s="99">
        <v>0.0</v>
      </c>
      <c r="P56" s="101">
        <v>0.5020833333333332</v>
      </c>
      <c r="Q56" s="101">
        <v>0.5097222222222221</v>
      </c>
      <c r="R56" s="99">
        <v>3.0</v>
      </c>
      <c r="S56" s="101">
        <v>0.5118055555555554</v>
      </c>
      <c r="T56" s="101">
        <v>0.515972222222222</v>
      </c>
      <c r="U56" s="99">
        <v>2.0</v>
      </c>
      <c r="V56" s="101">
        <v>0.5173611111111109</v>
      </c>
      <c r="W56" s="101">
        <v>0.5291666666666665</v>
      </c>
      <c r="X56" s="99">
        <v>0.0</v>
      </c>
      <c r="Y56" s="101">
        <v>0.5291666666666665</v>
      </c>
      <c r="Z56" s="101">
        <v>0.5416666666666664</v>
      </c>
      <c r="AA56" s="99">
        <v>3.0</v>
      </c>
      <c r="AB56" s="101">
        <v>0.5437499999999997</v>
      </c>
      <c r="AC56" s="103">
        <f t="shared" si="12"/>
        <v>107</v>
      </c>
      <c r="AD56" s="103">
        <f t="shared" si="17"/>
        <v>120</v>
      </c>
      <c r="AE56" s="103">
        <f t="shared" si="14"/>
        <v>13</v>
      </c>
      <c r="AF56" s="104">
        <f t="shared" si="15"/>
        <v>0.1214953271</v>
      </c>
      <c r="AG56" s="142">
        <f t="shared" si="16"/>
        <v>30</v>
      </c>
      <c r="AL56" s="109"/>
    </row>
    <row r="57" ht="13.5" customHeight="1">
      <c r="A57" s="127"/>
      <c r="B57" s="141" t="s">
        <v>78</v>
      </c>
      <c r="C57" s="101">
        <v>0.4812499999999999</v>
      </c>
      <c r="D57" s="101">
        <v>0.4937499999999999</v>
      </c>
      <c r="E57" s="99">
        <v>0.0</v>
      </c>
      <c r="F57" s="101">
        <v>0.4937499999999999</v>
      </c>
      <c r="G57" s="101">
        <v>0.5055555555555554</v>
      </c>
      <c r="H57" s="99">
        <v>3.0</v>
      </c>
      <c r="I57" s="101">
        <v>0.5076388888888888</v>
      </c>
      <c r="J57" s="101">
        <v>0.511111111111111</v>
      </c>
      <c r="K57" s="99">
        <v>2.0</v>
      </c>
      <c r="L57" s="101">
        <v>0.5124999999999998</v>
      </c>
      <c r="M57" s="101">
        <v>0.5215277777777776</v>
      </c>
      <c r="N57" s="101">
        <v>0.5229166666666665</v>
      </c>
      <c r="O57" s="99">
        <v>0.0</v>
      </c>
      <c r="P57" s="101">
        <v>0.5229166666666665</v>
      </c>
      <c r="Q57" s="101">
        <v>0.5305555555555553</v>
      </c>
      <c r="R57" s="99">
        <v>3.0</v>
      </c>
      <c r="S57" s="101">
        <v>0.5326388888888887</v>
      </c>
      <c r="T57" s="101">
        <v>0.5368055555555553</v>
      </c>
      <c r="U57" s="99">
        <v>2.0</v>
      </c>
      <c r="V57" s="101">
        <v>0.5381944444444442</v>
      </c>
      <c r="W57" s="101">
        <v>0.5499999999999997</v>
      </c>
      <c r="X57" s="99">
        <v>0.0</v>
      </c>
      <c r="Y57" s="101">
        <v>0.5499999999999997</v>
      </c>
      <c r="Z57" s="101">
        <v>0.5624999999999997</v>
      </c>
      <c r="AA57" s="99">
        <v>3.0</v>
      </c>
      <c r="AB57" s="101">
        <v>0.564583333333333</v>
      </c>
      <c r="AC57" s="103">
        <f t="shared" si="12"/>
        <v>107</v>
      </c>
      <c r="AD57" s="103">
        <f t="shared" si="17"/>
        <v>120</v>
      </c>
      <c r="AE57" s="103">
        <f t="shared" si="14"/>
        <v>13</v>
      </c>
      <c r="AF57" s="104">
        <f t="shared" si="15"/>
        <v>0.1214953271</v>
      </c>
      <c r="AG57" s="142">
        <f t="shared" si="16"/>
        <v>30</v>
      </c>
      <c r="AL57" s="109"/>
    </row>
    <row r="58" ht="13.5" customHeight="1">
      <c r="A58" s="127"/>
      <c r="B58" s="141" t="s">
        <v>78</v>
      </c>
      <c r="C58" s="101">
        <v>0.5020833333333332</v>
      </c>
      <c r="D58" s="101">
        <v>0.5145833333333332</v>
      </c>
      <c r="E58" s="99">
        <v>0.0</v>
      </c>
      <c r="F58" s="101">
        <v>0.5145833333333332</v>
      </c>
      <c r="G58" s="101">
        <v>0.5263888888888887</v>
      </c>
      <c r="H58" s="99">
        <v>3.0</v>
      </c>
      <c r="I58" s="101">
        <v>0.528472222222222</v>
      </c>
      <c r="J58" s="101">
        <v>0.5319444444444442</v>
      </c>
      <c r="K58" s="99">
        <v>2.0</v>
      </c>
      <c r="L58" s="101">
        <v>0.5333333333333331</v>
      </c>
      <c r="M58" s="101">
        <v>0.5423611111111108</v>
      </c>
      <c r="N58" s="101">
        <v>0.5437499999999997</v>
      </c>
      <c r="O58" s="99">
        <v>0.0</v>
      </c>
      <c r="P58" s="101">
        <v>0.5437499999999997</v>
      </c>
      <c r="Q58" s="101">
        <v>0.5513888888888886</v>
      </c>
      <c r="R58" s="99">
        <v>3.0</v>
      </c>
      <c r="S58" s="101">
        <v>0.5534722222222219</v>
      </c>
      <c r="T58" s="101">
        <v>0.5576388888888886</v>
      </c>
      <c r="U58" s="99">
        <v>2.0</v>
      </c>
      <c r="V58" s="101">
        <v>0.5590277777777775</v>
      </c>
      <c r="W58" s="101">
        <v>0.570833333333333</v>
      </c>
      <c r="X58" s="99">
        <v>0.0</v>
      </c>
      <c r="Y58" s="101">
        <v>0.570833333333333</v>
      </c>
      <c r="Z58" s="101">
        <v>0.5833333333333329</v>
      </c>
      <c r="AA58" s="99">
        <v>3.0</v>
      </c>
      <c r="AB58" s="101">
        <v>0.5854166666666663</v>
      </c>
      <c r="AC58" s="103">
        <f t="shared" si="12"/>
        <v>107</v>
      </c>
      <c r="AD58" s="103">
        <f t="shared" si="17"/>
        <v>120</v>
      </c>
      <c r="AE58" s="103">
        <f t="shared" si="14"/>
        <v>13</v>
      </c>
      <c r="AF58" s="104">
        <f t="shared" si="15"/>
        <v>0.1214953271</v>
      </c>
      <c r="AG58" s="142">
        <f t="shared" si="16"/>
        <v>30</v>
      </c>
      <c r="AL58" s="109"/>
    </row>
    <row r="59" ht="13.5" customHeight="1">
      <c r="A59" s="127"/>
      <c r="B59" s="141" t="s">
        <v>78</v>
      </c>
      <c r="C59" s="101">
        <v>0.5229166666666665</v>
      </c>
      <c r="D59" s="101">
        <v>0.5354166666666664</v>
      </c>
      <c r="E59" s="99">
        <v>0.0</v>
      </c>
      <c r="F59" s="101">
        <v>0.5354166666666664</v>
      </c>
      <c r="G59" s="101">
        <v>0.5472222222222219</v>
      </c>
      <c r="H59" s="99">
        <v>3.0</v>
      </c>
      <c r="I59" s="101">
        <v>0.5493055555555553</v>
      </c>
      <c r="J59" s="101">
        <v>0.5527777777777775</v>
      </c>
      <c r="K59" s="99">
        <v>2.0</v>
      </c>
      <c r="L59" s="101">
        <v>0.5541666666666664</v>
      </c>
      <c r="M59" s="101">
        <v>0.5631944444444441</v>
      </c>
      <c r="N59" s="101">
        <v>0.564583333333333</v>
      </c>
      <c r="O59" s="99">
        <v>0.0</v>
      </c>
      <c r="P59" s="101">
        <v>0.564583333333333</v>
      </c>
      <c r="Q59" s="101">
        <v>0.5722222222222219</v>
      </c>
      <c r="R59" s="99">
        <v>3.0</v>
      </c>
      <c r="S59" s="101">
        <v>0.5743055555555552</v>
      </c>
      <c r="T59" s="101">
        <v>0.5784722222222218</v>
      </c>
      <c r="U59" s="99">
        <v>2.0</v>
      </c>
      <c r="V59" s="101">
        <v>0.5798611111111107</v>
      </c>
      <c r="W59" s="101">
        <v>0.5916666666666662</v>
      </c>
      <c r="X59" s="99">
        <v>0.0</v>
      </c>
      <c r="Y59" s="101">
        <v>0.5916666666666662</v>
      </c>
      <c r="Z59" s="101">
        <v>0.6041666666666662</v>
      </c>
      <c r="AA59" s="99">
        <v>3.0</v>
      </c>
      <c r="AB59" s="101">
        <v>0.6062499999999995</v>
      </c>
      <c r="AC59" s="103">
        <f t="shared" si="12"/>
        <v>107</v>
      </c>
      <c r="AD59" s="103">
        <f t="shared" si="17"/>
        <v>120</v>
      </c>
      <c r="AE59" s="103">
        <f t="shared" si="14"/>
        <v>13</v>
      </c>
      <c r="AF59" s="104">
        <f t="shared" si="15"/>
        <v>0.1214953271</v>
      </c>
      <c r="AG59" s="142">
        <f t="shared" si="16"/>
        <v>30</v>
      </c>
      <c r="AL59" s="109"/>
    </row>
    <row r="60" ht="13.5" customHeight="1">
      <c r="A60" s="127"/>
      <c r="B60" s="141" t="s">
        <v>78</v>
      </c>
      <c r="C60" s="101">
        <v>0.5437499999999997</v>
      </c>
      <c r="D60" s="101">
        <v>0.5562499999999997</v>
      </c>
      <c r="E60" s="99">
        <v>0.0</v>
      </c>
      <c r="F60" s="101">
        <v>0.5562499999999997</v>
      </c>
      <c r="G60" s="101">
        <v>0.5680555555555552</v>
      </c>
      <c r="H60" s="99">
        <v>3.0</v>
      </c>
      <c r="I60" s="101">
        <v>0.5701388888888885</v>
      </c>
      <c r="J60" s="101">
        <v>0.5736111111111107</v>
      </c>
      <c r="K60" s="99">
        <v>2.0</v>
      </c>
      <c r="L60" s="101">
        <v>0.5749999999999996</v>
      </c>
      <c r="M60" s="101">
        <v>0.5840277777777774</v>
      </c>
      <c r="N60" s="101">
        <v>0.5854166666666663</v>
      </c>
      <c r="O60" s="99">
        <v>0.0</v>
      </c>
      <c r="P60" s="101">
        <v>0.5854166666666663</v>
      </c>
      <c r="Q60" s="101">
        <v>0.5930555555555551</v>
      </c>
      <c r="R60" s="99">
        <v>3.0</v>
      </c>
      <c r="S60" s="101">
        <v>0.5951388888888884</v>
      </c>
      <c r="T60" s="101">
        <v>0.5993055555555551</v>
      </c>
      <c r="U60" s="99">
        <v>2.0</v>
      </c>
      <c r="V60" s="101">
        <v>0.600694444444444</v>
      </c>
      <c r="W60" s="101">
        <v>0.6124999999999995</v>
      </c>
      <c r="X60" s="99">
        <v>0.0</v>
      </c>
      <c r="Y60" s="101">
        <v>0.6124999999999995</v>
      </c>
      <c r="Z60" s="101">
        <v>0.6249999999999994</v>
      </c>
      <c r="AA60" s="99">
        <v>3.0</v>
      </c>
      <c r="AB60" s="101">
        <v>0.6270833333333328</v>
      </c>
      <c r="AC60" s="103">
        <f t="shared" si="12"/>
        <v>107</v>
      </c>
      <c r="AD60" s="103">
        <f t="shared" si="17"/>
        <v>120</v>
      </c>
      <c r="AE60" s="103">
        <f t="shared" si="14"/>
        <v>13</v>
      </c>
      <c r="AF60" s="104">
        <f t="shared" si="15"/>
        <v>0.1214953271</v>
      </c>
      <c r="AG60" s="142">
        <f t="shared" si="16"/>
        <v>30</v>
      </c>
      <c r="AL60" s="109"/>
    </row>
    <row r="61" ht="13.5" customHeight="1">
      <c r="A61" s="127"/>
      <c r="B61" s="141" t="s">
        <v>78</v>
      </c>
      <c r="C61" s="101">
        <v>0.564583333333333</v>
      </c>
      <c r="D61" s="101">
        <v>0.577083333333333</v>
      </c>
      <c r="E61" s="99">
        <v>0.0</v>
      </c>
      <c r="F61" s="101">
        <v>0.577083333333333</v>
      </c>
      <c r="G61" s="101">
        <v>0.5888888888888885</v>
      </c>
      <c r="H61" s="99">
        <v>2.0</v>
      </c>
      <c r="I61" s="101">
        <v>0.5902777777777773</v>
      </c>
      <c r="J61" s="101">
        <v>0.5937499999999996</v>
      </c>
      <c r="K61" s="99">
        <v>2.0</v>
      </c>
      <c r="L61" s="101">
        <v>0.5951388888888884</v>
      </c>
      <c r="M61" s="101">
        <v>0.6041666666666662</v>
      </c>
      <c r="N61" s="101">
        <v>0.6055555555555551</v>
      </c>
      <c r="O61" s="99">
        <v>0.0</v>
      </c>
      <c r="P61" s="101">
        <v>0.6055555555555551</v>
      </c>
      <c r="Q61" s="101">
        <v>0.6131944444444439</v>
      </c>
      <c r="R61" s="99">
        <v>3.0</v>
      </c>
      <c r="S61" s="101">
        <v>0.6152777777777773</v>
      </c>
      <c r="T61" s="101">
        <v>0.6194444444444439</v>
      </c>
      <c r="U61" s="99">
        <v>2.0</v>
      </c>
      <c r="V61" s="101">
        <v>0.6208333333333328</v>
      </c>
      <c r="W61" s="101">
        <v>0.6326388888888883</v>
      </c>
      <c r="X61" s="99">
        <v>0.0</v>
      </c>
      <c r="Y61" s="101">
        <v>0.6326388888888883</v>
      </c>
      <c r="Z61" s="101">
        <v>0.6451388888888883</v>
      </c>
      <c r="AA61" s="99">
        <v>4.0</v>
      </c>
      <c r="AB61" s="101">
        <v>0.647916666666666</v>
      </c>
      <c r="AC61" s="103">
        <f t="shared" si="12"/>
        <v>107</v>
      </c>
      <c r="AD61" s="103">
        <f t="shared" si="17"/>
        <v>120</v>
      </c>
      <c r="AE61" s="103">
        <f t="shared" si="14"/>
        <v>13</v>
      </c>
      <c r="AF61" s="104">
        <f t="shared" si="15"/>
        <v>0.1214953271</v>
      </c>
      <c r="AG61" s="142">
        <f t="shared" si="16"/>
        <v>30</v>
      </c>
      <c r="AL61" s="109"/>
    </row>
    <row r="62" ht="13.5" customHeight="1">
      <c r="A62" s="127"/>
      <c r="B62" s="141" t="s">
        <v>78</v>
      </c>
      <c r="C62" s="101">
        <v>0.5854166666666663</v>
      </c>
      <c r="D62" s="101">
        <v>0.5979166666666662</v>
      </c>
      <c r="E62" s="99">
        <v>0.0</v>
      </c>
      <c r="F62" s="101">
        <v>0.5979166666666662</v>
      </c>
      <c r="G62" s="101">
        <v>0.6097222222222217</v>
      </c>
      <c r="H62" s="99">
        <v>2.0</v>
      </c>
      <c r="I62" s="101">
        <v>0.6111111111111106</v>
      </c>
      <c r="J62" s="101">
        <v>0.6145833333333328</v>
      </c>
      <c r="K62" s="99">
        <v>2.0</v>
      </c>
      <c r="L62" s="101">
        <v>0.6159722222222217</v>
      </c>
      <c r="M62" s="101">
        <v>0.6249999999999994</v>
      </c>
      <c r="N62" s="101">
        <v>0.6263888888888883</v>
      </c>
      <c r="O62" s="99">
        <v>0.0</v>
      </c>
      <c r="P62" s="101">
        <v>0.6263888888888883</v>
      </c>
      <c r="Q62" s="101">
        <v>0.6340277777777772</v>
      </c>
      <c r="R62" s="99">
        <v>3.0</v>
      </c>
      <c r="S62" s="101">
        <v>0.6361111111111105</v>
      </c>
      <c r="T62" s="101">
        <v>0.6402777777777772</v>
      </c>
      <c r="U62" s="99">
        <v>2.0</v>
      </c>
      <c r="V62" s="101">
        <v>0.641666666666666</v>
      </c>
      <c r="W62" s="101">
        <v>0.6534722222222216</v>
      </c>
      <c r="X62" s="99">
        <v>0.0</v>
      </c>
      <c r="Y62" s="101">
        <v>0.6534722222222216</v>
      </c>
      <c r="Z62" s="101">
        <v>0.6659722222222215</v>
      </c>
      <c r="AA62" s="99">
        <v>4.0</v>
      </c>
      <c r="AB62" s="101">
        <v>0.6687499999999993</v>
      </c>
      <c r="AC62" s="103">
        <f t="shared" si="12"/>
        <v>107</v>
      </c>
      <c r="AD62" s="103">
        <f t="shared" si="17"/>
        <v>120</v>
      </c>
      <c r="AE62" s="103">
        <f t="shared" si="14"/>
        <v>13</v>
      </c>
      <c r="AF62" s="104">
        <f t="shared" si="15"/>
        <v>0.1214953271</v>
      </c>
      <c r="AG62" s="142">
        <f t="shared" si="16"/>
        <v>30</v>
      </c>
      <c r="AL62" s="109"/>
    </row>
    <row r="63" ht="13.5" customHeight="1">
      <c r="A63" s="127"/>
      <c r="B63" s="141" t="s">
        <v>78</v>
      </c>
      <c r="C63" s="101">
        <v>0.6062499999999995</v>
      </c>
      <c r="D63" s="101">
        <v>0.6187499999999995</v>
      </c>
      <c r="E63" s="99">
        <v>0.0</v>
      </c>
      <c r="F63" s="101">
        <v>0.6187499999999995</v>
      </c>
      <c r="G63" s="101">
        <v>0.630555555555555</v>
      </c>
      <c r="H63" s="99">
        <v>2.0</v>
      </c>
      <c r="I63" s="101">
        <v>0.6319444444444439</v>
      </c>
      <c r="J63" s="101">
        <v>0.6354166666666661</v>
      </c>
      <c r="K63" s="99">
        <v>2.0</v>
      </c>
      <c r="L63" s="101">
        <v>0.636805555555555</v>
      </c>
      <c r="M63" s="101">
        <v>0.6458333333333327</v>
      </c>
      <c r="N63" s="101">
        <v>0.6472222222222216</v>
      </c>
      <c r="O63" s="99">
        <v>0.0</v>
      </c>
      <c r="P63" s="101">
        <v>0.6472222222222216</v>
      </c>
      <c r="Q63" s="101">
        <v>0.6548611111111104</v>
      </c>
      <c r="R63" s="99">
        <v>3.0</v>
      </c>
      <c r="S63" s="101">
        <v>0.6569444444444438</v>
      </c>
      <c r="T63" s="101">
        <v>0.6611111111111104</v>
      </c>
      <c r="U63" s="99">
        <v>2.0</v>
      </c>
      <c r="V63" s="101">
        <v>0.6624999999999993</v>
      </c>
      <c r="W63" s="101">
        <v>0.6743055555555548</v>
      </c>
      <c r="X63" s="99">
        <v>0.0</v>
      </c>
      <c r="Y63" s="101">
        <v>0.6743055555555548</v>
      </c>
      <c r="Z63" s="101">
        <v>0.6868055555555548</v>
      </c>
      <c r="AA63" s="99">
        <v>4.0</v>
      </c>
      <c r="AB63" s="101">
        <v>0.6895833333333325</v>
      </c>
      <c r="AC63" s="103">
        <f t="shared" si="12"/>
        <v>107</v>
      </c>
      <c r="AD63" s="103">
        <f t="shared" si="17"/>
        <v>120</v>
      </c>
      <c r="AE63" s="103">
        <f t="shared" si="14"/>
        <v>13</v>
      </c>
      <c r="AF63" s="104">
        <f t="shared" si="15"/>
        <v>0.1214953271</v>
      </c>
      <c r="AG63" s="142">
        <f t="shared" si="16"/>
        <v>30</v>
      </c>
      <c r="AL63" s="109"/>
    </row>
    <row r="64" ht="13.5" customHeight="1">
      <c r="A64" s="127"/>
      <c r="B64" s="141" t="s">
        <v>78</v>
      </c>
      <c r="C64" s="101">
        <v>0.6270833333333328</v>
      </c>
      <c r="D64" s="101">
        <v>0.6395833333333327</v>
      </c>
      <c r="E64" s="99">
        <v>0.0</v>
      </c>
      <c r="F64" s="101">
        <v>0.6395833333333327</v>
      </c>
      <c r="G64" s="101">
        <v>0.6513888888888882</v>
      </c>
      <c r="H64" s="99">
        <v>2.0</v>
      </c>
      <c r="I64" s="101">
        <v>0.6527777777777771</v>
      </c>
      <c r="J64" s="101">
        <v>0.6562499999999993</v>
      </c>
      <c r="K64" s="99">
        <v>2.0</v>
      </c>
      <c r="L64" s="101">
        <v>0.6576388888888882</v>
      </c>
      <c r="M64" s="101">
        <v>0.666666666666666</v>
      </c>
      <c r="N64" s="101">
        <v>0.6680555555555548</v>
      </c>
      <c r="O64" s="99">
        <v>0.0</v>
      </c>
      <c r="P64" s="101">
        <v>0.6680555555555548</v>
      </c>
      <c r="Q64" s="101">
        <v>0.6756944444444437</v>
      </c>
      <c r="R64" s="99">
        <v>3.0</v>
      </c>
      <c r="S64" s="101">
        <v>0.677777777777777</v>
      </c>
      <c r="T64" s="101">
        <v>0.6819444444444437</v>
      </c>
      <c r="U64" s="99">
        <v>2.0</v>
      </c>
      <c r="V64" s="101">
        <v>0.6833333333333326</v>
      </c>
      <c r="W64" s="101">
        <v>0.6951388888888881</v>
      </c>
      <c r="X64" s="99">
        <v>0.0</v>
      </c>
      <c r="Y64" s="101">
        <v>0.6951388888888881</v>
      </c>
      <c r="Z64" s="101">
        <v>0.707638888888888</v>
      </c>
      <c r="AA64" s="99">
        <v>4.0</v>
      </c>
      <c r="AB64" s="101">
        <v>0.7104166666666658</v>
      </c>
      <c r="AC64" s="103">
        <f t="shared" si="12"/>
        <v>107</v>
      </c>
      <c r="AD64" s="103">
        <f t="shared" si="17"/>
        <v>120</v>
      </c>
      <c r="AE64" s="103">
        <f t="shared" si="14"/>
        <v>13</v>
      </c>
      <c r="AF64" s="104">
        <f t="shared" si="15"/>
        <v>0.1214953271</v>
      </c>
      <c r="AG64" s="142">
        <f t="shared" si="16"/>
        <v>30</v>
      </c>
      <c r="AL64" s="109"/>
    </row>
    <row r="65" ht="13.5" customHeight="1">
      <c r="A65" s="127"/>
      <c r="B65" s="141" t="s">
        <v>78</v>
      </c>
      <c r="C65" s="101">
        <v>0.647916666666666</v>
      </c>
      <c r="D65" s="101">
        <v>0.660416666666666</v>
      </c>
      <c r="E65" s="99">
        <v>0.0</v>
      </c>
      <c r="F65" s="101">
        <v>0.660416666666666</v>
      </c>
      <c r="G65" s="101">
        <v>0.6722222222222215</v>
      </c>
      <c r="H65" s="99">
        <v>2.0</v>
      </c>
      <c r="I65" s="101">
        <v>0.6736111111111104</v>
      </c>
      <c r="J65" s="101">
        <v>0.6770833333333326</v>
      </c>
      <c r="K65" s="99">
        <v>2.0</v>
      </c>
      <c r="L65" s="101">
        <v>0.6784722222222215</v>
      </c>
      <c r="M65" s="101">
        <v>0.6874999999999992</v>
      </c>
      <c r="N65" s="101">
        <v>0.6888888888888881</v>
      </c>
      <c r="O65" s="99">
        <v>0.0</v>
      </c>
      <c r="P65" s="101">
        <v>0.6888888888888881</v>
      </c>
      <c r="Q65" s="101">
        <v>0.696527777777777</v>
      </c>
      <c r="R65" s="99">
        <v>3.0</v>
      </c>
      <c r="S65" s="101">
        <v>0.6986111111111103</v>
      </c>
      <c r="T65" s="101">
        <v>0.702777777777777</v>
      </c>
      <c r="U65" s="99">
        <v>2.0</v>
      </c>
      <c r="V65" s="101">
        <v>0.7041666666666658</v>
      </c>
      <c r="W65" s="101">
        <v>0.7159722222222213</v>
      </c>
      <c r="X65" s="99">
        <v>0.0</v>
      </c>
      <c r="Y65" s="101">
        <v>0.7159722222222213</v>
      </c>
      <c r="Z65" s="101">
        <v>0.7284722222222213</v>
      </c>
      <c r="AA65" s="99">
        <v>4.0</v>
      </c>
      <c r="AB65" s="101">
        <v>0.7312499999999991</v>
      </c>
      <c r="AC65" s="103">
        <f t="shared" si="12"/>
        <v>107</v>
      </c>
      <c r="AD65" s="103">
        <f t="shared" si="17"/>
        <v>120</v>
      </c>
      <c r="AE65" s="103">
        <f t="shared" si="14"/>
        <v>13</v>
      </c>
      <c r="AF65" s="104">
        <f t="shared" si="15"/>
        <v>0.1214953271</v>
      </c>
      <c r="AG65" s="142">
        <f t="shared" si="16"/>
        <v>30</v>
      </c>
      <c r="AL65" s="109"/>
    </row>
    <row r="66" ht="13.5" customHeight="1">
      <c r="A66" s="127"/>
      <c r="B66" s="141" t="s">
        <v>78</v>
      </c>
      <c r="C66" s="101">
        <v>0.6687499999999993</v>
      </c>
      <c r="D66" s="101">
        <v>0.6812499999999992</v>
      </c>
      <c r="E66" s="99">
        <v>0.0</v>
      </c>
      <c r="F66" s="101">
        <v>0.6812499999999992</v>
      </c>
      <c r="G66" s="101">
        <v>0.6930555555555548</v>
      </c>
      <c r="H66" s="99">
        <v>2.0</v>
      </c>
      <c r="I66" s="101">
        <v>0.6944444444444436</v>
      </c>
      <c r="J66" s="101">
        <v>0.6979166666666659</v>
      </c>
      <c r="K66" s="99">
        <v>2.0</v>
      </c>
      <c r="L66" s="101">
        <v>0.6993055555555547</v>
      </c>
      <c r="M66" s="101">
        <v>0.7083333333333325</v>
      </c>
      <c r="N66" s="101">
        <v>0.7097222222222214</v>
      </c>
      <c r="O66" s="99">
        <v>0.0</v>
      </c>
      <c r="P66" s="101">
        <v>0.7097222222222214</v>
      </c>
      <c r="Q66" s="101">
        <v>0.7173611111111102</v>
      </c>
      <c r="R66" s="99">
        <v>3.0</v>
      </c>
      <c r="S66" s="101">
        <v>0.7194444444444436</v>
      </c>
      <c r="T66" s="101">
        <v>0.7236111111111102</v>
      </c>
      <c r="U66" s="99">
        <v>2.0</v>
      </c>
      <c r="V66" s="101">
        <v>0.7249999999999991</v>
      </c>
      <c r="W66" s="101">
        <v>0.7368055555555546</v>
      </c>
      <c r="X66" s="99">
        <v>0.0</v>
      </c>
      <c r="Y66" s="101">
        <v>0.7368055555555546</v>
      </c>
      <c r="Z66" s="101">
        <v>0.7493055555555546</v>
      </c>
      <c r="AA66" s="99">
        <v>4.0</v>
      </c>
      <c r="AB66" s="101">
        <v>0.7520833333333323</v>
      </c>
      <c r="AC66" s="103">
        <f t="shared" si="12"/>
        <v>107</v>
      </c>
      <c r="AD66" s="103">
        <f t="shared" si="17"/>
        <v>120</v>
      </c>
      <c r="AE66" s="103">
        <f t="shared" si="14"/>
        <v>13</v>
      </c>
      <c r="AF66" s="104">
        <f t="shared" si="15"/>
        <v>0.1214953271</v>
      </c>
      <c r="AG66" s="142">
        <f t="shared" si="16"/>
        <v>30</v>
      </c>
      <c r="AL66" s="109"/>
    </row>
    <row r="67" ht="13.5" customHeight="1">
      <c r="A67" s="127"/>
      <c r="B67" s="141" t="s">
        <v>78</v>
      </c>
      <c r="C67" s="101">
        <v>0.6895833333333325</v>
      </c>
      <c r="D67" s="101">
        <v>0.7020833333333325</v>
      </c>
      <c r="E67" s="99">
        <v>0.0</v>
      </c>
      <c r="F67" s="101">
        <v>0.7020833333333325</v>
      </c>
      <c r="G67" s="101">
        <v>0.713888888888888</v>
      </c>
      <c r="H67" s="99">
        <v>2.0</v>
      </c>
      <c r="I67" s="101">
        <v>0.7152777777777769</v>
      </c>
      <c r="J67" s="101">
        <v>0.7187499999999991</v>
      </c>
      <c r="K67" s="99">
        <v>2.0</v>
      </c>
      <c r="L67" s="101">
        <v>0.720138888888888</v>
      </c>
      <c r="M67" s="101">
        <v>0.7291666666666657</v>
      </c>
      <c r="N67" s="101">
        <v>0.7305555555555546</v>
      </c>
      <c r="O67" s="99">
        <v>0.0</v>
      </c>
      <c r="P67" s="101">
        <v>0.7305555555555546</v>
      </c>
      <c r="Q67" s="101">
        <v>0.7381944444444435</v>
      </c>
      <c r="R67" s="99">
        <v>3.0</v>
      </c>
      <c r="S67" s="101">
        <v>0.7402777777777768</v>
      </c>
      <c r="T67" s="101">
        <v>0.7444444444444435</v>
      </c>
      <c r="U67" s="99">
        <v>2.0</v>
      </c>
      <c r="V67" s="101">
        <v>0.7458333333333323</v>
      </c>
      <c r="W67" s="101">
        <v>0.7576388888888879</v>
      </c>
      <c r="X67" s="99">
        <v>0.0</v>
      </c>
      <c r="Y67" s="101">
        <v>0.7576388888888879</v>
      </c>
      <c r="Z67" s="101">
        <v>0.7701388888888878</v>
      </c>
      <c r="AA67" s="99">
        <v>4.0</v>
      </c>
      <c r="AB67" s="101">
        <v>0.7729166666666656</v>
      </c>
      <c r="AC67" s="103">
        <f t="shared" si="12"/>
        <v>107</v>
      </c>
      <c r="AD67" s="103">
        <f t="shared" si="17"/>
        <v>120</v>
      </c>
      <c r="AE67" s="103">
        <f t="shared" si="14"/>
        <v>13</v>
      </c>
      <c r="AF67" s="104">
        <f t="shared" si="15"/>
        <v>0.1214953271</v>
      </c>
      <c r="AG67" s="142">
        <f t="shared" si="16"/>
        <v>30</v>
      </c>
      <c r="AL67" s="109"/>
    </row>
    <row r="68" ht="13.5" customHeight="1">
      <c r="A68" s="127"/>
      <c r="B68" s="141" t="s">
        <v>78</v>
      </c>
      <c r="C68" s="101">
        <v>0.7104166666666658</v>
      </c>
      <c r="D68" s="101">
        <v>0.7229166666666658</v>
      </c>
      <c r="E68" s="99">
        <v>0.0</v>
      </c>
      <c r="F68" s="101">
        <v>0.7229166666666658</v>
      </c>
      <c r="G68" s="101">
        <v>0.7347222222222213</v>
      </c>
      <c r="H68" s="99">
        <v>2.0</v>
      </c>
      <c r="I68" s="101">
        <v>0.7361111111111102</v>
      </c>
      <c r="J68" s="101">
        <v>0.7395833333333324</v>
      </c>
      <c r="K68" s="99">
        <v>3.0</v>
      </c>
      <c r="L68" s="101">
        <v>0.7416666666666657</v>
      </c>
      <c r="M68" s="101">
        <v>0.7506944444444434</v>
      </c>
      <c r="N68" s="101">
        <v>0.7520833333333323</v>
      </c>
      <c r="O68" s="99">
        <v>0.0</v>
      </c>
      <c r="P68" s="101">
        <v>0.7520833333333323</v>
      </c>
      <c r="Q68" s="101">
        <v>0.7597222222222212</v>
      </c>
      <c r="R68" s="99">
        <v>3.0</v>
      </c>
      <c r="S68" s="101">
        <v>0.7618055555555545</v>
      </c>
      <c r="T68" s="101">
        <v>0.7659722222222212</v>
      </c>
      <c r="U68" s="99">
        <v>2.0</v>
      </c>
      <c r="V68" s="101">
        <v>0.76736111111111</v>
      </c>
      <c r="W68" s="101">
        <v>0.7791666666666656</v>
      </c>
      <c r="X68" s="99">
        <v>0.0</v>
      </c>
      <c r="Y68" s="101">
        <v>0.7791666666666656</v>
      </c>
      <c r="Z68" s="101">
        <v>0.7916666666666655</v>
      </c>
      <c r="AA68" s="99"/>
      <c r="AB68" s="155"/>
      <c r="AC68" s="103">
        <f t="shared" si="12"/>
        <v>107</v>
      </c>
      <c r="AD68" s="103">
        <f>(Z68-C68)*1440</f>
        <v>117</v>
      </c>
      <c r="AE68" s="103">
        <f t="shared" si="14"/>
        <v>10</v>
      </c>
      <c r="AF68" s="104">
        <f t="shared" si="15"/>
        <v>0.09345794393</v>
      </c>
      <c r="AG68" s="142">
        <f t="shared" ref="AG68:AG70" si="18">(Z68-Z67)*1440</f>
        <v>31</v>
      </c>
      <c r="AL68" s="109"/>
    </row>
    <row r="69" ht="13.5" customHeight="1">
      <c r="A69" s="127"/>
      <c r="B69" s="141" t="s">
        <v>79</v>
      </c>
      <c r="C69" s="101">
        <v>0.7312499999999991</v>
      </c>
      <c r="D69" s="101">
        <v>0.743749999999999</v>
      </c>
      <c r="E69" s="99">
        <v>0.0</v>
      </c>
      <c r="F69" s="101">
        <v>0.743749999999999</v>
      </c>
      <c r="G69" s="101">
        <v>0.7548611111111101</v>
      </c>
      <c r="H69" s="99">
        <v>3.0</v>
      </c>
      <c r="I69" s="101">
        <v>0.7569444444444434</v>
      </c>
      <c r="J69" s="101">
        <v>0.7604166666666656</v>
      </c>
      <c r="K69" s="99">
        <v>3.0</v>
      </c>
      <c r="L69" s="101">
        <v>0.762499999999999</v>
      </c>
      <c r="M69" s="101">
        <v>0.7701388888888878</v>
      </c>
      <c r="N69" s="101">
        <v>0.7715277777777767</v>
      </c>
      <c r="O69" s="99">
        <v>2.0</v>
      </c>
      <c r="P69" s="101">
        <v>0.7729166666666656</v>
      </c>
      <c r="Q69" s="101">
        <v>0.7791666666666656</v>
      </c>
      <c r="R69" s="99">
        <v>3.0</v>
      </c>
      <c r="S69" s="101">
        <v>0.7812499999999989</v>
      </c>
      <c r="T69" s="101">
        <v>0.7854166666666655</v>
      </c>
      <c r="U69" s="99">
        <v>2.0</v>
      </c>
      <c r="V69" s="101">
        <v>0.7868055555555544</v>
      </c>
      <c r="W69" s="101">
        <v>0.7986111111111099</v>
      </c>
      <c r="X69" s="99">
        <v>0.0</v>
      </c>
      <c r="Y69" s="101">
        <v>0.7986111111111099</v>
      </c>
      <c r="Z69" s="101">
        <v>0.8111111111111099</v>
      </c>
      <c r="AA69" s="99">
        <v>5.0</v>
      </c>
      <c r="AB69" s="101">
        <v>0.8145833333333321</v>
      </c>
      <c r="AC69" s="103">
        <f t="shared" si="12"/>
        <v>102</v>
      </c>
      <c r="AD69" s="103">
        <f>(AB69-C69)*1440</f>
        <v>120</v>
      </c>
      <c r="AE69" s="103">
        <f t="shared" si="14"/>
        <v>18</v>
      </c>
      <c r="AF69" s="104">
        <f t="shared" si="15"/>
        <v>0.1764705882</v>
      </c>
      <c r="AG69" s="142">
        <f t="shared" si="18"/>
        <v>28</v>
      </c>
      <c r="AL69" s="109"/>
    </row>
    <row r="70" ht="13.5" customHeight="1">
      <c r="A70" s="127"/>
      <c r="B70" s="141" t="s">
        <v>79</v>
      </c>
      <c r="C70" s="101">
        <v>0.7520833333333323</v>
      </c>
      <c r="D70" s="101">
        <v>0.7645833333333323</v>
      </c>
      <c r="E70" s="99">
        <v>0.0</v>
      </c>
      <c r="F70" s="101">
        <v>0.7645833333333323</v>
      </c>
      <c r="G70" s="101">
        <v>0.7756944444444434</v>
      </c>
      <c r="H70" s="99">
        <v>3.0</v>
      </c>
      <c r="I70" s="101">
        <v>0.7777777777777767</v>
      </c>
      <c r="J70" s="101">
        <v>0.7812499999999989</v>
      </c>
      <c r="K70" s="99">
        <v>3.0</v>
      </c>
      <c r="L70" s="101">
        <v>0.7833333333333322</v>
      </c>
      <c r="M70" s="101">
        <v>0.7909722222222211</v>
      </c>
      <c r="N70" s="101">
        <v>0.79236111111111</v>
      </c>
      <c r="O70" s="99">
        <v>2.0</v>
      </c>
      <c r="P70" s="101">
        <v>0.7937499999999988</v>
      </c>
      <c r="Q70" s="101">
        <v>0.7999999999999988</v>
      </c>
      <c r="R70" s="99">
        <v>4.0</v>
      </c>
      <c r="S70" s="101">
        <v>0.8027777777777766</v>
      </c>
      <c r="T70" s="101">
        <v>0.8069444444444432</v>
      </c>
      <c r="U70" s="99">
        <v>2.0</v>
      </c>
      <c r="V70" s="101">
        <v>0.8083333333333321</v>
      </c>
      <c r="W70" s="101">
        <v>0.8201388888888876</v>
      </c>
      <c r="X70" s="99">
        <v>0.0</v>
      </c>
      <c r="Y70" s="101">
        <v>0.8201388888888876</v>
      </c>
      <c r="Z70" s="101">
        <v>0.8326388888888876</v>
      </c>
      <c r="AA70" s="99"/>
      <c r="AB70" s="155"/>
      <c r="AC70" s="103">
        <f t="shared" si="12"/>
        <v>102</v>
      </c>
      <c r="AD70" s="103">
        <f>(Z70-C70)*1440</f>
        <v>116</v>
      </c>
      <c r="AE70" s="103">
        <f t="shared" si="14"/>
        <v>14</v>
      </c>
      <c r="AF70" s="104">
        <f t="shared" si="15"/>
        <v>0.137254902</v>
      </c>
      <c r="AG70" s="142">
        <f t="shared" si="18"/>
        <v>31</v>
      </c>
      <c r="AL70" s="109"/>
    </row>
    <row r="71" ht="13.5" customHeight="1">
      <c r="A71" s="127"/>
      <c r="B71" s="141" t="s">
        <v>79</v>
      </c>
      <c r="C71" s="101">
        <v>0.7729166666666656</v>
      </c>
      <c r="D71" s="101">
        <v>0.7854166666666655</v>
      </c>
      <c r="E71" s="99">
        <v>0.0</v>
      </c>
      <c r="F71" s="101">
        <v>0.7854166666666655</v>
      </c>
      <c r="G71" s="101">
        <v>0.7965277777777766</v>
      </c>
      <c r="H71" s="99">
        <v>3.0</v>
      </c>
      <c r="I71" s="101">
        <v>0.7986111111111099</v>
      </c>
      <c r="J71" s="101">
        <v>0.8020833333333321</v>
      </c>
      <c r="K71" s="99">
        <v>3.0</v>
      </c>
      <c r="L71" s="101">
        <v>0.8041666666666655</v>
      </c>
      <c r="M71" s="101">
        <v>0.8118055555555543</v>
      </c>
      <c r="N71" s="101">
        <v>0.8131944444444432</v>
      </c>
      <c r="O71" s="99">
        <v>2.0</v>
      </c>
      <c r="P71" s="101">
        <v>0.8145833333333321</v>
      </c>
      <c r="Q71" s="101">
        <v>0.8208333333333321</v>
      </c>
      <c r="R71" s="99">
        <v>4.0</v>
      </c>
      <c r="S71" s="101">
        <v>0.8236111111111099</v>
      </c>
      <c r="T71" s="101">
        <v>0.8277777777777765</v>
      </c>
      <c r="U71" s="99">
        <v>2.0</v>
      </c>
      <c r="V71" s="101">
        <v>0.8291666666666654</v>
      </c>
      <c r="W71" s="101">
        <v>0.8409722222222209</v>
      </c>
      <c r="X71" s="99">
        <v>0.0</v>
      </c>
      <c r="Y71" s="101">
        <v>0.8409722222222209</v>
      </c>
      <c r="Z71" s="101">
        <v>0.8534722222222209</v>
      </c>
      <c r="AA71" s="99">
        <v>5.0</v>
      </c>
      <c r="AB71" s="101">
        <v>0.8569444444444431</v>
      </c>
      <c r="AC71" s="103">
        <f t="shared" si="12"/>
        <v>102</v>
      </c>
      <c r="AD71" s="103">
        <f t="shared" ref="AD71:AD74" si="19">(AB71-C71)*1440</f>
        <v>121</v>
      </c>
      <c r="AE71" s="103">
        <f t="shared" si="14"/>
        <v>19</v>
      </c>
      <c r="AF71" s="104">
        <f t="shared" si="15"/>
        <v>0.1862745098</v>
      </c>
      <c r="AG71" s="142">
        <f>(AB71-AB69)*1440</f>
        <v>61</v>
      </c>
      <c r="AL71" s="109"/>
    </row>
    <row r="72" ht="13.5" customHeight="1">
      <c r="A72" s="127"/>
      <c r="B72" s="141" t="s">
        <v>79</v>
      </c>
      <c r="C72" s="101">
        <v>0.8145833333333321</v>
      </c>
      <c r="D72" s="101">
        <v>0.8270833333333321</v>
      </c>
      <c r="E72" s="99">
        <v>0.0</v>
      </c>
      <c r="F72" s="101">
        <v>0.8270833333333321</v>
      </c>
      <c r="G72" s="101">
        <v>0.8381944444444431</v>
      </c>
      <c r="H72" s="99">
        <v>3.0</v>
      </c>
      <c r="I72" s="101">
        <v>0.8402777777777765</v>
      </c>
      <c r="J72" s="101">
        <v>0.8437499999999987</v>
      </c>
      <c r="K72" s="99">
        <v>3.0</v>
      </c>
      <c r="L72" s="101">
        <v>0.845833333333332</v>
      </c>
      <c r="M72" s="101">
        <v>0.8534722222222209</v>
      </c>
      <c r="N72" s="101">
        <v>0.8548611111111097</v>
      </c>
      <c r="O72" s="99">
        <v>2.0</v>
      </c>
      <c r="P72" s="101">
        <v>0.8562499999999986</v>
      </c>
      <c r="Q72" s="101">
        <v>0.8624999999999986</v>
      </c>
      <c r="R72" s="99">
        <v>4.0</v>
      </c>
      <c r="S72" s="101">
        <v>0.8652777777777764</v>
      </c>
      <c r="T72" s="101">
        <v>0.869444444444443</v>
      </c>
      <c r="U72" s="99">
        <v>2.0</v>
      </c>
      <c r="V72" s="101">
        <v>0.8708333333333319</v>
      </c>
      <c r="W72" s="101">
        <v>0.8826388888888874</v>
      </c>
      <c r="X72" s="99">
        <v>0.0</v>
      </c>
      <c r="Y72" s="101">
        <v>0.8826388888888874</v>
      </c>
      <c r="Z72" s="101">
        <v>0.8951388888888874</v>
      </c>
      <c r="AA72" s="99">
        <v>5.0</v>
      </c>
      <c r="AB72" s="101">
        <v>0.8986111111111096</v>
      </c>
      <c r="AC72" s="103">
        <f t="shared" si="12"/>
        <v>102</v>
      </c>
      <c r="AD72" s="103">
        <f t="shared" si="19"/>
        <v>121</v>
      </c>
      <c r="AE72" s="103">
        <f t="shared" si="14"/>
        <v>19</v>
      </c>
      <c r="AF72" s="104">
        <f t="shared" si="15"/>
        <v>0.1862745098</v>
      </c>
      <c r="AG72" s="142">
        <f t="shared" ref="AG72:AG74" si="20">(AB72-AB71)*1440</f>
        <v>60</v>
      </c>
      <c r="AL72" s="109"/>
    </row>
    <row r="73" ht="13.5" customHeight="1">
      <c r="A73" s="127"/>
      <c r="B73" s="141" t="s">
        <v>98</v>
      </c>
      <c r="C73" s="101">
        <v>0.8569444444444431</v>
      </c>
      <c r="D73" s="101">
        <v>0.8687499999999986</v>
      </c>
      <c r="E73" s="99">
        <v>0.0</v>
      </c>
      <c r="F73" s="101">
        <v>0.8687499999999986</v>
      </c>
      <c r="G73" s="101">
        <v>0.8798611111111097</v>
      </c>
      <c r="H73" s="99">
        <v>3.0</v>
      </c>
      <c r="I73" s="101">
        <v>0.881944444444443</v>
      </c>
      <c r="J73" s="101">
        <v>0.8854166666666652</v>
      </c>
      <c r="K73" s="99">
        <v>3.0</v>
      </c>
      <c r="L73" s="101">
        <v>0.8874999999999985</v>
      </c>
      <c r="M73" s="101">
        <v>0.8951388888888874</v>
      </c>
      <c r="N73" s="101">
        <v>0.8965277777777763</v>
      </c>
      <c r="O73" s="99">
        <v>2.0</v>
      </c>
      <c r="P73" s="101">
        <v>0.8979166666666651</v>
      </c>
      <c r="Q73" s="101">
        <v>0.9041666666666651</v>
      </c>
      <c r="R73" s="99">
        <v>4.0</v>
      </c>
      <c r="S73" s="101">
        <v>0.9069444444444429</v>
      </c>
      <c r="T73" s="101">
        <v>0.9111111111111095</v>
      </c>
      <c r="U73" s="99">
        <v>2.0</v>
      </c>
      <c r="V73" s="101">
        <v>0.9124999999999984</v>
      </c>
      <c r="W73" s="101">
        <v>0.9243055555555539</v>
      </c>
      <c r="X73" s="99">
        <v>0.0</v>
      </c>
      <c r="Y73" s="101">
        <v>0.9243055555555539</v>
      </c>
      <c r="Z73" s="101">
        <v>0.935416666666665</v>
      </c>
      <c r="AA73" s="99">
        <v>7.0</v>
      </c>
      <c r="AB73" s="101">
        <v>0.9402777777777761</v>
      </c>
      <c r="AC73" s="103">
        <f t="shared" si="12"/>
        <v>99</v>
      </c>
      <c r="AD73" s="103">
        <f t="shared" si="19"/>
        <v>120</v>
      </c>
      <c r="AE73" s="103">
        <f t="shared" si="14"/>
        <v>21</v>
      </c>
      <c r="AF73" s="104">
        <f t="shared" si="15"/>
        <v>0.2121212121</v>
      </c>
      <c r="AG73" s="142">
        <f t="shared" si="20"/>
        <v>60</v>
      </c>
      <c r="AL73" s="109"/>
    </row>
    <row r="74" ht="13.5" customHeight="1">
      <c r="A74" s="127"/>
      <c r="B74" s="141" t="s">
        <v>98</v>
      </c>
      <c r="C74" s="101">
        <v>0.8986111111111096</v>
      </c>
      <c r="D74" s="101">
        <v>0.9104166666666651</v>
      </c>
      <c r="E74" s="99">
        <v>0.0</v>
      </c>
      <c r="F74" s="101">
        <v>0.9104166666666651</v>
      </c>
      <c r="G74" s="101">
        <v>0.9215277777777762</v>
      </c>
      <c r="H74" s="99">
        <v>3.0</v>
      </c>
      <c r="I74" s="101">
        <v>0.9236111111111095</v>
      </c>
      <c r="J74" s="101">
        <v>0.9270833333333317</v>
      </c>
      <c r="K74" s="99">
        <v>3.0</v>
      </c>
      <c r="L74" s="101">
        <v>0.929166666666665</v>
      </c>
      <c r="M74" s="101">
        <v>0.9368055555555539</v>
      </c>
      <c r="N74" s="101">
        <v>0.9381944444444428</v>
      </c>
      <c r="O74" s="99">
        <v>2.0</v>
      </c>
      <c r="P74" s="101">
        <v>0.9395833333333317</v>
      </c>
      <c r="Q74" s="101">
        <v>0.9458333333333316</v>
      </c>
      <c r="R74" s="99">
        <v>4.0</v>
      </c>
      <c r="S74" s="101">
        <v>0.9486111111111094</v>
      </c>
      <c r="T74" s="101">
        <v>0.9527777777777761</v>
      </c>
      <c r="U74" s="99">
        <v>2.0</v>
      </c>
      <c r="V74" s="101">
        <v>0.9541666666666649</v>
      </c>
      <c r="W74" s="101">
        <v>0.9659722222222205</v>
      </c>
      <c r="X74" s="99">
        <v>0.0</v>
      </c>
      <c r="Y74" s="101">
        <v>0.9659722222222205</v>
      </c>
      <c r="Z74" s="101">
        <v>0.9770833333333315</v>
      </c>
      <c r="AA74" s="99">
        <v>7.0</v>
      </c>
      <c r="AB74" s="101">
        <v>0.9819444444444426</v>
      </c>
      <c r="AC74" s="103">
        <f t="shared" si="12"/>
        <v>99</v>
      </c>
      <c r="AD74" s="103">
        <f t="shared" si="19"/>
        <v>120</v>
      </c>
      <c r="AE74" s="103">
        <f t="shared" si="14"/>
        <v>21</v>
      </c>
      <c r="AF74" s="104">
        <f t="shared" si="15"/>
        <v>0.2121212121</v>
      </c>
      <c r="AG74" s="142">
        <f t="shared" si="20"/>
        <v>60</v>
      </c>
      <c r="AL74" s="109"/>
    </row>
    <row r="75" ht="13.5" customHeight="1">
      <c r="A75" s="127"/>
      <c r="B75" s="141" t="s">
        <v>98</v>
      </c>
      <c r="C75" s="101">
        <v>0.9402777777777761</v>
      </c>
      <c r="D75" s="101">
        <v>0.9520833333333316</v>
      </c>
      <c r="E75" s="99">
        <v>0.0</v>
      </c>
      <c r="F75" s="101">
        <v>0.9520833333333316</v>
      </c>
      <c r="G75" s="101">
        <v>0.9631944444444427</v>
      </c>
      <c r="H75" s="99">
        <v>3.0</v>
      </c>
      <c r="I75" s="101">
        <v>0.965277777777776</v>
      </c>
      <c r="J75" s="101">
        <v>0.9687499999999982</v>
      </c>
      <c r="K75" s="99">
        <v>3.0</v>
      </c>
      <c r="L75" s="101">
        <v>0.9708333333333315</v>
      </c>
      <c r="M75" s="101">
        <v>0.9784722222222204</v>
      </c>
      <c r="N75" s="101">
        <v>0.9798611111111093</v>
      </c>
      <c r="O75" s="99">
        <v>2.0</v>
      </c>
      <c r="P75" s="101">
        <v>0.9812499999999982</v>
      </c>
      <c r="Q75" s="101">
        <v>0.9874999999999982</v>
      </c>
      <c r="R75" s="99"/>
      <c r="S75" s="155"/>
      <c r="T75" s="101"/>
      <c r="U75" s="99"/>
      <c r="V75" s="101"/>
      <c r="W75" s="101"/>
      <c r="X75" s="99"/>
      <c r="Y75" s="101"/>
      <c r="Z75" s="101"/>
      <c r="AA75" s="99"/>
      <c r="AB75" s="101"/>
      <c r="AC75" s="103">
        <f t="shared" si="12"/>
        <v>60</v>
      </c>
      <c r="AD75" s="103">
        <f>(Q75-C75)*1440</f>
        <v>68</v>
      </c>
      <c r="AE75" s="103">
        <f t="shared" si="14"/>
        <v>8</v>
      </c>
      <c r="AF75" s="104">
        <f t="shared" si="15"/>
        <v>0.1333333333</v>
      </c>
      <c r="AG75" s="142">
        <f>(M75-M74)*1440</f>
        <v>60</v>
      </c>
      <c r="AL75" s="109"/>
    </row>
    <row r="76" ht="13.5" customHeight="1">
      <c r="A76" s="127"/>
      <c r="B76" s="141" t="s">
        <v>98</v>
      </c>
      <c r="C76" s="101">
        <v>0.9819444444444426</v>
      </c>
      <c r="D76" s="101">
        <v>0.9937499999999981</v>
      </c>
      <c r="E76" s="99">
        <v>0.0</v>
      </c>
      <c r="F76" s="101">
        <v>0.9937499999999981</v>
      </c>
      <c r="G76" s="101">
        <v>1.0048611111111092</v>
      </c>
      <c r="H76" s="99">
        <v>3.0</v>
      </c>
      <c r="I76" s="101">
        <v>1.0069444444444426</v>
      </c>
      <c r="J76" s="101">
        <v>1.010416666666665</v>
      </c>
      <c r="K76" s="99"/>
      <c r="L76" s="155"/>
      <c r="M76" s="101"/>
      <c r="N76" s="101"/>
      <c r="O76" s="99"/>
      <c r="P76" s="101"/>
      <c r="Q76" s="101"/>
      <c r="R76" s="99"/>
      <c r="S76" s="101"/>
      <c r="T76" s="101"/>
      <c r="U76" s="99"/>
      <c r="V76" s="101"/>
      <c r="W76" s="101"/>
      <c r="X76" s="99"/>
      <c r="Y76" s="101"/>
      <c r="Z76" s="101"/>
      <c r="AA76" s="99"/>
      <c r="AB76" s="101"/>
      <c r="AC76" s="103">
        <f t="shared" si="12"/>
        <v>38</v>
      </c>
      <c r="AD76" s="103">
        <f>(J76-C76)*1440</f>
        <v>41</v>
      </c>
      <c r="AE76" s="103">
        <f t="shared" si="14"/>
        <v>3</v>
      </c>
      <c r="AF76" s="104">
        <f t="shared" si="15"/>
        <v>0.07894736842</v>
      </c>
      <c r="AG76" s="142">
        <f>(J76-J75)*1440</f>
        <v>60</v>
      </c>
      <c r="AL76" s="109"/>
    </row>
    <row r="77" ht="13.5" customHeight="1">
      <c r="A77" s="156"/>
      <c r="N77" s="101"/>
      <c r="S77" s="110"/>
      <c r="V77" s="157"/>
      <c r="W77" s="164"/>
      <c r="X77" s="164"/>
      <c r="Y77" s="164"/>
      <c r="Z77" s="110" t="s">
        <v>81</v>
      </c>
      <c r="AC77" s="159">
        <f t="shared" ref="AC77:AE77" si="21">SUM(AC45:AC76)/60</f>
        <v>52.6</v>
      </c>
      <c r="AD77" s="164">
        <f t="shared" si="21"/>
        <v>59.9</v>
      </c>
      <c r="AE77" s="159">
        <f t="shared" si="21"/>
        <v>7.3</v>
      </c>
      <c r="AF77" s="104">
        <f t="shared" si="15"/>
        <v>0.13878327</v>
      </c>
      <c r="AL77" s="109"/>
    </row>
    <row r="78" ht="13.5" customHeight="1">
      <c r="A78" s="123" t="s">
        <v>99</v>
      </c>
      <c r="B78" s="118"/>
      <c r="C78" s="160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L78" s="109"/>
    </row>
    <row r="79" ht="13.5" customHeight="1">
      <c r="A79" s="127"/>
      <c r="AL79" s="109"/>
    </row>
    <row r="80" ht="13.5" customHeight="1">
      <c r="A80" s="127"/>
      <c r="C80" s="196" t="s">
        <v>122</v>
      </c>
      <c r="D80" s="166"/>
      <c r="E80" s="166"/>
      <c r="F80" s="166"/>
      <c r="G80" s="166"/>
      <c r="H80" s="166"/>
      <c r="I80" s="166"/>
      <c r="J80" s="166"/>
      <c r="K80" s="166"/>
      <c r="L80" s="166"/>
      <c r="M80" s="167"/>
      <c r="N80" s="197"/>
      <c r="O80" s="196" t="s">
        <v>123</v>
      </c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7"/>
      <c r="AL80" s="109"/>
    </row>
    <row r="81" ht="13.5" customHeight="1">
      <c r="A81" s="127"/>
      <c r="C81" s="89" t="s">
        <v>62</v>
      </c>
      <c r="D81" s="89" t="s">
        <v>85</v>
      </c>
      <c r="E81" s="198" t="s">
        <v>69</v>
      </c>
      <c r="F81" s="89" t="s">
        <v>62</v>
      </c>
      <c r="G81" s="89" t="s">
        <v>85</v>
      </c>
      <c r="H81" s="198" t="s">
        <v>69</v>
      </c>
      <c r="I81" s="89" t="s">
        <v>62</v>
      </c>
      <c r="J81" s="89" t="s">
        <v>85</v>
      </c>
      <c r="K81" s="198" t="s">
        <v>69</v>
      </c>
      <c r="L81" s="89" t="s">
        <v>62</v>
      </c>
      <c r="M81" s="199"/>
      <c r="N81" s="89" t="s">
        <v>85</v>
      </c>
      <c r="O81" s="198" t="s">
        <v>69</v>
      </c>
      <c r="P81" s="89" t="s">
        <v>62</v>
      </c>
      <c r="Q81" s="89" t="s">
        <v>85</v>
      </c>
      <c r="R81" s="198" t="s">
        <v>69</v>
      </c>
      <c r="S81" s="89" t="s">
        <v>62</v>
      </c>
      <c r="T81" s="89" t="s">
        <v>85</v>
      </c>
      <c r="U81" s="198" t="s">
        <v>69</v>
      </c>
      <c r="V81" s="89" t="s">
        <v>62</v>
      </c>
      <c r="W81" s="199"/>
      <c r="X81" s="198" t="s">
        <v>69</v>
      </c>
      <c r="Y81" s="89" t="s">
        <v>62</v>
      </c>
      <c r="Z81" s="89" t="s">
        <v>85</v>
      </c>
      <c r="AA81" s="198" t="s">
        <v>69</v>
      </c>
      <c r="AB81" s="89" t="s">
        <v>62</v>
      </c>
      <c r="AL81" s="109"/>
    </row>
    <row r="82" ht="13.5" customHeight="1">
      <c r="A82" s="127"/>
      <c r="B82" s="128" t="s">
        <v>63</v>
      </c>
      <c r="C82" s="130" t="s">
        <v>64</v>
      </c>
      <c r="D82" s="130" t="s">
        <v>117</v>
      </c>
      <c r="E82" s="200"/>
      <c r="F82" s="130" t="s">
        <v>117</v>
      </c>
      <c r="G82" s="130" t="s">
        <v>118</v>
      </c>
      <c r="H82" s="200"/>
      <c r="I82" s="130" t="s">
        <v>118</v>
      </c>
      <c r="J82" s="130" t="s">
        <v>86</v>
      </c>
      <c r="K82" s="200"/>
      <c r="L82" s="130" t="s">
        <v>86</v>
      </c>
      <c r="M82" s="130" t="s">
        <v>70</v>
      </c>
      <c r="N82" s="130" t="s">
        <v>119</v>
      </c>
      <c r="O82" s="200"/>
      <c r="P82" s="130" t="s">
        <v>119</v>
      </c>
      <c r="Q82" s="130" t="s">
        <v>86</v>
      </c>
      <c r="R82" s="200"/>
      <c r="S82" s="130" t="s">
        <v>86</v>
      </c>
      <c r="T82" s="130" t="s">
        <v>118</v>
      </c>
      <c r="U82" s="200"/>
      <c r="V82" s="130" t="s">
        <v>118</v>
      </c>
      <c r="W82" s="130" t="s">
        <v>117</v>
      </c>
      <c r="X82" s="200"/>
      <c r="Y82" s="130" t="s">
        <v>117</v>
      </c>
      <c r="Z82" s="130" t="s">
        <v>64</v>
      </c>
      <c r="AA82" s="200"/>
      <c r="AB82" s="130" t="s">
        <v>64</v>
      </c>
      <c r="AL82" s="109"/>
    </row>
    <row r="83" ht="13.5" customHeight="1">
      <c r="A83" s="127"/>
      <c r="B83" s="89" t="s">
        <v>72</v>
      </c>
      <c r="C83" s="89">
        <v>777.0</v>
      </c>
      <c r="D83" s="89">
        <v>487.0</v>
      </c>
      <c r="E83" s="175"/>
      <c r="F83" s="89">
        <v>487.0</v>
      </c>
      <c r="G83" s="89">
        <v>732.0</v>
      </c>
      <c r="H83" s="175"/>
      <c r="I83" s="89">
        <v>732.0</v>
      </c>
      <c r="J83" s="89">
        <v>1.0</v>
      </c>
      <c r="K83" s="175"/>
      <c r="L83" s="89">
        <v>1.0</v>
      </c>
      <c r="M83" s="89">
        <v>330.0</v>
      </c>
      <c r="N83" s="89" t="s">
        <v>120</v>
      </c>
      <c r="O83" s="175"/>
      <c r="P83" s="89" t="s">
        <v>120</v>
      </c>
      <c r="Q83" s="89">
        <v>1.0</v>
      </c>
      <c r="R83" s="175"/>
      <c r="S83" s="89">
        <v>1.0</v>
      </c>
      <c r="T83" s="89">
        <v>732.0</v>
      </c>
      <c r="U83" s="175"/>
      <c r="V83" s="89">
        <v>732.0</v>
      </c>
      <c r="W83" s="89">
        <v>488.0</v>
      </c>
      <c r="X83" s="175"/>
      <c r="Y83" s="89">
        <v>487.0</v>
      </c>
      <c r="Z83" s="89">
        <v>777.0</v>
      </c>
      <c r="AA83" s="175"/>
      <c r="AB83" s="89">
        <v>777.0</v>
      </c>
      <c r="AC83" s="139" t="s">
        <v>73</v>
      </c>
      <c r="AD83" s="139" t="s">
        <v>74</v>
      </c>
      <c r="AE83" s="139" t="s">
        <v>69</v>
      </c>
      <c r="AF83" s="139" t="s">
        <v>121</v>
      </c>
      <c r="AG83" s="140" t="s">
        <v>76</v>
      </c>
      <c r="AL83" s="109"/>
    </row>
    <row r="84" ht="13.5" customHeight="1">
      <c r="A84" s="127"/>
      <c r="B84" s="141" t="s">
        <v>78</v>
      </c>
      <c r="C84" s="161"/>
      <c r="D84" s="101"/>
      <c r="E84" s="101"/>
      <c r="F84" s="101"/>
      <c r="G84" s="101"/>
      <c r="H84" s="101"/>
      <c r="I84" s="101"/>
      <c r="J84" s="101"/>
      <c r="K84" s="99"/>
      <c r="L84" s="101"/>
      <c r="M84" s="100">
        <v>0.39652777777777776</v>
      </c>
      <c r="N84" s="101">
        <v>0.39791666666666664</v>
      </c>
      <c r="O84" s="99">
        <v>0.0</v>
      </c>
      <c r="P84" s="101">
        <v>0.39791666666666664</v>
      </c>
      <c r="Q84" s="101">
        <v>0.4055555555555555</v>
      </c>
      <c r="R84" s="99">
        <v>3.0</v>
      </c>
      <c r="S84" s="101">
        <v>0.40763888888888883</v>
      </c>
      <c r="T84" s="101">
        <v>0.4118055555555555</v>
      </c>
      <c r="U84" s="99">
        <v>2.0</v>
      </c>
      <c r="V84" s="101">
        <v>0.41319444444444436</v>
      </c>
      <c r="W84" s="101">
        <v>0.42499999999999993</v>
      </c>
      <c r="X84" s="99">
        <v>0.0</v>
      </c>
      <c r="Y84" s="101">
        <v>0.42499999999999993</v>
      </c>
      <c r="Z84" s="101">
        <v>0.43749999999999994</v>
      </c>
      <c r="AA84" s="99">
        <v>3.0</v>
      </c>
      <c r="AB84" s="101">
        <v>0.43958333333333327</v>
      </c>
      <c r="AC84" s="103">
        <f t="shared" ref="AC84:AC97" si="22">AD84-AE84</f>
        <v>54</v>
      </c>
      <c r="AD84" s="103">
        <f>(AB84-M84)*1440</f>
        <v>62</v>
      </c>
      <c r="AE84" s="103">
        <f t="shared" ref="AE84:AE97" si="23">U84+R84+O84+K84+AA84+E84+H84+X84</f>
        <v>8</v>
      </c>
      <c r="AF84" s="104">
        <f t="shared" ref="AF84:AF98" si="24">AE84/AC84</f>
        <v>0.1481481481</v>
      </c>
      <c r="AG84" s="142"/>
      <c r="AL84" s="109"/>
    </row>
    <row r="85" ht="13.5" customHeight="1">
      <c r="A85" s="127"/>
      <c r="B85" s="141" t="s">
        <v>78</v>
      </c>
      <c r="C85" s="100">
        <v>0.3979166666666666</v>
      </c>
      <c r="D85" s="101">
        <v>0.4104166666666666</v>
      </c>
      <c r="E85" s="99">
        <v>0.0</v>
      </c>
      <c r="F85" s="101">
        <v>0.4104166666666666</v>
      </c>
      <c r="G85" s="101">
        <v>0.42222222222222217</v>
      </c>
      <c r="H85" s="99">
        <v>3.0</v>
      </c>
      <c r="I85" s="101">
        <v>0.4243055555555555</v>
      </c>
      <c r="J85" s="101">
        <v>0.4277777777777777</v>
      </c>
      <c r="K85" s="99">
        <v>2.0</v>
      </c>
      <c r="L85" s="101">
        <v>0.4291666666666666</v>
      </c>
      <c r="M85" s="101">
        <v>0.4381944444444444</v>
      </c>
      <c r="N85" s="101">
        <v>0.43958333333333327</v>
      </c>
      <c r="O85" s="99">
        <v>0.0</v>
      </c>
      <c r="P85" s="101">
        <v>0.43958333333333327</v>
      </c>
      <c r="Q85" s="101">
        <v>0.44722222222222213</v>
      </c>
      <c r="R85" s="99">
        <v>3.0</v>
      </c>
      <c r="S85" s="101">
        <v>0.44930555555555546</v>
      </c>
      <c r="T85" s="101">
        <v>0.4534722222222221</v>
      </c>
      <c r="U85" s="99">
        <v>2.0</v>
      </c>
      <c r="V85" s="101">
        <v>0.454861111111111</v>
      </c>
      <c r="W85" s="101">
        <v>0.46666666666666656</v>
      </c>
      <c r="X85" s="99">
        <v>0.0</v>
      </c>
      <c r="Y85" s="101">
        <v>0.46666666666666656</v>
      </c>
      <c r="Z85" s="101">
        <v>0.4791666666666666</v>
      </c>
      <c r="AA85" s="99">
        <v>3.0</v>
      </c>
      <c r="AB85" s="101">
        <v>0.4812499999999999</v>
      </c>
      <c r="AC85" s="103">
        <f t="shared" si="22"/>
        <v>107</v>
      </c>
      <c r="AD85" s="103">
        <f t="shared" ref="AD85:AD95" si="25">(AB85-C85)*1440</f>
        <v>120</v>
      </c>
      <c r="AE85" s="103">
        <f t="shared" si="23"/>
        <v>13</v>
      </c>
      <c r="AF85" s="104">
        <f t="shared" si="24"/>
        <v>0.1214953271</v>
      </c>
      <c r="AG85" s="142">
        <f t="shared" ref="AG85:AG95" si="26">(AB85-AB84)*1440</f>
        <v>60</v>
      </c>
      <c r="AL85" s="109"/>
    </row>
    <row r="86" ht="13.5" customHeight="1">
      <c r="A86" s="127"/>
      <c r="B86" s="141" t="s">
        <v>78</v>
      </c>
      <c r="C86" s="101">
        <v>0.43958333333333327</v>
      </c>
      <c r="D86" s="101">
        <v>0.4520833333333333</v>
      </c>
      <c r="E86" s="99">
        <v>0.0</v>
      </c>
      <c r="F86" s="101">
        <v>0.4520833333333333</v>
      </c>
      <c r="G86" s="101">
        <v>0.46388888888888885</v>
      </c>
      <c r="H86" s="99">
        <v>3.0</v>
      </c>
      <c r="I86" s="101">
        <v>0.4659722222222222</v>
      </c>
      <c r="J86" s="101">
        <v>0.4694444444444444</v>
      </c>
      <c r="K86" s="99">
        <v>2.0</v>
      </c>
      <c r="L86" s="101">
        <v>0.47083333333333327</v>
      </c>
      <c r="M86" s="101">
        <v>0.47986111111111107</v>
      </c>
      <c r="N86" s="101">
        <v>0.48124999999999996</v>
      </c>
      <c r="O86" s="99">
        <v>0.0</v>
      </c>
      <c r="P86" s="101">
        <v>0.48124999999999996</v>
      </c>
      <c r="Q86" s="101">
        <v>0.4888888888888888</v>
      </c>
      <c r="R86" s="99">
        <v>3.0</v>
      </c>
      <c r="S86" s="101">
        <v>0.49097222222222214</v>
      </c>
      <c r="T86" s="101">
        <v>0.4951388888888888</v>
      </c>
      <c r="U86" s="99">
        <v>2.0</v>
      </c>
      <c r="V86" s="101">
        <v>0.4965277777777777</v>
      </c>
      <c r="W86" s="101">
        <v>0.5083333333333332</v>
      </c>
      <c r="X86" s="99">
        <v>0.0</v>
      </c>
      <c r="Y86" s="101">
        <v>0.5083333333333332</v>
      </c>
      <c r="Z86" s="101">
        <v>0.5208333333333331</v>
      </c>
      <c r="AA86" s="99">
        <v>3.0</v>
      </c>
      <c r="AB86" s="101">
        <v>0.5229166666666665</v>
      </c>
      <c r="AC86" s="103">
        <f t="shared" si="22"/>
        <v>107</v>
      </c>
      <c r="AD86" s="103">
        <f t="shared" si="25"/>
        <v>120</v>
      </c>
      <c r="AE86" s="103">
        <f t="shared" si="23"/>
        <v>13</v>
      </c>
      <c r="AF86" s="104">
        <f t="shared" si="24"/>
        <v>0.1214953271</v>
      </c>
      <c r="AG86" s="142">
        <f t="shared" si="26"/>
        <v>60</v>
      </c>
      <c r="AL86" s="109"/>
    </row>
    <row r="87" ht="13.5" customHeight="1">
      <c r="A87" s="127"/>
      <c r="B87" s="141" t="s">
        <v>78</v>
      </c>
      <c r="C87" s="101">
        <v>0.4812499999999999</v>
      </c>
      <c r="D87" s="101">
        <v>0.4937499999999999</v>
      </c>
      <c r="E87" s="99">
        <v>0.0</v>
      </c>
      <c r="F87" s="101">
        <v>0.4937499999999999</v>
      </c>
      <c r="G87" s="101">
        <v>0.5055555555555554</v>
      </c>
      <c r="H87" s="99">
        <v>3.0</v>
      </c>
      <c r="I87" s="101">
        <v>0.5076388888888888</v>
      </c>
      <c r="J87" s="101">
        <v>0.511111111111111</v>
      </c>
      <c r="K87" s="99">
        <v>2.0</v>
      </c>
      <c r="L87" s="101">
        <v>0.5124999999999998</v>
      </c>
      <c r="M87" s="101">
        <v>0.5215277777777776</v>
      </c>
      <c r="N87" s="101">
        <v>0.5229166666666665</v>
      </c>
      <c r="O87" s="99">
        <v>0.0</v>
      </c>
      <c r="P87" s="101">
        <v>0.5229166666666665</v>
      </c>
      <c r="Q87" s="101">
        <v>0.5305555555555553</v>
      </c>
      <c r="R87" s="99">
        <v>3.0</v>
      </c>
      <c r="S87" s="101">
        <v>0.5326388888888887</v>
      </c>
      <c r="T87" s="101">
        <v>0.5368055555555553</v>
      </c>
      <c r="U87" s="99">
        <v>2.0</v>
      </c>
      <c r="V87" s="101">
        <v>0.5381944444444442</v>
      </c>
      <c r="W87" s="101">
        <v>0.5499999999999997</v>
      </c>
      <c r="X87" s="99">
        <v>0.0</v>
      </c>
      <c r="Y87" s="101">
        <v>0.5499999999999997</v>
      </c>
      <c r="Z87" s="101">
        <v>0.5624999999999997</v>
      </c>
      <c r="AA87" s="99">
        <v>3.0</v>
      </c>
      <c r="AB87" s="101">
        <v>0.564583333333333</v>
      </c>
      <c r="AC87" s="103">
        <f t="shared" si="22"/>
        <v>107</v>
      </c>
      <c r="AD87" s="103">
        <f t="shared" si="25"/>
        <v>120</v>
      </c>
      <c r="AE87" s="103">
        <f t="shared" si="23"/>
        <v>13</v>
      </c>
      <c r="AF87" s="104">
        <f t="shared" si="24"/>
        <v>0.1214953271</v>
      </c>
      <c r="AG87" s="142">
        <f t="shared" si="26"/>
        <v>60</v>
      </c>
      <c r="AL87" s="109"/>
    </row>
    <row r="88" ht="13.5" customHeight="1">
      <c r="A88" s="127"/>
      <c r="B88" s="141" t="s">
        <v>78</v>
      </c>
      <c r="C88" s="101">
        <v>0.5229166666666665</v>
      </c>
      <c r="D88" s="101">
        <v>0.5354166666666664</v>
      </c>
      <c r="E88" s="99">
        <v>0.0</v>
      </c>
      <c r="F88" s="101">
        <v>0.5354166666666664</v>
      </c>
      <c r="G88" s="101">
        <v>0.5472222222222219</v>
      </c>
      <c r="H88" s="99">
        <v>3.0</v>
      </c>
      <c r="I88" s="101">
        <v>0.5493055555555553</v>
      </c>
      <c r="J88" s="101">
        <v>0.5527777777777775</v>
      </c>
      <c r="K88" s="99">
        <v>2.0</v>
      </c>
      <c r="L88" s="101">
        <v>0.5541666666666664</v>
      </c>
      <c r="M88" s="101">
        <v>0.5631944444444441</v>
      </c>
      <c r="N88" s="101">
        <v>0.564583333333333</v>
      </c>
      <c r="O88" s="99">
        <v>0.0</v>
      </c>
      <c r="P88" s="101">
        <v>0.564583333333333</v>
      </c>
      <c r="Q88" s="101">
        <v>0.5722222222222219</v>
      </c>
      <c r="R88" s="99">
        <v>3.0</v>
      </c>
      <c r="S88" s="101">
        <v>0.5743055555555552</v>
      </c>
      <c r="T88" s="101">
        <v>0.5784722222222218</v>
      </c>
      <c r="U88" s="99">
        <v>2.0</v>
      </c>
      <c r="V88" s="101">
        <v>0.5798611111111107</v>
      </c>
      <c r="W88" s="101">
        <v>0.5916666666666662</v>
      </c>
      <c r="X88" s="99">
        <v>0.0</v>
      </c>
      <c r="Y88" s="101">
        <v>0.5916666666666662</v>
      </c>
      <c r="Z88" s="101">
        <v>0.6041666666666662</v>
      </c>
      <c r="AA88" s="99">
        <v>3.0</v>
      </c>
      <c r="AB88" s="101">
        <v>0.6062499999999995</v>
      </c>
      <c r="AC88" s="103">
        <f t="shared" si="22"/>
        <v>107</v>
      </c>
      <c r="AD88" s="103">
        <f t="shared" si="25"/>
        <v>120</v>
      </c>
      <c r="AE88" s="103">
        <f t="shared" si="23"/>
        <v>13</v>
      </c>
      <c r="AF88" s="104">
        <f t="shared" si="24"/>
        <v>0.1214953271</v>
      </c>
      <c r="AG88" s="142">
        <f t="shared" si="26"/>
        <v>60</v>
      </c>
      <c r="AL88" s="109"/>
    </row>
    <row r="89" ht="13.5" customHeight="1">
      <c r="A89" s="127"/>
      <c r="B89" s="141" t="s">
        <v>78</v>
      </c>
      <c r="C89" s="101">
        <v>0.564583333333333</v>
      </c>
      <c r="D89" s="101">
        <v>0.577083333333333</v>
      </c>
      <c r="E89" s="99">
        <v>0.0</v>
      </c>
      <c r="F89" s="101">
        <v>0.577083333333333</v>
      </c>
      <c r="G89" s="101">
        <v>0.5888888888888885</v>
      </c>
      <c r="H89" s="99">
        <v>3.0</v>
      </c>
      <c r="I89" s="101">
        <v>0.5909722222222218</v>
      </c>
      <c r="J89" s="101">
        <v>0.594444444444444</v>
      </c>
      <c r="K89" s="99">
        <v>2.0</v>
      </c>
      <c r="L89" s="101">
        <v>0.5958333333333329</v>
      </c>
      <c r="M89" s="101">
        <v>0.6048611111111106</v>
      </c>
      <c r="N89" s="101">
        <v>0.6062499999999995</v>
      </c>
      <c r="O89" s="99">
        <v>0.0</v>
      </c>
      <c r="P89" s="101">
        <v>0.6062499999999995</v>
      </c>
      <c r="Q89" s="101">
        <v>0.6138888888888884</v>
      </c>
      <c r="R89" s="99">
        <v>3.0</v>
      </c>
      <c r="S89" s="101">
        <v>0.6159722222222217</v>
      </c>
      <c r="T89" s="101">
        <v>0.6201388888888884</v>
      </c>
      <c r="U89" s="99">
        <v>2.0</v>
      </c>
      <c r="V89" s="101">
        <v>0.6215277777777772</v>
      </c>
      <c r="W89" s="101">
        <v>0.6333333333333327</v>
      </c>
      <c r="X89" s="99">
        <v>0.0</v>
      </c>
      <c r="Y89" s="101">
        <v>0.6333333333333327</v>
      </c>
      <c r="Z89" s="101">
        <v>0.6458333333333327</v>
      </c>
      <c r="AA89" s="99">
        <v>3.0</v>
      </c>
      <c r="AB89" s="101">
        <v>0.647916666666666</v>
      </c>
      <c r="AC89" s="103">
        <f t="shared" si="22"/>
        <v>107</v>
      </c>
      <c r="AD89" s="103">
        <f t="shared" si="25"/>
        <v>120</v>
      </c>
      <c r="AE89" s="103">
        <f t="shared" si="23"/>
        <v>13</v>
      </c>
      <c r="AF89" s="104">
        <f t="shared" si="24"/>
        <v>0.1214953271</v>
      </c>
      <c r="AG89" s="142">
        <f t="shared" si="26"/>
        <v>60</v>
      </c>
      <c r="AL89" s="109"/>
    </row>
    <row r="90" ht="13.5" customHeight="1">
      <c r="A90" s="127"/>
      <c r="B90" s="141" t="s">
        <v>78</v>
      </c>
      <c r="C90" s="101">
        <v>0.6062499999999995</v>
      </c>
      <c r="D90" s="101">
        <v>0.6187499999999995</v>
      </c>
      <c r="E90" s="99">
        <v>0.0</v>
      </c>
      <c r="F90" s="101">
        <v>0.6187499999999995</v>
      </c>
      <c r="G90" s="101">
        <v>0.630555555555555</v>
      </c>
      <c r="H90" s="99">
        <v>3.0</v>
      </c>
      <c r="I90" s="101">
        <v>0.6326388888888883</v>
      </c>
      <c r="J90" s="101">
        <v>0.6361111111111105</v>
      </c>
      <c r="K90" s="99">
        <v>2.0</v>
      </c>
      <c r="L90" s="101">
        <v>0.6374999999999994</v>
      </c>
      <c r="M90" s="101">
        <v>0.6465277777777771</v>
      </c>
      <c r="N90" s="101">
        <v>0.647916666666666</v>
      </c>
      <c r="O90" s="99">
        <v>0.0</v>
      </c>
      <c r="P90" s="101">
        <v>0.647916666666666</v>
      </c>
      <c r="Q90" s="101">
        <v>0.6555555555555549</v>
      </c>
      <c r="R90" s="99">
        <v>3.0</v>
      </c>
      <c r="S90" s="101">
        <v>0.6576388888888882</v>
      </c>
      <c r="T90" s="101">
        <v>0.6618055555555549</v>
      </c>
      <c r="U90" s="99">
        <v>2.0</v>
      </c>
      <c r="V90" s="101">
        <v>0.6631944444444438</v>
      </c>
      <c r="W90" s="101">
        <v>0.6749999999999993</v>
      </c>
      <c r="X90" s="99">
        <v>0.0</v>
      </c>
      <c r="Y90" s="101">
        <v>0.6749999999999993</v>
      </c>
      <c r="Z90" s="101">
        <v>0.6874999999999992</v>
      </c>
      <c r="AA90" s="99">
        <v>3.0</v>
      </c>
      <c r="AB90" s="101">
        <v>0.6895833333333325</v>
      </c>
      <c r="AC90" s="103">
        <f t="shared" si="22"/>
        <v>107</v>
      </c>
      <c r="AD90" s="103">
        <f t="shared" si="25"/>
        <v>120</v>
      </c>
      <c r="AE90" s="103">
        <f t="shared" si="23"/>
        <v>13</v>
      </c>
      <c r="AF90" s="104">
        <f t="shared" si="24"/>
        <v>0.1214953271</v>
      </c>
      <c r="AG90" s="142">
        <f t="shared" si="26"/>
        <v>60</v>
      </c>
      <c r="AL90" s="109"/>
    </row>
    <row r="91" ht="13.5" customHeight="1">
      <c r="A91" s="127"/>
      <c r="B91" s="141" t="s">
        <v>78</v>
      </c>
      <c r="C91" s="101">
        <v>0.647916666666666</v>
      </c>
      <c r="D91" s="101">
        <v>0.660416666666666</v>
      </c>
      <c r="E91" s="99">
        <v>0.0</v>
      </c>
      <c r="F91" s="101">
        <v>0.660416666666666</v>
      </c>
      <c r="G91" s="101">
        <v>0.6722222222222215</v>
      </c>
      <c r="H91" s="99">
        <v>3.0</v>
      </c>
      <c r="I91" s="101">
        <v>0.6743055555555548</v>
      </c>
      <c r="J91" s="101">
        <v>0.677777777777777</v>
      </c>
      <c r="K91" s="99">
        <v>2.0</v>
      </c>
      <c r="L91" s="101">
        <v>0.6791666666666659</v>
      </c>
      <c r="M91" s="101">
        <v>0.6881944444444437</v>
      </c>
      <c r="N91" s="101">
        <v>0.6895833333333325</v>
      </c>
      <c r="O91" s="99">
        <v>0.0</v>
      </c>
      <c r="P91" s="101">
        <v>0.6895833333333325</v>
      </c>
      <c r="Q91" s="101">
        <v>0.6972222222222214</v>
      </c>
      <c r="R91" s="99">
        <v>3.0</v>
      </c>
      <c r="S91" s="101">
        <v>0.6993055555555547</v>
      </c>
      <c r="T91" s="101">
        <v>0.7034722222222214</v>
      </c>
      <c r="U91" s="99">
        <v>2.0</v>
      </c>
      <c r="V91" s="101">
        <v>0.7048611111111103</v>
      </c>
      <c r="W91" s="101">
        <v>0.7166666666666658</v>
      </c>
      <c r="X91" s="99">
        <v>0.0</v>
      </c>
      <c r="Y91" s="101">
        <v>0.7166666666666658</v>
      </c>
      <c r="Z91" s="101">
        <v>0.7291666666666657</v>
      </c>
      <c r="AA91" s="99">
        <v>3.0</v>
      </c>
      <c r="AB91" s="101">
        <v>0.7312499999999991</v>
      </c>
      <c r="AC91" s="103">
        <f t="shared" si="22"/>
        <v>107</v>
      </c>
      <c r="AD91" s="103">
        <f t="shared" si="25"/>
        <v>120</v>
      </c>
      <c r="AE91" s="103">
        <f t="shared" si="23"/>
        <v>13</v>
      </c>
      <c r="AF91" s="104">
        <f t="shared" si="24"/>
        <v>0.1214953271</v>
      </c>
      <c r="AG91" s="142">
        <f t="shared" si="26"/>
        <v>60</v>
      </c>
      <c r="AL91" s="109"/>
    </row>
    <row r="92" ht="13.5" customHeight="1">
      <c r="A92" s="127"/>
      <c r="B92" s="141" t="s">
        <v>78</v>
      </c>
      <c r="C92" s="101">
        <v>0.6895833333333325</v>
      </c>
      <c r="D92" s="101">
        <v>0.7020833333333325</v>
      </c>
      <c r="E92" s="99">
        <v>0.0</v>
      </c>
      <c r="F92" s="101">
        <v>0.7020833333333325</v>
      </c>
      <c r="G92" s="101">
        <v>0.713888888888888</v>
      </c>
      <c r="H92" s="99">
        <v>3.0</v>
      </c>
      <c r="I92" s="101">
        <v>0.7159722222222213</v>
      </c>
      <c r="J92" s="101">
        <v>0.7194444444444436</v>
      </c>
      <c r="K92" s="99">
        <v>2.0</v>
      </c>
      <c r="L92" s="101">
        <v>0.7208333333333324</v>
      </c>
      <c r="M92" s="101">
        <v>0.7298611111111102</v>
      </c>
      <c r="N92" s="101">
        <v>0.7312499999999991</v>
      </c>
      <c r="O92" s="99">
        <v>0.0</v>
      </c>
      <c r="P92" s="101">
        <v>0.7312499999999991</v>
      </c>
      <c r="Q92" s="101">
        <v>0.7388888888888879</v>
      </c>
      <c r="R92" s="99">
        <v>3.0</v>
      </c>
      <c r="S92" s="101">
        <v>0.7409722222222213</v>
      </c>
      <c r="T92" s="101">
        <v>0.7451388888888879</v>
      </c>
      <c r="U92" s="99">
        <v>2.0</v>
      </c>
      <c r="V92" s="101">
        <v>0.7465277777777768</v>
      </c>
      <c r="W92" s="101">
        <v>0.7583333333333323</v>
      </c>
      <c r="X92" s="99">
        <v>0.0</v>
      </c>
      <c r="Y92" s="101">
        <v>0.7583333333333323</v>
      </c>
      <c r="Z92" s="101">
        <v>0.7708333333333323</v>
      </c>
      <c r="AA92" s="99">
        <v>3.0</v>
      </c>
      <c r="AB92" s="101">
        <v>0.7729166666666656</v>
      </c>
      <c r="AC92" s="103">
        <f t="shared" si="22"/>
        <v>107</v>
      </c>
      <c r="AD92" s="103">
        <f t="shared" si="25"/>
        <v>120</v>
      </c>
      <c r="AE92" s="103">
        <f t="shared" si="23"/>
        <v>13</v>
      </c>
      <c r="AF92" s="104">
        <f t="shared" si="24"/>
        <v>0.1214953271</v>
      </c>
      <c r="AG92" s="142">
        <f t="shared" si="26"/>
        <v>60</v>
      </c>
      <c r="AL92" s="109"/>
    </row>
    <row r="93" ht="13.5" customHeight="1">
      <c r="A93" s="127"/>
      <c r="B93" s="141" t="s">
        <v>79</v>
      </c>
      <c r="C93" s="101">
        <v>0.7312499999999991</v>
      </c>
      <c r="D93" s="101">
        <v>0.743749999999999</v>
      </c>
      <c r="E93" s="99">
        <v>0.0</v>
      </c>
      <c r="F93" s="101">
        <v>0.743749999999999</v>
      </c>
      <c r="G93" s="101">
        <v>0.7548611111111101</v>
      </c>
      <c r="H93" s="99">
        <v>3.0</v>
      </c>
      <c r="I93" s="101">
        <v>0.7569444444444434</v>
      </c>
      <c r="J93" s="101">
        <v>0.7604166666666656</v>
      </c>
      <c r="K93" s="99">
        <v>3.0</v>
      </c>
      <c r="L93" s="101">
        <v>0.762499999999999</v>
      </c>
      <c r="M93" s="101">
        <v>0.7701388888888878</v>
      </c>
      <c r="N93" s="101">
        <v>0.7715277777777767</v>
      </c>
      <c r="O93" s="99">
        <v>2.0</v>
      </c>
      <c r="P93" s="101">
        <v>0.7729166666666656</v>
      </c>
      <c r="Q93" s="101">
        <v>0.7791666666666656</v>
      </c>
      <c r="R93" s="99">
        <v>3.0</v>
      </c>
      <c r="S93" s="101">
        <v>0.7812499999999989</v>
      </c>
      <c r="T93" s="101">
        <v>0.7854166666666655</v>
      </c>
      <c r="U93" s="99">
        <v>2.0</v>
      </c>
      <c r="V93" s="101">
        <v>0.7868055555555544</v>
      </c>
      <c r="W93" s="101">
        <v>0.7986111111111099</v>
      </c>
      <c r="X93" s="99">
        <v>0.0</v>
      </c>
      <c r="Y93" s="101">
        <v>0.7986111111111099</v>
      </c>
      <c r="Z93" s="101">
        <v>0.8111111111111099</v>
      </c>
      <c r="AA93" s="99">
        <v>5.0</v>
      </c>
      <c r="AB93" s="101">
        <v>0.8145833333333321</v>
      </c>
      <c r="AC93" s="103">
        <f t="shared" si="22"/>
        <v>102</v>
      </c>
      <c r="AD93" s="103">
        <f t="shared" si="25"/>
        <v>120</v>
      </c>
      <c r="AE93" s="103">
        <f t="shared" si="23"/>
        <v>18</v>
      </c>
      <c r="AF93" s="104">
        <f t="shared" si="24"/>
        <v>0.1764705882</v>
      </c>
      <c r="AG93" s="142">
        <f t="shared" si="26"/>
        <v>60</v>
      </c>
      <c r="AL93" s="109"/>
    </row>
    <row r="94" ht="13.5" customHeight="1">
      <c r="A94" s="127"/>
      <c r="B94" s="141" t="s">
        <v>79</v>
      </c>
      <c r="C94" s="101">
        <v>0.7729166666666656</v>
      </c>
      <c r="D94" s="101">
        <v>0.7854166666666655</v>
      </c>
      <c r="E94" s="99">
        <v>0.0</v>
      </c>
      <c r="F94" s="101">
        <v>0.7854166666666655</v>
      </c>
      <c r="G94" s="101">
        <v>0.7965277777777766</v>
      </c>
      <c r="H94" s="99">
        <v>3.0</v>
      </c>
      <c r="I94" s="101">
        <v>0.7986111111111099</v>
      </c>
      <c r="J94" s="101">
        <v>0.8020833333333321</v>
      </c>
      <c r="K94" s="99">
        <v>3.0</v>
      </c>
      <c r="L94" s="101">
        <v>0.8041666666666655</v>
      </c>
      <c r="M94" s="101">
        <v>0.8118055555555543</v>
      </c>
      <c r="N94" s="101">
        <v>0.8131944444444432</v>
      </c>
      <c r="O94" s="99">
        <v>2.0</v>
      </c>
      <c r="P94" s="101">
        <v>0.8145833333333321</v>
      </c>
      <c r="Q94" s="101">
        <v>0.8208333333333321</v>
      </c>
      <c r="R94" s="99">
        <v>4.0</v>
      </c>
      <c r="S94" s="101">
        <v>0.8236111111111099</v>
      </c>
      <c r="T94" s="101">
        <v>0.8277777777777765</v>
      </c>
      <c r="U94" s="99">
        <v>2.0</v>
      </c>
      <c r="V94" s="101">
        <v>0.8291666666666654</v>
      </c>
      <c r="W94" s="101">
        <v>0.8409722222222209</v>
      </c>
      <c r="X94" s="99">
        <v>0.0</v>
      </c>
      <c r="Y94" s="101">
        <v>0.8409722222222209</v>
      </c>
      <c r="Z94" s="101">
        <v>0.8534722222222209</v>
      </c>
      <c r="AA94" s="99">
        <v>5.0</v>
      </c>
      <c r="AB94" s="101">
        <v>0.8569444444444431</v>
      </c>
      <c r="AC94" s="103">
        <f t="shared" si="22"/>
        <v>102</v>
      </c>
      <c r="AD94" s="103">
        <f t="shared" si="25"/>
        <v>121</v>
      </c>
      <c r="AE94" s="103">
        <f t="shared" si="23"/>
        <v>19</v>
      </c>
      <c r="AF94" s="104">
        <f t="shared" si="24"/>
        <v>0.1862745098</v>
      </c>
      <c r="AG94" s="142">
        <f t="shared" si="26"/>
        <v>61</v>
      </c>
      <c r="AL94" s="109"/>
    </row>
    <row r="95" ht="13.5" customHeight="1">
      <c r="A95" s="127"/>
      <c r="B95" s="141" t="s">
        <v>79</v>
      </c>
      <c r="C95" s="101">
        <v>0.8145833333333321</v>
      </c>
      <c r="D95" s="101">
        <v>0.8270833333333321</v>
      </c>
      <c r="E95" s="99">
        <v>0.0</v>
      </c>
      <c r="F95" s="101">
        <v>0.8270833333333321</v>
      </c>
      <c r="G95" s="101">
        <v>0.8381944444444431</v>
      </c>
      <c r="H95" s="99">
        <v>3.0</v>
      </c>
      <c r="I95" s="101">
        <v>0.8402777777777765</v>
      </c>
      <c r="J95" s="101">
        <v>0.8437499999999987</v>
      </c>
      <c r="K95" s="99">
        <v>3.0</v>
      </c>
      <c r="L95" s="101">
        <v>0.845833333333332</v>
      </c>
      <c r="M95" s="101">
        <v>0.8534722222222209</v>
      </c>
      <c r="N95" s="101">
        <v>0.8548611111111097</v>
      </c>
      <c r="O95" s="99">
        <v>2.0</v>
      </c>
      <c r="P95" s="101">
        <v>0.8562499999999986</v>
      </c>
      <c r="Q95" s="101">
        <v>0.8624999999999986</v>
      </c>
      <c r="R95" s="99">
        <v>4.0</v>
      </c>
      <c r="S95" s="101">
        <v>0.8652777777777764</v>
      </c>
      <c r="T95" s="101">
        <v>0.869444444444443</v>
      </c>
      <c r="U95" s="99">
        <v>2.0</v>
      </c>
      <c r="V95" s="101">
        <v>0.8708333333333319</v>
      </c>
      <c r="W95" s="101">
        <v>0.8826388888888874</v>
      </c>
      <c r="X95" s="99">
        <v>0.0</v>
      </c>
      <c r="Y95" s="101">
        <v>0.8826388888888874</v>
      </c>
      <c r="Z95" s="101">
        <v>0.8951388888888874</v>
      </c>
      <c r="AA95" s="99">
        <v>5.0</v>
      </c>
      <c r="AB95" s="101">
        <v>0.8986111111111096</v>
      </c>
      <c r="AC95" s="103">
        <f t="shared" si="22"/>
        <v>102</v>
      </c>
      <c r="AD95" s="103">
        <f t="shared" si="25"/>
        <v>121</v>
      </c>
      <c r="AE95" s="103">
        <f t="shared" si="23"/>
        <v>19</v>
      </c>
      <c r="AF95" s="104">
        <f t="shared" si="24"/>
        <v>0.1862745098</v>
      </c>
      <c r="AG95" s="142">
        <f t="shared" si="26"/>
        <v>60</v>
      </c>
      <c r="AL95" s="109"/>
    </row>
    <row r="96" ht="13.5" customHeight="1">
      <c r="A96" s="127"/>
      <c r="B96" s="141" t="s">
        <v>98</v>
      </c>
      <c r="C96" s="101">
        <v>0.8569444444444431</v>
      </c>
      <c r="D96" s="101">
        <v>0.8687499999999986</v>
      </c>
      <c r="E96" s="99">
        <v>0.0</v>
      </c>
      <c r="F96" s="101">
        <v>0.8687499999999986</v>
      </c>
      <c r="G96" s="101">
        <v>0.8798611111111097</v>
      </c>
      <c r="H96" s="99">
        <v>3.0</v>
      </c>
      <c r="I96" s="101">
        <v>0.881944444444443</v>
      </c>
      <c r="J96" s="101">
        <v>0.8854166666666652</v>
      </c>
      <c r="K96" s="99">
        <v>3.0</v>
      </c>
      <c r="L96" s="101">
        <v>0.8874999999999985</v>
      </c>
      <c r="M96" s="101">
        <v>0.8951388888888874</v>
      </c>
      <c r="N96" s="101">
        <v>0.8965277777777763</v>
      </c>
      <c r="O96" s="99">
        <v>2.0</v>
      </c>
      <c r="P96" s="101">
        <v>0.8979166666666651</v>
      </c>
      <c r="Q96" s="101">
        <v>0.9041666666666651</v>
      </c>
      <c r="R96" s="99"/>
      <c r="S96" s="155"/>
      <c r="T96" s="101"/>
      <c r="U96" s="99"/>
      <c r="V96" s="101"/>
      <c r="W96" s="101"/>
      <c r="X96" s="99"/>
      <c r="Y96" s="101"/>
      <c r="Z96" s="101"/>
      <c r="AA96" s="99"/>
      <c r="AB96" s="101"/>
      <c r="AC96" s="103">
        <f t="shared" si="22"/>
        <v>60</v>
      </c>
      <c r="AD96" s="103">
        <f>(Q96-C96)*1440</f>
        <v>68</v>
      </c>
      <c r="AE96" s="103">
        <f t="shared" si="23"/>
        <v>8</v>
      </c>
      <c r="AF96" s="104">
        <f t="shared" si="24"/>
        <v>0.1333333333</v>
      </c>
      <c r="AG96" s="142">
        <f>(Q96-Q95)*1440</f>
        <v>60</v>
      </c>
      <c r="AL96" s="109"/>
    </row>
    <row r="97" ht="13.5" customHeight="1">
      <c r="A97" s="127"/>
      <c r="B97" s="141" t="s">
        <v>98</v>
      </c>
      <c r="C97" s="101">
        <v>0.8986111111111096</v>
      </c>
      <c r="D97" s="101">
        <v>0.9104166666666651</v>
      </c>
      <c r="E97" s="99">
        <v>0.0</v>
      </c>
      <c r="F97" s="101">
        <v>0.9104166666666651</v>
      </c>
      <c r="G97" s="101">
        <v>0.9215277777777762</v>
      </c>
      <c r="H97" s="99">
        <v>3.0</v>
      </c>
      <c r="I97" s="101">
        <v>0.9236111111111095</v>
      </c>
      <c r="J97" s="101">
        <v>0.9270833333333317</v>
      </c>
      <c r="K97" s="99"/>
      <c r="L97" s="155"/>
      <c r="M97" s="101"/>
      <c r="N97" s="101"/>
      <c r="O97" s="99"/>
      <c r="P97" s="101"/>
      <c r="Q97" s="101"/>
      <c r="R97" s="99"/>
      <c r="S97" s="101"/>
      <c r="T97" s="101"/>
      <c r="U97" s="99"/>
      <c r="V97" s="101"/>
      <c r="W97" s="101"/>
      <c r="X97" s="99"/>
      <c r="Y97" s="101"/>
      <c r="Z97" s="101"/>
      <c r="AA97" s="99"/>
      <c r="AB97" s="101"/>
      <c r="AC97" s="103">
        <f t="shared" si="22"/>
        <v>38</v>
      </c>
      <c r="AD97" s="103">
        <f>(J97-C97)*1440</f>
        <v>41</v>
      </c>
      <c r="AE97" s="103">
        <f t="shared" si="23"/>
        <v>3</v>
      </c>
      <c r="AF97" s="104">
        <f t="shared" si="24"/>
        <v>0.07894736842</v>
      </c>
      <c r="AG97" s="142">
        <f>(J97-J96)*1440</f>
        <v>60</v>
      </c>
      <c r="AL97" s="109"/>
    </row>
    <row r="98" ht="13.5" customHeight="1">
      <c r="A98" s="156"/>
      <c r="S98" s="110"/>
      <c r="V98" s="157"/>
      <c r="W98" s="164"/>
      <c r="X98" s="164"/>
      <c r="Y98" s="164"/>
      <c r="Z98" s="110" t="s">
        <v>81</v>
      </c>
      <c r="AC98" s="159">
        <f>SUM(AC79:AC97)/60</f>
        <v>21.9</v>
      </c>
      <c r="AD98" s="164">
        <f>SUM(AD84:AD97)/60</f>
        <v>24.88333333</v>
      </c>
      <c r="AE98" s="159">
        <f>SUM(AE79:AE97)/60</f>
        <v>2.983333333</v>
      </c>
      <c r="AF98" s="104">
        <f t="shared" si="24"/>
        <v>0.1362252664</v>
      </c>
      <c r="AL98" s="109"/>
    </row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9">
    <mergeCell ref="U81:U83"/>
    <mergeCell ref="X81:X83"/>
    <mergeCell ref="U42:U44"/>
    <mergeCell ref="X42:X44"/>
    <mergeCell ref="S77:U77"/>
    <mergeCell ref="Z77:AB77"/>
    <mergeCell ref="O80:AB80"/>
    <mergeCell ref="O81:O83"/>
    <mergeCell ref="R81:R83"/>
    <mergeCell ref="AA81:AA83"/>
    <mergeCell ref="R2:R4"/>
    <mergeCell ref="U2:U4"/>
    <mergeCell ref="S98:U98"/>
    <mergeCell ref="X2:X4"/>
    <mergeCell ref="AA2:AA4"/>
    <mergeCell ref="Z98:AB98"/>
    <mergeCell ref="O2:O4"/>
    <mergeCell ref="S39:U39"/>
    <mergeCell ref="A1:A39"/>
    <mergeCell ref="A40:A77"/>
    <mergeCell ref="A78:A98"/>
    <mergeCell ref="C1:M1"/>
    <mergeCell ref="O1:AB1"/>
    <mergeCell ref="E2:E4"/>
    <mergeCell ref="H2:H4"/>
    <mergeCell ref="K2:K4"/>
    <mergeCell ref="Z39:AB39"/>
    <mergeCell ref="E42:E44"/>
    <mergeCell ref="C80:M80"/>
    <mergeCell ref="E81:E83"/>
    <mergeCell ref="H81:H83"/>
    <mergeCell ref="K81:K83"/>
    <mergeCell ref="C41:M41"/>
    <mergeCell ref="O41:AB41"/>
    <mergeCell ref="H42:H44"/>
    <mergeCell ref="K42:K44"/>
    <mergeCell ref="O42:O44"/>
    <mergeCell ref="R42:R44"/>
    <mergeCell ref="AA42:AA44"/>
  </mergeCells>
  <conditionalFormatting sqref="A1:C1 A5:A38">
    <cfRule type="containsText" dxfId="3" priority="1" operator="containsText" text="Night">
      <formula>NOT(ISERROR(SEARCH(("Night"),(A1))))</formula>
    </cfRule>
  </conditionalFormatting>
  <conditionalFormatting sqref="A1:C1 A5:A38">
    <cfRule type="containsText" dxfId="4" priority="2" operator="containsText" text="Evening">
      <formula>NOT(ISERROR(SEARCH(("Evening"),(A1))))</formula>
    </cfRule>
  </conditionalFormatting>
  <conditionalFormatting sqref="A1:C1 A5:A38">
    <cfRule type="containsText" dxfId="5" priority="3" operator="containsText" text="Peak">
      <formula>NOT(ISERROR(SEARCH(("Peak"),(A1))))</formula>
    </cfRule>
  </conditionalFormatting>
  <conditionalFormatting sqref="A1:A39 B1:B4 C1:C39 O1:O39 D2:F39 G2:H38 I2:I3 J2:N6 P2:Q38 R2:R39 S2:S38 T2:T4 U2:U39 V2:W3 X2:Y4 Z2:Z3 AA2:AA38 I5:I6 B39 N39 B41:B44 C41:C77 O41:O77 D42:F77 G42:H76 I42:I43 J42:M76 N42:N77 P42:Q76 R42:R77 S42:S76 T42:T44 U42:U77 V42:W43 X42:Y46 Z42:Z43 AA42:AA76 A45:A77 V45:W46 Z45:Z46 AB45:AB46 B77 A79:A81 C80:C83 O80:O96 B81:B83 D81:H83 I81:I82 J81:N83 P81:U83 V81:W82 X81:Y83 Z81:Z82 AA81:AA95">
    <cfRule type="containsText" dxfId="2" priority="4" operator="containsText" text="Morning">
      <formula>NOT(ISERROR(SEARCH(("Morning"),(A1))))</formula>
    </cfRule>
  </conditionalFormatting>
  <conditionalFormatting sqref="A98:F98 O98 R98 U98">
    <cfRule type="containsText" dxfId="4" priority="5" operator="containsText" text="Evening">
      <formula>NOT(ISERROR(SEARCH(("Evening"),(A98))))</formula>
    </cfRule>
  </conditionalFormatting>
  <conditionalFormatting sqref="A98:F98 O98 R98 U98">
    <cfRule type="containsText" dxfId="5" priority="6" operator="containsText" text="Peak">
      <formula>NOT(ISERROR(SEARCH(("Peak"),(A98))))</formula>
    </cfRule>
  </conditionalFormatting>
  <conditionalFormatting sqref="A98:F98 O98 R98 U98">
    <cfRule type="containsText" dxfId="1" priority="7" operator="containsText" text="Afternoon">
      <formula>NOT(ISERROR(SEARCH(("Afternoon"),(A98))))</formula>
    </cfRule>
  </conditionalFormatting>
  <conditionalFormatting sqref="A98:F98 O98 R98 U98">
    <cfRule type="containsText" dxfId="2" priority="8" operator="containsText" text="Morning">
      <formula>NOT(ISERROR(SEARCH(("Morning"),(A98))))</formula>
    </cfRule>
  </conditionalFormatting>
  <conditionalFormatting sqref="A81:H83 I81:I82 J81:U83 V81:W82 X81:Y83 Z81:AA82">
    <cfRule type="containsText" dxfId="4" priority="9" operator="containsText" text="Evening">
      <formula>NOT(ISERROR(SEARCH(("Evening"),(A81))))</formula>
    </cfRule>
  </conditionalFormatting>
  <conditionalFormatting sqref="A81:H83 I81:I82 J81:U83 V81:W82 X81:Y83 Z81:AA82">
    <cfRule type="containsText" dxfId="5" priority="10" operator="containsText" text="Peak">
      <formula>NOT(ISERROR(SEARCH(("Peak"),(A81))))</formula>
    </cfRule>
  </conditionalFormatting>
  <conditionalFormatting sqref="A40:A77 B40:N40 A84:C97 D84:M84">
    <cfRule type="containsText" dxfId="5" priority="11" operator="containsText" text="Peak">
      <formula>NOT(ISERROR(SEARCH(("Peak"),(A40))))</formula>
    </cfRule>
  </conditionalFormatting>
  <conditionalFormatting sqref="A40:A44 B40:U40 A78:AA78 A82:A97 C84:C97 D84:M84">
    <cfRule type="containsText" dxfId="2" priority="12" operator="containsText" text="Morning">
      <formula>NOT(ISERROR(SEARCH(("Morning"),(A40))))</formula>
    </cfRule>
  </conditionalFormatting>
  <conditionalFormatting sqref="A2:A4 B2:F39 G2:G38 H2:H4 I2:I3 J2:U4 V2:W3 X2:Y4 Z2:AA3 A39 R39 B45:G76 A80">
    <cfRule type="containsText" dxfId="4" priority="13" operator="containsText" text="Evening">
      <formula>NOT(ISERROR(SEARCH(("Evening"),(A2))))</formula>
    </cfRule>
  </conditionalFormatting>
  <conditionalFormatting sqref="A2:A4 B2:F39 G2:G38 H2:H4 I2:I3 J2:U4 V2:W3 X2:Y4 Z2:AA3 A39 R39 B45:G76 A80">
    <cfRule type="containsText" dxfId="5" priority="14" operator="containsText" text="Peak">
      <formula>NOT(ISERROR(SEARCH(("Peak"),(A2))))</formula>
    </cfRule>
  </conditionalFormatting>
  <conditionalFormatting sqref="A40:A77 B40:AA40 A80:A97 B84:C97 D84:M84">
    <cfRule type="containsText" dxfId="3" priority="15" operator="containsText" text="Night">
      <formula>NOT(ISERROR(SEARCH(("Night"),(A40))))</formula>
    </cfRule>
  </conditionalFormatting>
  <conditionalFormatting sqref="A78:A79 B78:AA78 A98:F98 O98 R98 U98">
    <cfRule type="containsText" dxfId="3" priority="16" operator="containsText" text="Night">
      <formula>NOT(ISERROR(SEARCH(("Night"),(A78))))</formula>
    </cfRule>
  </conditionalFormatting>
  <conditionalFormatting sqref="A78:A79 B78:AA78 A84:C97 D84:M84">
    <cfRule type="containsText" dxfId="4" priority="17" operator="containsText" text="Evening">
      <formula>NOT(ISERROR(SEARCH(("Evening"),(A78))))</formula>
    </cfRule>
  </conditionalFormatting>
  <conditionalFormatting sqref="A78:A79 B78:AA78">
    <cfRule type="containsText" dxfId="5" priority="18" operator="containsText" text="Peak">
      <formula>NOT(ISERROR(SEARCH(("Peak"),(A78))))</formula>
    </cfRule>
  </conditionalFormatting>
  <conditionalFormatting sqref="B5:B38 B45:B76">
    <cfRule type="containsText" dxfId="1" priority="19" operator="containsText" text="Midday">
      <formula>NOT(ISERROR(SEARCH(("Midday"),(B5))))</formula>
    </cfRule>
  </conditionalFormatting>
  <conditionalFormatting sqref="B5:B38 B45:B76">
    <cfRule type="containsText" dxfId="2" priority="20" operator="containsText" text="Morning">
      <formula>NOT(ISERROR(SEARCH(("Morning"),(B5))))</formula>
    </cfRule>
  </conditionalFormatting>
  <conditionalFormatting sqref="B5:B38 B45:B76">
    <cfRule type="containsText" dxfId="0" priority="21" operator="containsText" text="Early Morning">
      <formula>NOT(ISERROR(SEARCH(("Early Morning"),(B5))))</formula>
    </cfRule>
  </conditionalFormatting>
  <conditionalFormatting sqref="B45:B76">
    <cfRule type="containsText" dxfId="1" priority="22" operator="containsText" text="Midday">
      <formula>NOT(ISERROR(SEARCH(("Midday"),(B45))))</formula>
    </cfRule>
  </conditionalFormatting>
  <conditionalFormatting sqref="B45:B76">
    <cfRule type="containsText" dxfId="2" priority="23" operator="containsText" text="Morning">
      <formula>NOT(ISERROR(SEARCH(("Morning"),(B45))))</formula>
    </cfRule>
  </conditionalFormatting>
  <conditionalFormatting sqref="B84:B97">
    <cfRule type="containsText" dxfId="0" priority="24" operator="containsText" text="Early Morning">
      <formula>NOT(ISERROR(SEARCH(("Early Morning"),(B84))))</formula>
    </cfRule>
  </conditionalFormatting>
  <conditionalFormatting sqref="B84:B97">
    <cfRule type="containsText" dxfId="1" priority="25" operator="containsText" text="Midday">
      <formula>NOT(ISERROR(SEARCH(("Midday"),(B84))))</formula>
    </cfRule>
  </conditionalFormatting>
  <conditionalFormatting sqref="B84:B97">
    <cfRule type="containsText" dxfId="2" priority="26" operator="containsText" text="Morning">
      <formula>NOT(ISERROR(SEARCH(("Morning"),(B84))))</formula>
    </cfRule>
  </conditionalFormatting>
  <conditionalFormatting sqref="A40:A77 B40:N40 B85:B89 C88:C97">
    <cfRule type="containsText" dxfId="4" priority="27" operator="containsText" text="Evening">
      <formula>NOT(ISERROR(SEARCH(("Evening"),(A40))))</formula>
    </cfRule>
  </conditionalFormatting>
  <conditionalFormatting sqref="B41:C41">
    <cfRule type="containsText" dxfId="3" priority="28" operator="containsText" text="Night">
      <formula>NOT(ISERROR(SEARCH(("Night"),(B41))))</formula>
    </cfRule>
  </conditionalFormatting>
  <conditionalFormatting sqref="B41:C41">
    <cfRule type="containsText" dxfId="4" priority="29" operator="containsText" text="Evening">
      <formula>NOT(ISERROR(SEARCH(("Evening"),(B41))))</formula>
    </cfRule>
  </conditionalFormatting>
  <conditionalFormatting sqref="B41:C41">
    <cfRule type="containsText" dxfId="5" priority="30" operator="containsText" text="Peak">
      <formula>NOT(ISERROR(SEARCH(("Peak"),(B41))))</formula>
    </cfRule>
  </conditionalFormatting>
  <conditionalFormatting sqref="A2:A4 B2:F39 G2:G38 H2:H4 I2:I3 J2:U4 V2:W3 X2:Y4 Z2:AA3 A39 R39 B45:G76">
    <cfRule type="containsText" dxfId="3" priority="31" operator="containsText" text="Night">
      <formula>NOT(ISERROR(SEARCH(("Night"),(A2))))</formula>
    </cfRule>
  </conditionalFormatting>
  <conditionalFormatting sqref="B42:H44 I42:I43 J42:U44 V42:W43 X42:Y44 Z42:AA43 B77:F77">
    <cfRule type="containsText" dxfId="3" priority="32" operator="containsText" text="Night">
      <formula>NOT(ISERROR(SEARCH(("Night"),(B42))))</formula>
    </cfRule>
  </conditionalFormatting>
  <conditionalFormatting sqref="B42:H44 I42:I43 J42:U44 V42:W43 X42:Y44 Z42:AA43 B77:F77">
    <cfRule type="containsText" dxfId="4" priority="33" operator="containsText" text="Evening">
      <formula>NOT(ISERROR(SEARCH(("Evening"),(B42))))</formula>
    </cfRule>
  </conditionalFormatting>
  <conditionalFormatting sqref="B42:H44 I42:I43 J42:U44 V42:W43 X42:Y44 Z42:AA43 B77:F77">
    <cfRule type="containsText" dxfId="5" priority="34" operator="containsText" text="Peak">
      <formula>NOT(ISERROR(SEARCH(("Peak"),(B42))))</formula>
    </cfRule>
  </conditionalFormatting>
  <conditionalFormatting sqref="B81:H83 I81:I82 J81:U83 V81:W82 X81:Y83 Z81:AA82">
    <cfRule type="containsText" dxfId="3" priority="35" operator="containsText" text="Night">
      <formula>NOT(ISERROR(SEARCH(("Night"),(B81))))</formula>
    </cfRule>
  </conditionalFormatting>
  <conditionalFormatting sqref="C80">
    <cfRule type="containsText" dxfId="3" priority="36" operator="containsText" text="Night">
      <formula>NOT(ISERROR(SEARCH(("Night"),(C80))))</formula>
    </cfRule>
  </conditionalFormatting>
  <conditionalFormatting sqref="C80">
    <cfRule type="containsText" dxfId="4" priority="37" operator="containsText" text="Evening">
      <formula>NOT(ISERROR(SEARCH(("Evening"),(C80))))</formula>
    </cfRule>
  </conditionalFormatting>
  <conditionalFormatting sqref="C80">
    <cfRule type="containsText" dxfId="5" priority="38" operator="containsText" text="Peak">
      <formula>NOT(ISERROR(SEARCH(("Peak"),(C80))))</formula>
    </cfRule>
  </conditionalFormatting>
  <conditionalFormatting sqref="C48">
    <cfRule type="containsText" dxfId="3" priority="39" operator="containsText" text="Night">
      <formula>NOT(ISERROR(SEARCH(("Night"),(C48))))</formula>
    </cfRule>
  </conditionalFormatting>
  <conditionalFormatting sqref="C48">
    <cfRule type="containsText" dxfId="4" priority="40" operator="containsText" text="Evening">
      <formula>NOT(ISERROR(SEARCH(("Evening"),(C48))))</formula>
    </cfRule>
  </conditionalFormatting>
  <conditionalFormatting sqref="C48">
    <cfRule type="containsText" dxfId="5" priority="41" operator="containsText" text="Peak">
      <formula>NOT(ISERROR(SEARCH(("Peak"),(C48))))</formula>
    </cfRule>
  </conditionalFormatting>
  <conditionalFormatting sqref="C48">
    <cfRule type="containsText" dxfId="1" priority="42" operator="containsText" text="Afternoon">
      <formula>NOT(ISERROR(SEARCH(("Afternoon"),(C48))))</formula>
    </cfRule>
  </conditionalFormatting>
  <conditionalFormatting sqref="D85:E97">
    <cfRule type="containsText" dxfId="3" priority="43" operator="containsText" text="Night">
      <formula>NOT(ISERROR(SEARCH(("Night"),(D85))))</formula>
    </cfRule>
  </conditionalFormatting>
  <conditionalFormatting sqref="D85:E97">
    <cfRule type="containsText" dxfId="4" priority="44" operator="containsText" text="Evening">
      <formula>NOT(ISERROR(SEARCH(("Evening"),(D85))))</formula>
    </cfRule>
  </conditionalFormatting>
  <conditionalFormatting sqref="D85:E97">
    <cfRule type="containsText" dxfId="5" priority="45" operator="containsText" text="Peak">
      <formula>NOT(ISERROR(SEARCH(("Peak"),(D85))))</formula>
    </cfRule>
  </conditionalFormatting>
  <conditionalFormatting sqref="D85:E97">
    <cfRule type="containsText" dxfId="1" priority="46" operator="containsText" text="Afternoon">
      <formula>NOT(ISERROR(SEARCH(("Afternoon"),(D85))))</formula>
    </cfRule>
  </conditionalFormatting>
  <conditionalFormatting sqref="D85:E97">
    <cfRule type="containsText" dxfId="2" priority="47" operator="containsText" text="Morning">
      <formula>NOT(ISERROR(SEARCH(("Morning"),(D85))))</formula>
    </cfRule>
  </conditionalFormatting>
  <conditionalFormatting sqref="F85:H97">
    <cfRule type="containsText" dxfId="3" priority="48" operator="containsText" text="Night">
      <formula>NOT(ISERROR(SEARCH(("Night"),(F85))))</formula>
    </cfRule>
  </conditionalFormatting>
  <conditionalFormatting sqref="F85:H97">
    <cfRule type="containsText" dxfId="4" priority="49" operator="containsText" text="Evening">
      <formula>NOT(ISERROR(SEARCH(("Evening"),(F85))))</formula>
    </cfRule>
  </conditionalFormatting>
  <conditionalFormatting sqref="F85:H97">
    <cfRule type="containsText" dxfId="5" priority="50" operator="containsText" text="Peak">
      <formula>NOT(ISERROR(SEARCH(("Peak"),(F85))))</formula>
    </cfRule>
  </conditionalFormatting>
  <conditionalFormatting sqref="F85:H97">
    <cfRule type="containsText" dxfId="1" priority="51" operator="containsText" text="Afternoon">
      <formula>NOT(ISERROR(SEARCH(("Afternoon"),(F85))))</formula>
    </cfRule>
  </conditionalFormatting>
  <conditionalFormatting sqref="F85:H97">
    <cfRule type="containsText" dxfId="2" priority="52" operator="containsText" text="Morning">
      <formula>NOT(ISERROR(SEARCH(("Morning"),(F85))))</formula>
    </cfRule>
  </conditionalFormatting>
  <conditionalFormatting sqref="H5:H38">
    <cfRule type="containsText" dxfId="3" priority="53" operator="containsText" text="Night">
      <formula>NOT(ISERROR(SEARCH(("Night"),(H5))))</formula>
    </cfRule>
  </conditionalFormatting>
  <conditionalFormatting sqref="H5:H38">
    <cfRule type="containsText" dxfId="4" priority="54" operator="containsText" text="Evening">
      <formula>NOT(ISERROR(SEARCH(("Evening"),(H5))))</formula>
    </cfRule>
  </conditionalFormatting>
  <conditionalFormatting sqref="H5:H38">
    <cfRule type="containsText" dxfId="5" priority="55" operator="containsText" text="Peak">
      <formula>NOT(ISERROR(SEARCH(("Peak"),(H5))))</formula>
    </cfRule>
  </conditionalFormatting>
  <conditionalFormatting sqref="H7:H38">
    <cfRule type="containsText" dxfId="3" priority="56" operator="containsText" text="Night">
      <formula>NOT(ISERROR(SEARCH(("Night"),(H7))))</formula>
    </cfRule>
  </conditionalFormatting>
  <conditionalFormatting sqref="H7:H38">
    <cfRule type="containsText" dxfId="4" priority="57" operator="containsText" text="Evening">
      <formula>NOT(ISERROR(SEARCH(("Evening"),(H7))))</formula>
    </cfRule>
  </conditionalFormatting>
  <conditionalFormatting sqref="H7:H38">
    <cfRule type="containsText" dxfId="5" priority="58" operator="containsText" text="Peak">
      <formula>NOT(ISERROR(SEARCH(("Peak"),(H7))))</formula>
    </cfRule>
  </conditionalFormatting>
  <conditionalFormatting sqref="H45:H76">
    <cfRule type="containsText" dxfId="3" priority="59" operator="containsText" text="Night">
      <formula>NOT(ISERROR(SEARCH(("Night"),(H45))))</formula>
    </cfRule>
  </conditionalFormatting>
  <conditionalFormatting sqref="H45:H76">
    <cfRule type="containsText" dxfId="4" priority="60" operator="containsText" text="Evening">
      <formula>NOT(ISERROR(SEARCH(("Evening"),(H45))))</formula>
    </cfRule>
  </conditionalFormatting>
  <conditionalFormatting sqref="H45:H76">
    <cfRule type="containsText" dxfId="5" priority="61" operator="containsText" text="Peak">
      <formula>NOT(ISERROR(SEARCH(("Peak"),(H45))))</formula>
    </cfRule>
  </conditionalFormatting>
  <conditionalFormatting sqref="H47:H76">
    <cfRule type="containsText" dxfId="3" priority="62" operator="containsText" text="Night">
      <formula>NOT(ISERROR(SEARCH(("Night"),(H47))))</formula>
    </cfRule>
  </conditionalFormatting>
  <conditionalFormatting sqref="H47:H76">
    <cfRule type="containsText" dxfId="4" priority="63" operator="containsText" text="Evening">
      <formula>NOT(ISERROR(SEARCH(("Evening"),(H47))))</formula>
    </cfRule>
  </conditionalFormatting>
  <conditionalFormatting sqref="H47:H76">
    <cfRule type="containsText" dxfId="5" priority="64" operator="containsText" text="Peak">
      <formula>NOT(ISERROR(SEARCH(("Peak"),(H47))))</formula>
    </cfRule>
  </conditionalFormatting>
  <conditionalFormatting sqref="H85:H97">
    <cfRule type="containsText" dxfId="3" priority="65" operator="containsText" text="Night">
      <formula>NOT(ISERROR(SEARCH(("Night"),(H85))))</formula>
    </cfRule>
  </conditionalFormatting>
  <conditionalFormatting sqref="H85:H97">
    <cfRule type="containsText" dxfId="4" priority="66" operator="containsText" text="Evening">
      <formula>NOT(ISERROR(SEARCH(("Evening"),(H85))))</formula>
    </cfRule>
  </conditionalFormatting>
  <conditionalFormatting sqref="H85:H97">
    <cfRule type="containsText" dxfId="5" priority="67" operator="containsText" text="Peak">
      <formula>NOT(ISERROR(SEARCH(("Peak"),(H85))))</formula>
    </cfRule>
  </conditionalFormatting>
  <conditionalFormatting sqref="H85:H97">
    <cfRule type="containsText" dxfId="3" priority="68" operator="containsText" text="Night">
      <formula>NOT(ISERROR(SEARCH(("Night"),(H85))))</formula>
    </cfRule>
  </conditionalFormatting>
  <conditionalFormatting sqref="H85:H97">
    <cfRule type="containsText" dxfId="4" priority="69" operator="containsText" text="Evening">
      <formula>NOT(ISERROR(SEARCH(("Evening"),(H85))))</formula>
    </cfRule>
  </conditionalFormatting>
  <conditionalFormatting sqref="H85:H97">
    <cfRule type="containsText" dxfId="5" priority="70" operator="containsText" text="Peak">
      <formula>NOT(ISERROR(SEARCH(("Peak"),(H85))))</formula>
    </cfRule>
  </conditionalFormatting>
  <conditionalFormatting sqref="H5:S6">
    <cfRule type="containsText" dxfId="3" priority="71" operator="containsText" text="Night">
      <formula>NOT(ISERROR(SEARCH(("Night"),(H5))))</formula>
    </cfRule>
  </conditionalFormatting>
  <conditionalFormatting sqref="H5:S6">
    <cfRule type="containsText" dxfId="4" priority="72" operator="containsText" text="Evening">
      <formula>NOT(ISERROR(SEARCH(("Evening"),(H5))))</formula>
    </cfRule>
  </conditionalFormatting>
  <conditionalFormatting sqref="H5:S6">
    <cfRule type="containsText" dxfId="5" priority="73" operator="containsText" text="Peak">
      <formula>NOT(ISERROR(SEARCH(("Peak"),(H5))))</formula>
    </cfRule>
  </conditionalFormatting>
  <conditionalFormatting sqref="H7:S38">
    <cfRule type="containsText" dxfId="3" priority="74" operator="containsText" text="Night">
      <formula>NOT(ISERROR(SEARCH(("Night"),(H7))))</formula>
    </cfRule>
  </conditionalFormatting>
  <conditionalFormatting sqref="H7:S38">
    <cfRule type="containsText" dxfId="4" priority="75" operator="containsText" text="Evening">
      <formula>NOT(ISERROR(SEARCH(("Evening"),(H7))))</formula>
    </cfRule>
  </conditionalFormatting>
  <conditionalFormatting sqref="H7:S38">
    <cfRule type="containsText" dxfId="5" priority="76" operator="containsText" text="Peak">
      <formula>NOT(ISERROR(SEARCH(("Peak"),(H7))))</formula>
    </cfRule>
  </conditionalFormatting>
  <conditionalFormatting sqref="H45:U46">
    <cfRule type="containsText" dxfId="3" priority="77" operator="containsText" text="Night">
      <formula>NOT(ISERROR(SEARCH(("Night"),(H45))))</formula>
    </cfRule>
  </conditionalFormatting>
  <conditionalFormatting sqref="H45:U46">
    <cfRule type="containsText" dxfId="4" priority="78" operator="containsText" text="Evening">
      <formula>NOT(ISERROR(SEARCH(("Evening"),(H45))))</formula>
    </cfRule>
  </conditionalFormatting>
  <conditionalFormatting sqref="H45:U46">
    <cfRule type="containsText" dxfId="5" priority="79" operator="containsText" text="Peak">
      <formula>NOT(ISERROR(SEARCH(("Peak"),(H45))))</formula>
    </cfRule>
  </conditionalFormatting>
  <conditionalFormatting sqref="H47:AB76">
    <cfRule type="containsText" dxfId="3" priority="80" operator="containsText" text="Night">
      <formula>NOT(ISERROR(SEARCH(("Night"),(H47))))</formula>
    </cfRule>
  </conditionalFormatting>
  <conditionalFormatting sqref="H47:AB76">
    <cfRule type="containsText" dxfId="4" priority="81" operator="containsText" text="Evening">
      <formula>NOT(ISERROR(SEARCH(("Evening"),(H47))))</formula>
    </cfRule>
  </conditionalFormatting>
  <conditionalFormatting sqref="H47:AB76">
    <cfRule type="containsText" dxfId="5" priority="82" operator="containsText" text="Peak">
      <formula>NOT(ISERROR(SEARCH(("Peak"),(H47))))</formula>
    </cfRule>
  </conditionalFormatting>
  <conditionalFormatting sqref="I45:I46">
    <cfRule type="containsText" dxfId="2" priority="83" operator="containsText" text="Morning">
      <formula>NOT(ISERROR(SEARCH(("Morning"),(I45))))</formula>
    </cfRule>
  </conditionalFormatting>
  <conditionalFormatting sqref="I47:I76">
    <cfRule type="containsText" dxfId="2" priority="84" operator="containsText" text="Morning">
      <formula>NOT(ISERROR(SEARCH(("Morning"),(I47))))</formula>
    </cfRule>
  </conditionalFormatting>
  <conditionalFormatting sqref="I85:I97">
    <cfRule type="containsText" dxfId="2" priority="85" operator="containsText" text="Morning">
      <formula>NOT(ISERROR(SEARCH(("Morning"),(I85))))</formula>
    </cfRule>
  </conditionalFormatting>
  <conditionalFormatting sqref="I7:N38">
    <cfRule type="containsText" dxfId="2" priority="86" operator="containsText" text="Morning">
      <formula>NOT(ISERROR(SEARCH(("Morning"),(I7))))</formula>
    </cfRule>
  </conditionalFormatting>
  <conditionalFormatting sqref="I85:N96">
    <cfRule type="containsText" dxfId="3" priority="87" operator="containsText" text="Night">
      <formula>NOT(ISERROR(SEARCH(("Night"),(I85))))</formula>
    </cfRule>
  </conditionalFormatting>
  <conditionalFormatting sqref="I85:N96">
    <cfRule type="containsText" dxfId="4" priority="88" operator="containsText" text="Evening">
      <formula>NOT(ISERROR(SEARCH(("Evening"),(I85))))</formula>
    </cfRule>
  </conditionalFormatting>
  <conditionalFormatting sqref="I85:N96">
    <cfRule type="containsText" dxfId="5" priority="89" operator="containsText" text="Peak">
      <formula>NOT(ISERROR(SEARCH(("Peak"),(I85))))</formula>
    </cfRule>
  </conditionalFormatting>
  <conditionalFormatting sqref="I85:N96">
    <cfRule type="containsText" dxfId="1" priority="90" operator="containsText" text="Afternoon">
      <formula>NOT(ISERROR(SEARCH(("Afternoon"),(I85))))</formula>
    </cfRule>
  </conditionalFormatting>
  <conditionalFormatting sqref="I7:S38 A78:A79 B78:Z78">
    <cfRule type="containsText" dxfId="1" priority="91" operator="containsText" text="Afternoon">
      <formula>NOT(ISERROR(SEARCH(("Afternoon"),(I7))))</formula>
    </cfRule>
  </conditionalFormatting>
  <conditionalFormatting sqref="I45:T46">
    <cfRule type="containsText" dxfId="1" priority="92" operator="containsText" text="Afternoon">
      <formula>NOT(ISERROR(SEARCH(("Afternoon"),(I45))))</formula>
    </cfRule>
  </conditionalFormatting>
  <conditionalFormatting sqref="I47:T76">
    <cfRule type="containsText" dxfId="1" priority="93" operator="containsText" text="Afternoon">
      <formula>NOT(ISERROR(SEARCH(("Afternoon"),(I47))))</formula>
    </cfRule>
  </conditionalFormatting>
  <conditionalFormatting sqref="J85:N96">
    <cfRule type="containsText" dxfId="2" priority="94" operator="containsText" text="Morning">
      <formula>NOT(ISERROR(SEARCH(("Morning"),(J85))))</formula>
    </cfRule>
  </conditionalFormatting>
  <conditionalFormatting sqref="N84">
    <cfRule type="containsText" dxfId="3" priority="95" operator="containsText" text="Night">
      <formula>NOT(ISERROR(SEARCH(("Night"),(N84))))</formula>
    </cfRule>
  </conditionalFormatting>
  <conditionalFormatting sqref="N84">
    <cfRule type="containsText" dxfId="4" priority="96" operator="containsText" text="Evening">
      <formula>NOT(ISERROR(SEARCH(("Evening"),(N84))))</formula>
    </cfRule>
  </conditionalFormatting>
  <conditionalFormatting sqref="N84">
    <cfRule type="containsText" dxfId="5" priority="97" operator="containsText" text="Peak">
      <formula>NOT(ISERROR(SEARCH(("Peak"),(N84))))</formula>
    </cfRule>
  </conditionalFormatting>
  <conditionalFormatting sqref="N84">
    <cfRule type="containsText" dxfId="1" priority="98" operator="containsText" text="Afternoon">
      <formula>NOT(ISERROR(SEARCH(("Afternoon"),(N84))))</formula>
    </cfRule>
  </conditionalFormatting>
  <conditionalFormatting sqref="N84">
    <cfRule type="containsText" dxfId="2" priority="99" operator="containsText" text="Morning">
      <formula>NOT(ISERROR(SEARCH(("Morning"),(N84))))</formula>
    </cfRule>
  </conditionalFormatting>
  <conditionalFormatting sqref="N39:O39">
    <cfRule type="containsText" dxfId="3" priority="100" operator="containsText" text="Night">
      <formula>NOT(ISERROR(SEARCH(("Night"),(N39))))</formula>
    </cfRule>
  </conditionalFormatting>
  <conditionalFormatting sqref="N39:O39">
    <cfRule type="containsText" dxfId="4" priority="101" operator="containsText" text="Evening">
      <formula>NOT(ISERROR(SEARCH(("Evening"),(N39))))</formula>
    </cfRule>
  </conditionalFormatting>
  <conditionalFormatting sqref="N39:O39">
    <cfRule type="containsText" dxfId="5" priority="102" operator="containsText" text="Peak">
      <formula>NOT(ISERROR(SEARCH(("Peak"),(N39))))</formula>
    </cfRule>
  </conditionalFormatting>
  <conditionalFormatting sqref="N77:O77">
    <cfRule type="containsText" dxfId="3" priority="103" operator="containsText" text="Night">
      <formula>NOT(ISERROR(SEARCH(("Night"),(N77))))</formula>
    </cfRule>
  </conditionalFormatting>
  <conditionalFormatting sqref="N77:O77">
    <cfRule type="containsText" dxfId="4" priority="104" operator="containsText" text="Evening">
      <formula>NOT(ISERROR(SEARCH(("Evening"),(N77))))</formula>
    </cfRule>
  </conditionalFormatting>
  <conditionalFormatting sqref="N77:O77">
    <cfRule type="containsText" dxfId="5" priority="105" operator="containsText" text="Peak">
      <formula>NOT(ISERROR(SEARCH(("Peak"),(N77))))</formula>
    </cfRule>
  </conditionalFormatting>
  <conditionalFormatting sqref="O1">
    <cfRule type="containsText" dxfId="3" priority="106" operator="containsText" text="Night">
      <formula>NOT(ISERROR(SEARCH(("Night"),(O1))))</formula>
    </cfRule>
  </conditionalFormatting>
  <conditionalFormatting sqref="O1">
    <cfRule type="containsText" dxfId="4" priority="107" operator="containsText" text="Evening">
      <formula>NOT(ISERROR(SEARCH(("Evening"),(O1))))</formula>
    </cfRule>
  </conditionalFormatting>
  <conditionalFormatting sqref="O1">
    <cfRule type="containsText" dxfId="5" priority="108" operator="containsText" text="Peak">
      <formula>NOT(ISERROR(SEARCH(("Peak"),(O1))))</formula>
    </cfRule>
  </conditionalFormatting>
  <conditionalFormatting sqref="A1:A39 B1:B4 C1:C39 O1:O28 D2:F39 G2:H38 I2:I3 J2:N6 P2:Q6 R2:R28 S2:S6 T2:T4 U2:U39 V2:W3 X2:Y4 Z2:Z3 AA2:AA38 I5:I6 R30:R39 B39 N39:O39 B41:B44 C41:C77 O41:O44 D42:F77 G42:H76 I42:I43 J42:N44 P42:Q44 R42:R66 S42:T44 U42:U77 V42:W43 X42:Y46 Z42:Z43 AA42:AA76 A45:A77 V45:W46 Z45:Z46 AB45:AB46 O47:O66 R68:R77 B77 N77:O77 A80:A81 C80:C83 O80:O96 B81:B83 D81:H83 I81:I82 J81:N83 P81:U83 V81:W82 X81:Y83 Z81:Z82 AA81:AA95">
    <cfRule type="containsText" dxfId="1" priority="109" operator="containsText" text="Afternoon">
      <formula>NOT(ISERROR(SEARCH(("Afternoon"),(A1))))</formula>
    </cfRule>
  </conditionalFormatting>
  <conditionalFormatting sqref="O41">
    <cfRule type="containsText" dxfId="3" priority="110" operator="containsText" text="Night">
      <formula>NOT(ISERROR(SEARCH(("Night"),(O41))))</formula>
    </cfRule>
  </conditionalFormatting>
  <conditionalFormatting sqref="O41">
    <cfRule type="containsText" dxfId="4" priority="111" operator="containsText" text="Evening">
      <formula>NOT(ISERROR(SEARCH(("Evening"),(O41))))</formula>
    </cfRule>
  </conditionalFormatting>
  <conditionalFormatting sqref="O41">
    <cfRule type="containsText" dxfId="5" priority="112" operator="containsText" text="Peak">
      <formula>NOT(ISERROR(SEARCH(("Peak"),(O41))))</formula>
    </cfRule>
  </conditionalFormatting>
  <conditionalFormatting sqref="O80">
    <cfRule type="containsText" dxfId="3" priority="113" operator="containsText" text="Night">
      <formula>NOT(ISERROR(SEARCH(("Night"),(O80))))</formula>
    </cfRule>
  </conditionalFormatting>
  <conditionalFormatting sqref="O80">
    <cfRule type="containsText" dxfId="4" priority="114" operator="containsText" text="Evening">
      <formula>NOT(ISERROR(SEARCH(("Evening"),(O80))))</formula>
    </cfRule>
  </conditionalFormatting>
  <conditionalFormatting sqref="O80">
    <cfRule type="containsText" dxfId="5" priority="115" operator="containsText" text="Peak">
      <formula>NOT(ISERROR(SEARCH(("Peak"),(O80))))</formula>
    </cfRule>
  </conditionalFormatting>
  <conditionalFormatting sqref="O84:O96">
    <cfRule type="containsText" dxfId="3" priority="116" operator="containsText" text="Night">
      <formula>NOT(ISERROR(SEARCH(("Night"),(O84))))</formula>
    </cfRule>
  </conditionalFormatting>
  <conditionalFormatting sqref="O84:O96">
    <cfRule type="containsText" dxfId="4" priority="117" operator="containsText" text="Evening">
      <formula>NOT(ISERROR(SEARCH(("Evening"),(O84))))</formula>
    </cfRule>
  </conditionalFormatting>
  <conditionalFormatting sqref="O84:O96">
    <cfRule type="containsText" dxfId="5" priority="118" operator="containsText" text="Peak">
      <formula>NOT(ISERROR(SEARCH(("Peak"),(O84))))</formula>
    </cfRule>
  </conditionalFormatting>
  <conditionalFormatting sqref="O84:O96">
    <cfRule type="containsText" dxfId="1" priority="119" operator="containsText" text="Afternoon">
      <formula>NOT(ISERROR(SEARCH(("Afternoon"),(O84))))</formula>
    </cfRule>
  </conditionalFormatting>
  <conditionalFormatting sqref="O93:O96">
    <cfRule type="containsText" dxfId="3" priority="120" operator="containsText" text="Night">
      <formula>NOT(ISERROR(SEARCH(("Night"),(O93))))</formula>
    </cfRule>
  </conditionalFormatting>
  <conditionalFormatting sqref="O93:O96">
    <cfRule type="containsText" dxfId="4" priority="121" operator="containsText" text="Evening">
      <formula>NOT(ISERROR(SEARCH(("Evening"),(O93))))</formula>
    </cfRule>
  </conditionalFormatting>
  <conditionalFormatting sqref="O93:O96">
    <cfRule type="containsText" dxfId="5" priority="122" operator="containsText" text="Peak">
      <formula>NOT(ISERROR(SEARCH(("Peak"),(O93))))</formula>
    </cfRule>
  </conditionalFormatting>
  <conditionalFormatting sqref="O93:O96">
    <cfRule type="containsText" dxfId="1" priority="123" operator="containsText" text="Afternoon">
      <formula>NOT(ISERROR(SEARCH(("Afternoon"),(O93))))</formula>
    </cfRule>
  </conditionalFormatting>
  <conditionalFormatting sqref="O40:AA40">
    <cfRule type="containsText" dxfId="4" priority="124" operator="containsText" text="Evening">
      <formula>NOT(ISERROR(SEARCH(("Evening"),(O40))))</formula>
    </cfRule>
  </conditionalFormatting>
  <conditionalFormatting sqref="O40:AA40">
    <cfRule type="containsText" dxfId="5" priority="125" operator="containsText" text="Peak">
      <formula>NOT(ISERROR(SEARCH(("Peak"),(O40))))</formula>
    </cfRule>
  </conditionalFormatting>
  <conditionalFormatting sqref="P84:T95">
    <cfRule type="containsText" dxfId="3" priority="126" operator="containsText" text="Night">
      <formula>NOT(ISERROR(SEARCH(("Night"),(P84))))</formula>
    </cfRule>
  </conditionalFormatting>
  <conditionalFormatting sqref="P84:T95">
    <cfRule type="containsText" dxfId="4" priority="127" operator="containsText" text="Evening">
      <formula>NOT(ISERROR(SEARCH(("Evening"),(P84))))</formula>
    </cfRule>
  </conditionalFormatting>
  <conditionalFormatting sqref="P84:T95">
    <cfRule type="containsText" dxfId="5" priority="128" operator="containsText" text="Peak">
      <formula>NOT(ISERROR(SEARCH(("Peak"),(P84))))</formula>
    </cfRule>
  </conditionalFormatting>
  <conditionalFormatting sqref="P84:U95">
    <cfRule type="containsText" dxfId="1" priority="129" operator="containsText" text="Afternoon">
      <formula>NOT(ISERROR(SEARCH(("Afternoon"),(P84))))</formula>
    </cfRule>
  </conditionalFormatting>
  <conditionalFormatting sqref="P84:U95">
    <cfRule type="containsText" dxfId="2" priority="130" operator="containsText" text="Morning">
      <formula>NOT(ISERROR(SEARCH(("Morning"),(P84))))</formula>
    </cfRule>
  </conditionalFormatting>
  <conditionalFormatting sqref="AB84:AB97 P96:AA97 I97:O97">
    <cfRule type="containsText" dxfId="1" priority="131" operator="containsText" text="Afternoon">
      <formula>NOT(ISERROR(SEARCH(("Afternoon"),(AB84))))</formula>
    </cfRule>
  </conditionalFormatting>
  <conditionalFormatting sqref="P96:AB97 I97:O97">
    <cfRule type="containsText" dxfId="3" priority="132" operator="containsText" text="Night">
      <formula>NOT(ISERROR(SEARCH(("Night"),(P96))))</formula>
    </cfRule>
  </conditionalFormatting>
  <conditionalFormatting sqref="P96:AB97 I97:O97">
    <cfRule type="containsText" dxfId="4" priority="133" operator="containsText" text="Evening">
      <formula>NOT(ISERROR(SEARCH(("Evening"),(P96))))</formula>
    </cfRule>
  </conditionalFormatting>
  <conditionalFormatting sqref="P96:AB97 I97:O97">
    <cfRule type="containsText" dxfId="5" priority="134" operator="containsText" text="Peak">
      <formula>NOT(ISERROR(SEARCH(("Peak"),(P96))))</formula>
    </cfRule>
  </conditionalFormatting>
  <conditionalFormatting sqref="R70:R76">
    <cfRule type="containsText" dxfId="1" priority="135" operator="containsText" text="Afternoon">
      <formula>NOT(ISERROR(SEARCH(("Afternoon"),(R70))))</formula>
    </cfRule>
  </conditionalFormatting>
  <conditionalFormatting sqref="R70:R77">
    <cfRule type="containsText" dxfId="3" priority="136" operator="containsText" text="Night">
      <formula>NOT(ISERROR(SEARCH(("Night"),(R70))))</formula>
    </cfRule>
  </conditionalFormatting>
  <conditionalFormatting sqref="R70:R77">
    <cfRule type="containsText" dxfId="4" priority="137" operator="containsText" text="Evening">
      <formula>NOT(ISERROR(SEARCH(("Evening"),(R70))))</formula>
    </cfRule>
  </conditionalFormatting>
  <conditionalFormatting sqref="R70:R77">
    <cfRule type="containsText" dxfId="5" priority="138" operator="containsText" text="Peak">
      <formula>NOT(ISERROR(SEARCH(("Peak"),(R70))))</formula>
    </cfRule>
  </conditionalFormatting>
  <conditionalFormatting sqref="R93:R95">
    <cfRule type="containsText" dxfId="3" priority="139" operator="containsText" text="Night">
      <formula>NOT(ISERROR(SEARCH(("Night"),(R93))))</formula>
    </cfRule>
  </conditionalFormatting>
  <conditionalFormatting sqref="R93:R95">
    <cfRule type="containsText" dxfId="4" priority="140" operator="containsText" text="Evening">
      <formula>NOT(ISERROR(SEARCH(("Evening"),(R93))))</formula>
    </cfRule>
  </conditionalFormatting>
  <conditionalFormatting sqref="R93:R95">
    <cfRule type="containsText" dxfId="5" priority="141" operator="containsText" text="Peak">
      <formula>NOT(ISERROR(SEARCH(("Peak"),(R93))))</formula>
    </cfRule>
  </conditionalFormatting>
  <conditionalFormatting sqref="R93:R95">
    <cfRule type="containsText" dxfId="1" priority="142" operator="containsText" text="Afternoon">
      <formula>NOT(ISERROR(SEARCH(("Afternoon"),(R93))))</formula>
    </cfRule>
  </conditionalFormatting>
  <conditionalFormatting sqref="T5:T38">
    <cfRule type="containsText" dxfId="1" priority="143" operator="containsText" text="Afternoon">
      <formula>NOT(ISERROR(SEARCH(("Afternoon"),(T5))))</formula>
    </cfRule>
  </conditionalFormatting>
  <conditionalFormatting sqref="T5:T38">
    <cfRule type="containsText" dxfId="2" priority="144" operator="containsText" text="Morning">
      <formula>NOT(ISERROR(SEARCH(("Morning"),(T5))))</formula>
    </cfRule>
  </conditionalFormatting>
  <conditionalFormatting sqref="T45:T46">
    <cfRule type="containsText" dxfId="2" priority="145" operator="containsText" text="Morning">
      <formula>NOT(ISERROR(SEARCH(("Morning"),(T45))))</formula>
    </cfRule>
  </conditionalFormatting>
  <conditionalFormatting sqref="T47:T76">
    <cfRule type="containsText" dxfId="2" priority="146" operator="containsText" text="Morning">
      <formula>NOT(ISERROR(SEARCH(("Morning"),(T47))))</formula>
    </cfRule>
  </conditionalFormatting>
  <conditionalFormatting sqref="T5:AB38">
    <cfRule type="containsText" dxfId="3" priority="147" operator="containsText" text="Night">
      <formula>NOT(ISERROR(SEARCH(("Night"),(T5))))</formula>
    </cfRule>
  </conditionalFormatting>
  <conditionalFormatting sqref="T5:AB38">
    <cfRule type="containsText" dxfId="4" priority="148" operator="containsText" text="Evening">
      <formula>NOT(ISERROR(SEARCH(("Evening"),(T5))))</formula>
    </cfRule>
  </conditionalFormatting>
  <conditionalFormatting sqref="T5:AB38">
    <cfRule type="containsText" dxfId="5" priority="149" operator="containsText" text="Peak">
      <formula>NOT(ISERROR(SEARCH(("Peak"),(T5))))</formula>
    </cfRule>
  </conditionalFormatting>
  <conditionalFormatting sqref="U5:U36">
    <cfRule type="containsText" dxfId="1" priority="150" operator="containsText" text="Afternoon">
      <formula>NOT(ISERROR(SEARCH(("Afternoon"),(U5))))</formula>
    </cfRule>
  </conditionalFormatting>
  <conditionalFormatting sqref="U5:U36">
    <cfRule type="containsText" dxfId="2" priority="151" operator="containsText" text="Morning">
      <formula>NOT(ISERROR(SEARCH(("Morning"),(U5))))</formula>
    </cfRule>
  </conditionalFormatting>
  <conditionalFormatting sqref="U5:U39">
    <cfRule type="containsText" dxfId="3" priority="152" operator="containsText" text="Night">
      <formula>NOT(ISERROR(SEARCH(("Night"),(U5))))</formula>
    </cfRule>
  </conditionalFormatting>
  <conditionalFormatting sqref="U5:U39">
    <cfRule type="containsText" dxfId="4" priority="153" operator="containsText" text="Evening">
      <formula>NOT(ISERROR(SEARCH(("Evening"),(U5))))</formula>
    </cfRule>
  </conditionalFormatting>
  <conditionalFormatting sqref="U5:U39">
    <cfRule type="containsText" dxfId="5" priority="154" operator="containsText" text="Peak">
      <formula>NOT(ISERROR(SEARCH(("Peak"),(U5))))</formula>
    </cfRule>
  </conditionalFormatting>
  <conditionalFormatting sqref="U45:U74">
    <cfRule type="containsText" dxfId="1" priority="155" operator="containsText" text="Afternoon">
      <formula>NOT(ISERROR(SEARCH(("Afternoon"),(U45))))</formula>
    </cfRule>
  </conditionalFormatting>
  <conditionalFormatting sqref="U45:U74">
    <cfRule type="containsText" dxfId="2" priority="156" operator="containsText" text="Morning">
      <formula>NOT(ISERROR(SEARCH(("Morning"),(U45))))</formula>
    </cfRule>
  </conditionalFormatting>
  <conditionalFormatting sqref="U47:U77">
    <cfRule type="containsText" dxfId="3" priority="157" operator="containsText" text="Night">
      <formula>NOT(ISERROR(SEARCH(("Night"),(U47))))</formula>
    </cfRule>
  </conditionalFormatting>
  <conditionalFormatting sqref="U47:U77">
    <cfRule type="containsText" dxfId="4" priority="158" operator="containsText" text="Evening">
      <formula>NOT(ISERROR(SEARCH(("Evening"),(U47))))</formula>
    </cfRule>
  </conditionalFormatting>
  <conditionalFormatting sqref="U47:U77">
    <cfRule type="containsText" dxfId="5" priority="159" operator="containsText" text="Peak">
      <formula>NOT(ISERROR(SEARCH(("Peak"),(U47))))</formula>
    </cfRule>
  </conditionalFormatting>
  <conditionalFormatting sqref="U84:U95">
    <cfRule type="containsText" dxfId="3" priority="160" operator="containsText" text="Night">
      <formula>NOT(ISERROR(SEARCH(("Night"),(U84))))</formula>
    </cfRule>
  </conditionalFormatting>
  <conditionalFormatting sqref="U84:U95">
    <cfRule type="containsText" dxfId="4" priority="161" operator="containsText" text="Evening">
      <formula>NOT(ISERROR(SEARCH(("Evening"),(U84))))</formula>
    </cfRule>
  </conditionalFormatting>
  <conditionalFormatting sqref="U84:U95">
    <cfRule type="containsText" dxfId="5" priority="162" operator="containsText" text="Peak">
      <formula>NOT(ISERROR(SEARCH(("Peak"),(U84))))</formula>
    </cfRule>
  </conditionalFormatting>
  <conditionalFormatting sqref="U84:W95">
    <cfRule type="containsText" dxfId="3" priority="163" operator="containsText" text="Night">
      <formula>NOT(ISERROR(SEARCH(("Night"),(U84))))</formula>
    </cfRule>
  </conditionalFormatting>
  <conditionalFormatting sqref="U84:W95">
    <cfRule type="containsText" dxfId="4" priority="164" operator="containsText" text="Evening">
      <formula>NOT(ISERROR(SEARCH(("Evening"),(U84))))</formula>
    </cfRule>
  </conditionalFormatting>
  <conditionalFormatting sqref="U84:W95">
    <cfRule type="containsText" dxfId="5" priority="165" operator="containsText" text="Peak">
      <formula>NOT(ISERROR(SEARCH(("Peak"),(U84))))</formula>
    </cfRule>
  </conditionalFormatting>
  <conditionalFormatting sqref="U84:W95">
    <cfRule type="containsText" dxfId="1" priority="166" operator="containsText" text="Afternoon">
      <formula>NOT(ISERROR(SEARCH(("Afternoon"),(U84))))</formula>
    </cfRule>
  </conditionalFormatting>
  <conditionalFormatting sqref="U84:W95">
    <cfRule type="containsText" dxfId="2" priority="167" operator="containsText" text="Morning">
      <formula>NOT(ISERROR(SEARCH(("Morning"),(U84))))</formula>
    </cfRule>
  </conditionalFormatting>
  <conditionalFormatting sqref="U45:AB46">
    <cfRule type="containsText" dxfId="3" priority="168" operator="containsText" text="Night">
      <formula>NOT(ISERROR(SEARCH(("Night"),(U45))))</formula>
    </cfRule>
  </conditionalFormatting>
  <conditionalFormatting sqref="U45:AB46">
    <cfRule type="containsText" dxfId="4" priority="169" operator="containsText" text="Evening">
      <formula>NOT(ISERROR(SEARCH(("Evening"),(U45))))</formula>
    </cfRule>
  </conditionalFormatting>
  <conditionalFormatting sqref="U45:AB46">
    <cfRule type="containsText" dxfId="5" priority="170" operator="containsText" text="Peak">
      <formula>NOT(ISERROR(SEARCH(("Peak"),(U45))))</formula>
    </cfRule>
  </conditionalFormatting>
  <conditionalFormatting sqref="V5:Z38">
    <cfRule type="containsText" dxfId="1" priority="171" operator="containsText" text="Afternoon">
      <formula>NOT(ISERROR(SEARCH(("Afternoon"),(V5))))</formula>
    </cfRule>
  </conditionalFormatting>
  <conditionalFormatting sqref="V5:Z38">
    <cfRule type="containsText" dxfId="2" priority="172" operator="containsText" text="Morning">
      <formula>NOT(ISERROR(SEARCH(("Morning"),(V5))))</formula>
    </cfRule>
  </conditionalFormatting>
  <conditionalFormatting sqref="V47:Z76">
    <cfRule type="containsText" dxfId="1" priority="173" operator="containsText" text="Afternoon">
      <formula>NOT(ISERROR(SEARCH(("Afternoon"),(V47))))</formula>
    </cfRule>
  </conditionalFormatting>
  <conditionalFormatting sqref="V47:Z76">
    <cfRule type="containsText" dxfId="2" priority="174" operator="containsText" text="Morning">
      <formula>NOT(ISERROR(SEARCH(("Morning"),(V47))))</formula>
    </cfRule>
  </conditionalFormatting>
  <conditionalFormatting sqref="V40:AA40">
    <cfRule type="containsText" dxfId="1" priority="175" operator="containsText" text="Afternoon">
      <formula>NOT(ISERROR(SEARCH(("Afternoon"),(V40))))</formula>
    </cfRule>
  </conditionalFormatting>
  <conditionalFormatting sqref="V40:AA40">
    <cfRule type="containsText" dxfId="2" priority="176" operator="containsText" text="Morning">
      <formula>NOT(ISERROR(SEARCH(("Morning"),(V40))))</formula>
    </cfRule>
  </conditionalFormatting>
  <conditionalFormatting sqref="X84:Z95">
    <cfRule type="containsText" dxfId="1" priority="177" operator="containsText" text="Afternoon">
      <formula>NOT(ISERROR(SEARCH(("Afternoon"),(X84))))</formula>
    </cfRule>
  </conditionalFormatting>
  <conditionalFormatting sqref="X84:Z95">
    <cfRule type="containsText" dxfId="2" priority="178" operator="containsText" text="Morning">
      <formula>NOT(ISERROR(SEARCH(("Morning"),(X84))))</formula>
    </cfRule>
  </conditionalFormatting>
  <conditionalFormatting sqref="X84:AB95">
    <cfRule type="containsText" dxfId="3" priority="179" operator="containsText" text="Night">
      <formula>NOT(ISERROR(SEARCH(("Night"),(X84))))</formula>
    </cfRule>
  </conditionalFormatting>
  <conditionalFormatting sqref="X84:AB95">
    <cfRule type="containsText" dxfId="4" priority="180" operator="containsText" text="Evening">
      <formula>NOT(ISERROR(SEARCH(("Evening"),(X84))))</formula>
    </cfRule>
  </conditionalFormatting>
  <conditionalFormatting sqref="X84:AB95">
    <cfRule type="containsText" dxfId="5" priority="181" operator="containsText" text="Peak">
      <formula>NOT(ISERROR(SEARCH(("Peak"),(X84))))</formula>
    </cfRule>
  </conditionalFormatting>
  <conditionalFormatting sqref="AA4:AA38">
    <cfRule type="containsText" dxfId="3" priority="182" operator="containsText" text="Night">
      <formula>NOT(ISERROR(SEARCH(("Night"),(AA4))))</formula>
    </cfRule>
  </conditionalFormatting>
  <conditionalFormatting sqref="AA4:AA38">
    <cfRule type="containsText" dxfId="4" priority="183" operator="containsText" text="Evening">
      <formula>NOT(ISERROR(SEARCH(("Evening"),(AA4))))</formula>
    </cfRule>
  </conditionalFormatting>
  <conditionalFormatting sqref="AA4:AA38">
    <cfRule type="containsText" dxfId="5" priority="184" operator="containsText" text="Peak">
      <formula>NOT(ISERROR(SEARCH(("Peak"),(AA4))))</formula>
    </cfRule>
  </conditionalFormatting>
  <conditionalFormatting sqref="AA44">
    <cfRule type="containsText" dxfId="3" priority="185" operator="containsText" text="Night">
      <formula>NOT(ISERROR(SEARCH(("Night"),(AA44))))</formula>
    </cfRule>
  </conditionalFormatting>
  <conditionalFormatting sqref="AA44">
    <cfRule type="containsText" dxfId="4" priority="186" operator="containsText" text="Evening">
      <formula>NOT(ISERROR(SEARCH(("Evening"),(AA44))))</formula>
    </cfRule>
  </conditionalFormatting>
  <conditionalFormatting sqref="AA44">
    <cfRule type="containsText" dxfId="5" priority="187" operator="containsText" text="Peak">
      <formula>NOT(ISERROR(SEARCH(("Peak"),(AA44))))</formula>
    </cfRule>
  </conditionalFormatting>
  <conditionalFormatting sqref="AA47:AA76">
    <cfRule type="containsText" dxfId="3" priority="188" operator="containsText" text="Night">
      <formula>NOT(ISERROR(SEARCH(("Night"),(AA47))))</formula>
    </cfRule>
  </conditionalFormatting>
  <conditionalFormatting sqref="AA47:AA76">
    <cfRule type="containsText" dxfId="4" priority="189" operator="containsText" text="Evening">
      <formula>NOT(ISERROR(SEARCH(("Evening"),(AA47))))</formula>
    </cfRule>
  </conditionalFormatting>
  <conditionalFormatting sqref="AA47:AA76">
    <cfRule type="containsText" dxfId="5" priority="190" operator="containsText" text="Peak">
      <formula>NOT(ISERROR(SEARCH(("Peak"),(AA47))))</formula>
    </cfRule>
  </conditionalFormatting>
  <conditionalFormatting sqref="AA70:AA76">
    <cfRule type="containsText" dxfId="3" priority="191" operator="containsText" text="Night">
      <formula>NOT(ISERROR(SEARCH(("Night"),(AA70))))</formula>
    </cfRule>
  </conditionalFormatting>
  <conditionalFormatting sqref="AA70:AA76">
    <cfRule type="containsText" dxfId="4" priority="192" operator="containsText" text="Evening">
      <formula>NOT(ISERROR(SEARCH(("Evening"),(AA70))))</formula>
    </cfRule>
  </conditionalFormatting>
  <conditionalFormatting sqref="AA70:AA76">
    <cfRule type="containsText" dxfId="5" priority="193" operator="containsText" text="Peak">
      <formula>NOT(ISERROR(SEARCH(("Peak"),(AA70))))</formula>
    </cfRule>
  </conditionalFormatting>
  <conditionalFormatting sqref="AA70:AA76">
    <cfRule type="containsText" dxfId="3" priority="194" operator="containsText" text="Night">
      <formula>NOT(ISERROR(SEARCH(("Night"),(AA70))))</formula>
    </cfRule>
  </conditionalFormatting>
  <conditionalFormatting sqref="AA70:AA76">
    <cfRule type="containsText" dxfId="4" priority="195" operator="containsText" text="Evening">
      <formula>NOT(ISERROR(SEARCH(("Evening"),(AA70))))</formula>
    </cfRule>
  </conditionalFormatting>
  <conditionalFormatting sqref="AA70:AA76">
    <cfRule type="containsText" dxfId="5" priority="196" operator="containsText" text="Peak">
      <formula>NOT(ISERROR(SEARCH(("Peak"),(AA70))))</formula>
    </cfRule>
  </conditionalFormatting>
  <conditionalFormatting sqref="A40:A44 B40:U40 AA78 A82:A97 C84:C97 D84:M84">
    <cfRule type="containsText" dxfId="1" priority="197" operator="containsText" text="Afternoon">
      <formula>NOT(ISERROR(SEARCH(("Afternoon"),(A40))))</formula>
    </cfRule>
  </conditionalFormatting>
  <conditionalFormatting sqref="AA83:AA95">
    <cfRule type="containsText" dxfId="3" priority="198" operator="containsText" text="Night">
      <formula>NOT(ISERROR(SEARCH(("Night"),(AA83))))</formula>
    </cfRule>
  </conditionalFormatting>
  <conditionalFormatting sqref="AA83:AA95">
    <cfRule type="containsText" dxfId="4" priority="199" operator="containsText" text="Evening">
      <formula>NOT(ISERROR(SEARCH(("Evening"),(AA83))))</formula>
    </cfRule>
  </conditionalFormatting>
  <conditionalFormatting sqref="AA83:AA95">
    <cfRule type="containsText" dxfId="5" priority="200" operator="containsText" text="Peak">
      <formula>NOT(ISERROR(SEARCH(("Peak"),(AA83))))</formula>
    </cfRule>
  </conditionalFormatting>
  <conditionalFormatting sqref="AB5:AB38">
    <cfRule type="containsText" dxfId="1" priority="201" operator="containsText" text="Afternoon">
      <formula>NOT(ISERROR(SEARCH(("Afternoon"),(AB5))))</formula>
    </cfRule>
  </conditionalFormatting>
  <conditionalFormatting sqref="AB5:AB38">
    <cfRule type="containsText" dxfId="2" priority="202" operator="containsText" text="Morning">
      <formula>NOT(ISERROR(SEARCH(("Morning"),(AB5))))</formula>
    </cfRule>
  </conditionalFormatting>
  <conditionalFormatting sqref="AB47:AB76">
    <cfRule type="containsText" dxfId="1" priority="203" operator="containsText" text="Afternoon">
      <formula>NOT(ISERROR(SEARCH(("Afternoon"),(AB47))))</formula>
    </cfRule>
  </conditionalFormatting>
  <conditionalFormatting sqref="AB47:AB76">
    <cfRule type="containsText" dxfId="2" priority="204" operator="containsText" text="Morning">
      <formula>NOT(ISERROR(SEARCH(("Morning"),(AB47))))</formula>
    </cfRule>
  </conditionalFormatting>
  <conditionalFormatting sqref="AB84:AB97 P96:AA97 J97:O97">
    <cfRule type="containsText" dxfId="2" priority="205" operator="containsText" text="Morning">
      <formula>NOT(ISERROR(SEARCH(("Morning"),(AB84))))</formula>
    </cfRule>
  </conditionalFormatting>
  <conditionalFormatting sqref="AF5:AF39 AF84:AF98">
    <cfRule type="cellIs" dxfId="11" priority="206" operator="lessThanOrEqual">
      <formula>0.1</formula>
    </cfRule>
  </conditionalFormatting>
  <conditionalFormatting sqref="AF5:AF39 AF84:AF98">
    <cfRule type="cellIs" dxfId="12" priority="207" operator="lessThan">
      <formula>0.145</formula>
    </cfRule>
  </conditionalFormatting>
  <conditionalFormatting sqref="AF5:AF39 AF84:AF98">
    <cfRule type="cellIs" dxfId="13" priority="208" operator="greaterThanOrEqual">
      <formula>0.145</formula>
    </cfRule>
  </conditionalFormatting>
  <conditionalFormatting sqref="AF45:AF77">
    <cfRule type="cellIs" dxfId="11" priority="209" operator="lessThanOrEqual">
      <formula>0.1</formula>
    </cfRule>
  </conditionalFormatting>
  <conditionalFormatting sqref="AF45:AF77">
    <cfRule type="cellIs" dxfId="12" priority="210" operator="lessThan">
      <formula>0.145</formula>
    </cfRule>
  </conditionalFormatting>
  <conditionalFormatting sqref="AF45:AF77">
    <cfRule type="cellIs" dxfId="13" priority="211" operator="greaterThanOrEqual">
      <formula>0.145</formula>
    </cfRule>
  </conditionalFormatting>
  <conditionalFormatting sqref="AG5:AG38">
    <cfRule type="containsText" dxfId="3" priority="212" operator="containsText" text="Night">
      <formula>NOT(ISERROR(SEARCH(("Night"),(AG5))))</formula>
    </cfRule>
  </conditionalFormatting>
  <conditionalFormatting sqref="AG5:AG38">
    <cfRule type="containsText" dxfId="4" priority="213" operator="containsText" text="Evening">
      <formula>NOT(ISERROR(SEARCH(("Evening"),(AG5))))</formula>
    </cfRule>
  </conditionalFormatting>
  <conditionalFormatting sqref="AG5:AG38">
    <cfRule type="containsText" dxfId="5" priority="214" operator="containsText" text="Peak">
      <formula>NOT(ISERROR(SEARCH(("Peak"),(AG5))))</formula>
    </cfRule>
  </conditionalFormatting>
  <conditionalFormatting sqref="AG5:AG38">
    <cfRule type="containsText" dxfId="1" priority="215" operator="containsText" text="Afternoon">
      <formula>NOT(ISERROR(SEARCH(("Afternoon"),(AG5))))</formula>
    </cfRule>
  </conditionalFormatting>
  <conditionalFormatting sqref="AG5:AG38">
    <cfRule type="containsText" dxfId="2" priority="216" operator="containsText" text="Morning">
      <formula>NOT(ISERROR(SEARCH(("Morning"),(AG5))))</formula>
    </cfRule>
  </conditionalFormatting>
  <conditionalFormatting sqref="AG5:AG38">
    <cfRule type="cellIs" dxfId="6" priority="217" operator="lessThan">
      <formula>20</formula>
    </cfRule>
  </conditionalFormatting>
  <conditionalFormatting sqref="AG5:AG38">
    <cfRule type="cellIs" dxfId="7" priority="218" operator="equal">
      <formula>30</formula>
    </cfRule>
  </conditionalFormatting>
  <conditionalFormatting sqref="AG5:AG38">
    <cfRule type="cellIs" dxfId="8" priority="219" operator="greaterThan">
      <formula>31</formula>
    </cfRule>
  </conditionalFormatting>
  <conditionalFormatting sqref="AG5:AG38">
    <cfRule type="cellIs" dxfId="9" priority="220" operator="between">
      <formula>19</formula>
      <formula>29</formula>
    </cfRule>
  </conditionalFormatting>
  <conditionalFormatting sqref="AG45:AG76">
    <cfRule type="containsText" dxfId="3" priority="221" operator="containsText" text="Night">
      <formula>NOT(ISERROR(SEARCH(("Night"),(AG45))))</formula>
    </cfRule>
  </conditionalFormatting>
  <conditionalFormatting sqref="AG45:AG76">
    <cfRule type="containsText" dxfId="4" priority="222" operator="containsText" text="Evening">
      <formula>NOT(ISERROR(SEARCH(("Evening"),(AG45))))</formula>
    </cfRule>
  </conditionalFormatting>
  <conditionalFormatting sqref="AG45:AG76">
    <cfRule type="containsText" dxfId="5" priority="223" operator="containsText" text="Peak">
      <formula>NOT(ISERROR(SEARCH(("Peak"),(AG45))))</formula>
    </cfRule>
  </conditionalFormatting>
  <conditionalFormatting sqref="AG45:AG76">
    <cfRule type="containsText" dxfId="1" priority="224" operator="containsText" text="Afternoon">
      <formula>NOT(ISERROR(SEARCH(("Afternoon"),(AG45))))</formula>
    </cfRule>
  </conditionalFormatting>
  <conditionalFormatting sqref="AG45:AG76">
    <cfRule type="containsText" dxfId="2" priority="225" operator="containsText" text="Morning">
      <formula>NOT(ISERROR(SEARCH(("Morning"),(AG45))))</formula>
    </cfRule>
  </conditionalFormatting>
  <conditionalFormatting sqref="AG45:AG76">
    <cfRule type="cellIs" dxfId="6" priority="226" operator="lessThan">
      <formula>20</formula>
    </cfRule>
  </conditionalFormatting>
  <conditionalFormatting sqref="AG45:AG76">
    <cfRule type="cellIs" dxfId="7" priority="227" operator="equal">
      <formula>30</formula>
    </cfRule>
  </conditionalFormatting>
  <conditionalFormatting sqref="AG45:AG76">
    <cfRule type="cellIs" dxfId="8" priority="228" operator="greaterThan">
      <formula>31</formula>
    </cfRule>
  </conditionalFormatting>
  <conditionalFormatting sqref="AG45:AG76">
    <cfRule type="cellIs" dxfId="9" priority="229" operator="between">
      <formula>19</formula>
      <formula>29</formula>
    </cfRule>
  </conditionalFormatting>
  <conditionalFormatting sqref="AG84:AG97">
    <cfRule type="containsText" dxfId="3" priority="230" operator="containsText" text="Night">
      <formula>NOT(ISERROR(SEARCH(("Night"),(AG84))))</formula>
    </cfRule>
  </conditionalFormatting>
  <conditionalFormatting sqref="AG84:AG97">
    <cfRule type="containsText" dxfId="4" priority="231" operator="containsText" text="Evening">
      <formula>NOT(ISERROR(SEARCH(("Evening"),(AG84))))</formula>
    </cfRule>
  </conditionalFormatting>
  <conditionalFormatting sqref="AG84:AG97">
    <cfRule type="containsText" dxfId="5" priority="232" operator="containsText" text="Peak">
      <formula>NOT(ISERROR(SEARCH(("Peak"),(AG84))))</formula>
    </cfRule>
  </conditionalFormatting>
  <conditionalFormatting sqref="AG84:AG97">
    <cfRule type="containsText" dxfId="1" priority="233" operator="containsText" text="Afternoon">
      <formula>NOT(ISERROR(SEARCH(("Afternoon"),(AG84))))</formula>
    </cfRule>
  </conditionalFormatting>
  <conditionalFormatting sqref="AG84:AG97">
    <cfRule type="containsText" dxfId="2" priority="234" operator="containsText" text="Morning">
      <formula>NOT(ISERROR(SEARCH(("Morning"),(AG84))))</formula>
    </cfRule>
  </conditionalFormatting>
  <conditionalFormatting sqref="AG84:AG97">
    <cfRule type="cellIs" dxfId="6" priority="235" operator="lessThan">
      <formula>20</formula>
    </cfRule>
  </conditionalFormatting>
  <conditionalFormatting sqref="AG84:AG97">
    <cfRule type="cellIs" dxfId="7" priority="236" operator="equal">
      <formula>30</formula>
    </cfRule>
  </conditionalFormatting>
  <conditionalFormatting sqref="AG84:AG97">
    <cfRule type="cellIs" dxfId="8" priority="237" operator="greaterThan">
      <formula>31</formula>
    </cfRule>
  </conditionalFormatting>
  <conditionalFormatting sqref="AG84:AG97">
    <cfRule type="cellIs" dxfId="9" priority="238" operator="between">
      <formula>19</formula>
      <formula>29</formula>
    </cfRule>
  </conditionalFormatting>
  <conditionalFormatting sqref="AI6 AI8:AI10">
    <cfRule type="containsText" dxfId="10" priority="239" operator="containsText" text="Early Morning">
      <formula>NOT(ISERROR(SEARCH(("Early Morning"),(AI6))))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13.5"/>
    <col customWidth="1" min="4" max="5" width="10.13"/>
    <col customWidth="1" min="6" max="6" width="8.88"/>
    <col customWidth="1" min="7" max="8" width="12.5"/>
    <col customWidth="1" min="9" max="9" width="12.25"/>
    <col customWidth="1" min="10" max="10" width="2.13"/>
    <col customWidth="1" min="11" max="11" width="12.25"/>
    <col customWidth="1" min="12" max="12" width="14.25"/>
    <col customWidth="1" min="13" max="13" width="11.13"/>
    <col customWidth="1" min="14" max="14" width="1.88"/>
    <col customWidth="1" min="15" max="15" width="11.0"/>
    <col customWidth="1" min="16" max="16" width="9.25"/>
    <col customWidth="1" min="17" max="17" width="3.13"/>
    <col customWidth="1" min="18" max="18" width="9.25"/>
    <col customWidth="1" min="19" max="19" width="9.13"/>
    <col customWidth="1" min="20" max="20" width="13.75"/>
    <col customWidth="1" min="21" max="21" width="2.13"/>
    <col customWidth="1" min="22" max="22" width="14.75"/>
    <col customWidth="1" min="23" max="23" width="11.75"/>
    <col customWidth="1" min="24" max="24" width="12.25"/>
    <col customWidth="1" min="25" max="25" width="2.13"/>
    <col customWidth="1" min="26" max="26" width="12.25"/>
    <col customWidth="1" min="27" max="27" width="11.0"/>
    <col customWidth="1" min="28" max="28" width="2.13"/>
    <col customWidth="1" min="29" max="29" width="11.0"/>
    <col customWidth="1" min="30" max="30" width="13.63"/>
    <col customWidth="1" min="31" max="31" width="7.0"/>
    <col customWidth="1" min="32" max="32" width="13.63"/>
    <col customWidth="1" min="33" max="36" width="8.75"/>
    <col customWidth="1" min="37" max="37" width="7.88"/>
    <col customWidth="1" min="38" max="38" width="16.63"/>
    <col customWidth="1" min="39" max="39" width="8.63"/>
    <col customWidth="1" min="40" max="40" width="17.63"/>
    <col customWidth="1" min="41" max="41" width="8.75"/>
    <col customWidth="1" min="42" max="50" width="11.13"/>
    <col customWidth="1" min="51" max="51" width="8.63"/>
    <col customWidth="1" min="52" max="52" width="9.25"/>
    <col customWidth="1" min="53" max="53" width="8.75"/>
    <col customWidth="1" min="54" max="56" width="8.63"/>
    <col customWidth="1" min="57" max="57" width="8.75"/>
    <col customWidth="1" min="58" max="58" width="8.63"/>
    <col customWidth="1" min="59" max="60" width="8.75"/>
    <col customWidth="1" min="61" max="61" width="8.63"/>
    <col customWidth="1" min="62" max="62" width="8.75"/>
    <col customWidth="1" min="63" max="63" width="8.63"/>
    <col customWidth="1" min="64" max="64" width="9.75"/>
    <col customWidth="1" min="65" max="76" width="8.63"/>
  </cols>
  <sheetData>
    <row r="1" ht="13.5" customHeight="1">
      <c r="A1" s="209" t="s">
        <v>58</v>
      </c>
      <c r="C1" s="210" t="s">
        <v>124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11"/>
      <c r="V1" s="212" t="s">
        <v>125</v>
      </c>
      <c r="W1" s="2"/>
      <c r="X1" s="2"/>
      <c r="Y1" s="2"/>
      <c r="Z1" s="2"/>
      <c r="AA1" s="2"/>
      <c r="AB1" s="2"/>
      <c r="AC1" s="2"/>
      <c r="AD1" s="3"/>
      <c r="AE1" s="213" t="s">
        <v>126</v>
      </c>
      <c r="AF1" s="213"/>
    </row>
    <row r="2" ht="13.5" customHeight="1">
      <c r="A2" s="127"/>
      <c r="C2" s="66" t="s">
        <v>62</v>
      </c>
      <c r="D2" s="66" t="s">
        <v>85</v>
      </c>
      <c r="E2" s="214" t="s">
        <v>69</v>
      </c>
      <c r="F2" s="66" t="s">
        <v>62</v>
      </c>
      <c r="G2" s="215"/>
      <c r="H2" s="215"/>
      <c r="I2" s="66" t="s">
        <v>85</v>
      </c>
      <c r="J2" s="214" t="s">
        <v>69</v>
      </c>
      <c r="K2" s="66" t="s">
        <v>62</v>
      </c>
      <c r="L2" s="66"/>
      <c r="M2" s="66" t="s">
        <v>85</v>
      </c>
      <c r="N2" s="214" t="s">
        <v>69</v>
      </c>
      <c r="O2" s="66" t="s">
        <v>62</v>
      </c>
      <c r="P2" s="66" t="s">
        <v>85</v>
      </c>
      <c r="Q2" s="214" t="s">
        <v>69</v>
      </c>
      <c r="R2" s="66" t="s">
        <v>62</v>
      </c>
      <c r="S2" s="66"/>
      <c r="T2" s="66" t="s">
        <v>85</v>
      </c>
      <c r="U2" s="214" t="s">
        <v>69</v>
      </c>
      <c r="V2" s="66" t="s">
        <v>62</v>
      </c>
      <c r="W2" s="216"/>
      <c r="X2" s="66" t="s">
        <v>85</v>
      </c>
      <c r="Y2" s="214" t="s">
        <v>69</v>
      </c>
      <c r="Z2" s="66" t="s">
        <v>62</v>
      </c>
      <c r="AA2" s="66" t="s">
        <v>85</v>
      </c>
      <c r="AB2" s="214" t="s">
        <v>69</v>
      </c>
      <c r="AC2" s="66" t="s">
        <v>62</v>
      </c>
      <c r="AD2" s="66" t="s">
        <v>85</v>
      </c>
      <c r="AE2" s="214" t="s">
        <v>69</v>
      </c>
      <c r="AF2" s="66" t="s">
        <v>62</v>
      </c>
      <c r="AG2" s="217"/>
      <c r="AH2" s="217"/>
      <c r="AI2" s="217"/>
      <c r="AJ2" s="217"/>
      <c r="AK2" s="217"/>
      <c r="AL2" s="217"/>
    </row>
    <row r="3" ht="13.5" customHeight="1">
      <c r="A3" s="127"/>
      <c r="B3" s="89" t="s">
        <v>63</v>
      </c>
      <c r="C3" s="218" t="s">
        <v>127</v>
      </c>
      <c r="D3" s="218" t="s">
        <v>64</v>
      </c>
      <c r="E3" s="200"/>
      <c r="F3" s="218" t="s">
        <v>64</v>
      </c>
      <c r="G3" s="18" t="s">
        <v>128</v>
      </c>
      <c r="H3" s="218" t="s">
        <v>129</v>
      </c>
      <c r="I3" s="18" t="s">
        <v>130</v>
      </c>
      <c r="J3" s="200"/>
      <c r="K3" s="18" t="s">
        <v>130</v>
      </c>
      <c r="L3" s="18" t="s">
        <v>131</v>
      </c>
      <c r="M3" s="66" t="s">
        <v>132</v>
      </c>
      <c r="N3" s="200"/>
      <c r="O3" s="66" t="s">
        <v>132</v>
      </c>
      <c r="P3" s="18" t="s">
        <v>86</v>
      </c>
      <c r="Q3" s="200"/>
      <c r="R3" s="18" t="s">
        <v>86</v>
      </c>
      <c r="S3" s="18" t="s">
        <v>133</v>
      </c>
      <c r="T3" s="66" t="s">
        <v>70</v>
      </c>
      <c r="U3" s="200"/>
      <c r="V3" s="218" t="s">
        <v>70</v>
      </c>
      <c r="W3" s="66" t="s">
        <v>87</v>
      </c>
      <c r="X3" s="18" t="s">
        <v>134</v>
      </c>
      <c r="Y3" s="200"/>
      <c r="Z3" s="18" t="s">
        <v>134</v>
      </c>
      <c r="AA3" s="66" t="s">
        <v>132</v>
      </c>
      <c r="AB3" s="200"/>
      <c r="AC3" s="66" t="s">
        <v>132</v>
      </c>
      <c r="AD3" s="218" t="s">
        <v>127</v>
      </c>
      <c r="AE3" s="200"/>
      <c r="AF3" s="218" t="s">
        <v>127</v>
      </c>
      <c r="AG3" s="217"/>
      <c r="AH3" s="217"/>
      <c r="AI3" s="217"/>
      <c r="AJ3" s="217"/>
      <c r="AK3" s="217"/>
      <c r="AL3" s="217"/>
    </row>
    <row r="4" ht="13.5" customHeight="1">
      <c r="A4" s="127"/>
      <c r="B4" s="93" t="s">
        <v>72</v>
      </c>
      <c r="C4" s="218">
        <v>725.0</v>
      </c>
      <c r="D4" s="218">
        <v>725.0</v>
      </c>
      <c r="E4" s="175"/>
      <c r="F4" s="218">
        <v>777.0</v>
      </c>
      <c r="G4" s="218">
        <v>308.0</v>
      </c>
      <c r="H4" s="218"/>
      <c r="I4" s="18">
        <v>488.0</v>
      </c>
      <c r="J4" s="175"/>
      <c r="K4" s="18">
        <v>488.0</v>
      </c>
      <c r="L4" s="18">
        <v>313.0</v>
      </c>
      <c r="M4" s="66">
        <v>732.0</v>
      </c>
      <c r="N4" s="175"/>
      <c r="O4" s="66">
        <v>732.0</v>
      </c>
      <c r="P4" s="18">
        <v>1.0</v>
      </c>
      <c r="Q4" s="175"/>
      <c r="R4" s="18">
        <v>1.0</v>
      </c>
      <c r="S4" s="18">
        <v>129.0</v>
      </c>
      <c r="T4" s="66">
        <v>330.0</v>
      </c>
      <c r="U4" s="175"/>
      <c r="V4" s="218">
        <v>330.0</v>
      </c>
      <c r="W4" s="66">
        <v>440.0</v>
      </c>
      <c r="X4" s="18" t="s">
        <v>135</v>
      </c>
      <c r="Y4" s="175"/>
      <c r="Z4" s="18" t="s">
        <v>135</v>
      </c>
      <c r="AA4" s="66">
        <v>732.0</v>
      </c>
      <c r="AB4" s="175"/>
      <c r="AC4" s="66">
        <v>732.0</v>
      </c>
      <c r="AD4" s="218">
        <v>725.0</v>
      </c>
      <c r="AE4" s="175"/>
      <c r="AF4" s="218">
        <v>725.0</v>
      </c>
      <c r="AG4" s="139" t="s">
        <v>73</v>
      </c>
      <c r="AH4" s="139" t="s">
        <v>74</v>
      </c>
      <c r="AI4" s="139" t="s">
        <v>69</v>
      </c>
      <c r="AJ4" s="139" t="s">
        <v>121</v>
      </c>
      <c r="AK4" s="140" t="s">
        <v>76</v>
      </c>
      <c r="AL4" s="217" t="s">
        <v>136</v>
      </c>
      <c r="AP4" s="219"/>
      <c r="AQ4" s="220" t="s">
        <v>137</v>
      </c>
      <c r="AR4" s="5"/>
      <c r="AS4" s="5"/>
      <c r="AT4" s="5"/>
      <c r="AU4" s="5"/>
      <c r="AV4" s="5"/>
      <c r="AW4" s="5"/>
      <c r="AX4" s="6"/>
      <c r="AZ4" s="221" t="s">
        <v>74</v>
      </c>
      <c r="BA4" s="222">
        <v>150.0</v>
      </c>
    </row>
    <row r="5" ht="13.5" customHeight="1">
      <c r="A5" s="127"/>
      <c r="B5" s="141" t="s">
        <v>89</v>
      </c>
      <c r="C5" s="223"/>
      <c r="D5" s="223"/>
      <c r="E5" s="224"/>
      <c r="F5" s="223"/>
      <c r="G5" s="223"/>
      <c r="H5" s="223"/>
      <c r="I5" s="223"/>
      <c r="J5" s="224"/>
      <c r="K5" s="223"/>
      <c r="L5" s="223"/>
      <c r="M5" s="223"/>
      <c r="N5" s="224"/>
      <c r="O5" s="223"/>
      <c r="P5" s="223"/>
      <c r="Q5" s="224"/>
      <c r="R5" s="223"/>
      <c r="S5" s="223"/>
      <c r="T5" s="223"/>
      <c r="U5" s="224"/>
      <c r="V5" s="223"/>
      <c r="W5" s="223"/>
      <c r="X5" s="223"/>
      <c r="Y5" s="224"/>
      <c r="Z5" s="223"/>
      <c r="AA5" s="223"/>
      <c r="AB5" s="224"/>
      <c r="AC5" s="225">
        <v>0.20763888888888887</v>
      </c>
      <c r="AD5" s="226">
        <v>0.21666666666666665</v>
      </c>
      <c r="AE5" s="224">
        <v>5.0</v>
      </c>
      <c r="AF5" s="223">
        <v>0.22013888888888886</v>
      </c>
      <c r="AG5" s="103">
        <f t="shared" ref="AG5:AG42" si="1">AH5-AI5</f>
        <v>13</v>
      </c>
      <c r="AH5" s="103">
        <f t="shared" ref="AH5:AH7" si="2">(AF5-AC5)*1440</f>
        <v>18</v>
      </c>
      <c r="AI5" s="103">
        <f t="shared" ref="AI5:AI42" si="3">E5+AE5+Y5+U5+Q5+J5+AB5+N5</f>
        <v>5</v>
      </c>
      <c r="AJ5" s="104">
        <f t="shared" ref="AJ5:AJ43" si="4">AI5/AG5</f>
        <v>0.3846153846</v>
      </c>
      <c r="AK5" s="140"/>
      <c r="AL5" s="217">
        <v>43.0</v>
      </c>
      <c r="AP5" s="219"/>
      <c r="AQ5" s="227" t="s">
        <v>130</v>
      </c>
      <c r="AR5" s="227" t="s">
        <v>132</v>
      </c>
      <c r="AS5" s="227" t="str">
        <f>P3</f>
        <v>Downtown</v>
      </c>
      <c r="AT5" s="227" t="str">
        <f>T3</f>
        <v>Georgian College</v>
      </c>
      <c r="AU5" s="227" t="str">
        <f>X3</f>
        <v>Anne at Donald</v>
      </c>
      <c r="AV5" s="227" t="str">
        <f>AA3</f>
        <v>Allandale GO</v>
      </c>
      <c r="AW5" s="227" t="str">
        <f>AD3</f>
        <v>Barrie South GO</v>
      </c>
      <c r="AX5" s="227" t="str">
        <f>D3</f>
        <v>Park Place</v>
      </c>
    </row>
    <row r="6" ht="13.5" customHeight="1">
      <c r="A6" s="127"/>
      <c r="B6" s="141" t="s">
        <v>89</v>
      </c>
      <c r="C6" s="223"/>
      <c r="D6" s="223"/>
      <c r="E6" s="224"/>
      <c r="F6" s="223"/>
      <c r="G6" s="223"/>
      <c r="H6" s="223"/>
      <c r="I6" s="223"/>
      <c r="J6" s="224"/>
      <c r="K6" s="223"/>
      <c r="L6" s="223"/>
      <c r="M6" s="223"/>
      <c r="N6" s="224"/>
      <c r="O6" s="223"/>
      <c r="P6" s="223"/>
      <c r="Q6" s="224"/>
      <c r="R6" s="223"/>
      <c r="S6" s="223"/>
      <c r="T6" s="223"/>
      <c r="U6" s="224"/>
      <c r="V6" s="223"/>
      <c r="W6" s="223"/>
      <c r="X6" s="223"/>
      <c r="Y6" s="224"/>
      <c r="Z6" s="223"/>
      <c r="AA6" s="223"/>
      <c r="AB6" s="224"/>
      <c r="AC6" s="225">
        <v>0.22847222222222222</v>
      </c>
      <c r="AD6" s="226">
        <v>0.2375</v>
      </c>
      <c r="AE6" s="224">
        <v>5.0</v>
      </c>
      <c r="AF6" s="223">
        <v>0.2409722222222222</v>
      </c>
      <c r="AG6" s="103">
        <f t="shared" si="1"/>
        <v>13</v>
      </c>
      <c r="AH6" s="103">
        <f t="shared" si="2"/>
        <v>18</v>
      </c>
      <c r="AI6" s="103">
        <f t="shared" si="3"/>
        <v>5</v>
      </c>
      <c r="AJ6" s="104">
        <f t="shared" si="4"/>
        <v>0.3846153846</v>
      </c>
      <c r="AK6" s="142">
        <f t="shared" ref="AK6:AK33" si="5">(AF6-AF5)*1440</f>
        <v>30</v>
      </c>
      <c r="AL6" s="217">
        <v>43.0</v>
      </c>
      <c r="AP6" s="219" t="s">
        <v>89</v>
      </c>
      <c r="AQ6" s="199">
        <v>2.0</v>
      </c>
      <c r="AR6" s="199">
        <v>3.0</v>
      </c>
      <c r="AS6" s="199">
        <v>2.0</v>
      </c>
      <c r="AT6" s="199">
        <v>2.0</v>
      </c>
      <c r="AU6" s="199">
        <v>2.0</v>
      </c>
      <c r="AV6" s="199">
        <v>3.0</v>
      </c>
      <c r="AW6" s="199" t="str">
        <f>$BA$4-SUM(AQ6:AV6,AX6,'[3]8A Segment'!$C$119)</f>
        <v>#REF!</v>
      </c>
      <c r="AX6" s="199">
        <v>4.0</v>
      </c>
      <c r="BE6" s="39" t="s">
        <v>138</v>
      </c>
    </row>
    <row r="7" ht="13.5" customHeight="1">
      <c r="A7" s="127"/>
      <c r="B7" s="141" t="s">
        <v>89</v>
      </c>
      <c r="C7" s="223"/>
      <c r="D7" s="223"/>
      <c r="E7" s="224"/>
      <c r="F7" s="223"/>
      <c r="G7" s="223"/>
      <c r="H7" s="223"/>
      <c r="I7" s="223"/>
      <c r="J7" s="224"/>
      <c r="K7" s="223"/>
      <c r="L7" s="223"/>
      <c r="M7" s="223"/>
      <c r="N7" s="224"/>
      <c r="O7" s="223"/>
      <c r="P7" s="223"/>
      <c r="Q7" s="224"/>
      <c r="R7" s="223"/>
      <c r="S7" s="223"/>
      <c r="T7" s="223"/>
      <c r="U7" s="224"/>
      <c r="V7" s="223"/>
      <c r="W7" s="223"/>
      <c r="X7" s="223"/>
      <c r="Y7" s="224"/>
      <c r="Z7" s="223"/>
      <c r="AA7" s="223"/>
      <c r="AB7" s="224"/>
      <c r="AC7" s="225">
        <v>0.24930555555555556</v>
      </c>
      <c r="AD7" s="226">
        <v>0.25833333333333336</v>
      </c>
      <c r="AE7" s="224">
        <v>5.0</v>
      </c>
      <c r="AF7" s="223">
        <v>0.26180555555555557</v>
      </c>
      <c r="AG7" s="103">
        <f t="shared" si="1"/>
        <v>13</v>
      </c>
      <c r="AH7" s="103">
        <f t="shared" si="2"/>
        <v>18</v>
      </c>
      <c r="AI7" s="103">
        <f t="shared" si="3"/>
        <v>5</v>
      </c>
      <c r="AJ7" s="104">
        <f t="shared" si="4"/>
        <v>0.3846153846</v>
      </c>
      <c r="AK7" s="142">
        <f t="shared" si="5"/>
        <v>30</v>
      </c>
      <c r="AL7" s="217">
        <v>43.0</v>
      </c>
      <c r="AP7" s="219" t="s">
        <v>77</v>
      </c>
      <c r="AQ7" s="199">
        <v>2.0</v>
      </c>
      <c r="AR7" s="199">
        <v>3.0</v>
      </c>
      <c r="AS7" s="199">
        <v>2.0</v>
      </c>
      <c r="AT7" s="199">
        <v>2.0</v>
      </c>
      <c r="AU7" s="199">
        <v>2.0</v>
      </c>
      <c r="AV7" s="199">
        <v>3.0</v>
      </c>
      <c r="AW7" s="199" t="str">
        <f>$BA$4-SUM(AQ7:AV7,AX7,'[3]8A Segment'!$D$119)</f>
        <v>#REF!</v>
      </c>
      <c r="AX7" s="199">
        <v>4.0</v>
      </c>
      <c r="BD7" s="228"/>
      <c r="BE7" s="228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</row>
    <row r="8" ht="13.5" customHeight="1">
      <c r="A8" s="127"/>
      <c r="B8" s="141" t="s">
        <v>89</v>
      </c>
      <c r="C8" s="223"/>
      <c r="D8" s="223"/>
      <c r="E8" s="224"/>
      <c r="F8" s="225">
        <v>0.19097222222222224</v>
      </c>
      <c r="G8" s="223">
        <v>0.1965277777777778</v>
      </c>
      <c r="H8" s="223"/>
      <c r="I8" s="223">
        <v>0.20347222222222225</v>
      </c>
      <c r="J8" s="224">
        <v>1.0</v>
      </c>
      <c r="K8" s="223">
        <v>0.2041666666666667</v>
      </c>
      <c r="L8" s="223">
        <v>0.20625000000000002</v>
      </c>
      <c r="M8" s="226">
        <v>0.21250000000000002</v>
      </c>
      <c r="N8" s="224">
        <v>6.0</v>
      </c>
      <c r="O8" s="223">
        <v>0.2166666666666667</v>
      </c>
      <c r="P8" s="223">
        <v>0.22083333333333338</v>
      </c>
      <c r="Q8" s="224">
        <v>2.0</v>
      </c>
      <c r="R8" s="223">
        <v>0.22222222222222227</v>
      </c>
      <c r="S8" s="223">
        <v>0.22777777777777783</v>
      </c>
      <c r="T8" s="223">
        <v>0.23750000000000004</v>
      </c>
      <c r="U8" s="224">
        <v>2.0</v>
      </c>
      <c r="V8" s="223">
        <v>0.23888888888888893</v>
      </c>
      <c r="W8" s="223">
        <v>0.24583333333333338</v>
      </c>
      <c r="X8" s="223">
        <v>0.25486111111111115</v>
      </c>
      <c r="Y8" s="224">
        <v>2.0</v>
      </c>
      <c r="Z8" s="223">
        <v>0.25625000000000003</v>
      </c>
      <c r="AA8" s="223">
        <v>0.2604166666666667</v>
      </c>
      <c r="AB8" s="224">
        <v>5.0</v>
      </c>
      <c r="AC8" s="223">
        <v>0.2638888888888889</v>
      </c>
      <c r="AD8" s="226">
        <v>0.2729166666666667</v>
      </c>
      <c r="AE8" s="224">
        <v>14.0</v>
      </c>
      <c r="AF8" s="223">
        <v>0.28263888888888894</v>
      </c>
      <c r="AG8" s="103">
        <f t="shared" si="1"/>
        <v>100</v>
      </c>
      <c r="AH8" s="103">
        <f t="shared" ref="AH8:AH9" si="6">(AF8-F8)*1440</f>
        <v>132</v>
      </c>
      <c r="AI8" s="103">
        <f t="shared" si="3"/>
        <v>32</v>
      </c>
      <c r="AJ8" s="104">
        <f t="shared" si="4"/>
        <v>0.32</v>
      </c>
      <c r="AK8" s="142">
        <f t="shared" si="5"/>
        <v>30</v>
      </c>
      <c r="AL8" s="217">
        <v>150.0</v>
      </c>
      <c r="AN8" s="143" t="s">
        <v>90</v>
      </c>
      <c r="AP8" s="219" t="s">
        <v>78</v>
      </c>
      <c r="AQ8" s="199">
        <v>2.0</v>
      </c>
      <c r="AR8" s="199">
        <v>3.0</v>
      </c>
      <c r="AS8" s="199">
        <v>2.0</v>
      </c>
      <c r="AT8" s="199">
        <v>2.0</v>
      </c>
      <c r="AU8" s="199">
        <v>2.0</v>
      </c>
      <c r="AV8" s="199">
        <v>3.0</v>
      </c>
      <c r="AW8" s="199" t="str">
        <f>$BA$4-SUM(AQ8:AV8,AX8,'[3]8A Segment'!$E$119)</f>
        <v>#REF!</v>
      </c>
      <c r="AX8" s="199">
        <v>4.0</v>
      </c>
      <c r="BE8" s="39" t="s">
        <v>124</v>
      </c>
      <c r="BH8" s="39" t="s">
        <v>139</v>
      </c>
      <c r="BL8" s="39" t="s">
        <v>140</v>
      </c>
      <c r="BP8" s="39" t="s">
        <v>125</v>
      </c>
      <c r="BS8" s="39" t="s">
        <v>141</v>
      </c>
      <c r="BW8" s="39" t="s">
        <v>140</v>
      </c>
    </row>
    <row r="9" ht="13.5" customHeight="1">
      <c r="A9" s="127"/>
      <c r="B9" s="141" t="s">
        <v>89</v>
      </c>
      <c r="C9" s="223"/>
      <c r="D9" s="223"/>
      <c r="E9" s="224"/>
      <c r="F9" s="225">
        <v>0.21180555555555558</v>
      </c>
      <c r="G9" s="223">
        <v>0.21736111111111114</v>
      </c>
      <c r="H9" s="223"/>
      <c r="I9" s="223">
        <v>0.2243055555555556</v>
      </c>
      <c r="J9" s="224">
        <v>2.0</v>
      </c>
      <c r="K9" s="223">
        <v>0.22569444444444448</v>
      </c>
      <c r="L9" s="223">
        <v>0.2277777777777778</v>
      </c>
      <c r="M9" s="226">
        <v>0.2340277777777778</v>
      </c>
      <c r="N9" s="224">
        <v>5.0</v>
      </c>
      <c r="O9" s="223">
        <v>0.23750000000000002</v>
      </c>
      <c r="P9" s="223">
        <v>0.2416666666666667</v>
      </c>
      <c r="Q9" s="224">
        <v>2.0</v>
      </c>
      <c r="R9" s="223">
        <v>0.24305555555555558</v>
      </c>
      <c r="S9" s="223">
        <v>0.24861111111111114</v>
      </c>
      <c r="T9" s="223">
        <v>0.25833333333333336</v>
      </c>
      <c r="U9" s="224">
        <v>2.0</v>
      </c>
      <c r="V9" s="223">
        <v>0.25972222222222224</v>
      </c>
      <c r="W9" s="223">
        <v>0.26666666666666666</v>
      </c>
      <c r="X9" s="223">
        <v>0.27569444444444446</v>
      </c>
      <c r="Y9" s="224">
        <v>2.0</v>
      </c>
      <c r="Z9" s="223">
        <v>0.27708333333333335</v>
      </c>
      <c r="AA9" s="223">
        <v>0.28125</v>
      </c>
      <c r="AB9" s="224">
        <v>5.0</v>
      </c>
      <c r="AC9" s="223">
        <v>0.2847222222222222</v>
      </c>
      <c r="AD9" s="223">
        <v>0.29375</v>
      </c>
      <c r="AE9" s="224">
        <v>15.0</v>
      </c>
      <c r="AF9" s="223">
        <v>0.3041666666666667</v>
      </c>
      <c r="AG9" s="103">
        <f t="shared" si="1"/>
        <v>100</v>
      </c>
      <c r="AH9" s="103">
        <f t="shared" si="6"/>
        <v>133</v>
      </c>
      <c r="AI9" s="103">
        <f t="shared" si="3"/>
        <v>33</v>
      </c>
      <c r="AJ9" s="104">
        <f t="shared" si="4"/>
        <v>0.33</v>
      </c>
      <c r="AK9" s="142">
        <f t="shared" si="5"/>
        <v>31</v>
      </c>
      <c r="AL9" s="217">
        <v>150.0</v>
      </c>
      <c r="AN9" s="146" t="s">
        <v>91</v>
      </c>
      <c r="AP9" s="219" t="s">
        <v>7</v>
      </c>
      <c r="AQ9" s="199">
        <v>2.0</v>
      </c>
      <c r="AR9" s="199">
        <v>3.0</v>
      </c>
      <c r="AS9" s="199">
        <v>2.0</v>
      </c>
      <c r="AT9" s="199">
        <v>2.0</v>
      </c>
      <c r="AU9" s="199">
        <v>2.0</v>
      </c>
      <c r="AV9" s="199">
        <v>3.0</v>
      </c>
      <c r="AW9" s="199" t="str">
        <f>$BA$4-SUM(AQ9:AV9,AX9,'[3]8A Segment'!$F$119)</f>
        <v>#REF!</v>
      </c>
      <c r="AX9" s="199">
        <v>4.0</v>
      </c>
      <c r="BE9" s="228">
        <f t="shared" ref="BE9:BE39" si="7">M12</f>
        <v>0.2965277778</v>
      </c>
      <c r="BG9" s="228">
        <f t="shared" ref="BG9:BG39" si="8">O12</f>
        <v>0.3</v>
      </c>
      <c r="BH9" s="228" t="str">
        <f t="shared" ref="BH9:BH39" si="9">'[3]8B'!C12</f>
        <v>#REF!</v>
      </c>
      <c r="BJ9" s="228" t="str">
        <f t="shared" ref="BJ9:BJ39" si="10">'[3]8B'!E12</f>
        <v>#REF!</v>
      </c>
      <c r="BL9" s="203" t="str">
        <f t="shared" ref="BL9:BL31" si="11">(BJ9-BG9)*1440</f>
        <v>#REF!</v>
      </c>
      <c r="BN9" s="228"/>
      <c r="BP9" s="228">
        <f t="shared" ref="BP9:BP39" si="12">AA8</f>
        <v>0.2604166667</v>
      </c>
      <c r="BR9" s="228">
        <f t="shared" ref="BR9:BR39" si="13">AC8</f>
        <v>0.2638888889</v>
      </c>
      <c r="BS9" s="228" t="str">
        <f t="shared" ref="BS9:BS35" si="14">'[3]8B'!Q8</f>
        <v>#REF!</v>
      </c>
      <c r="BU9" s="228" t="str">
        <f t="shared" ref="BU9:BU35" si="15">'[3]8B'!S8</f>
        <v>#REF!</v>
      </c>
      <c r="BW9" s="203" t="str">
        <f t="shared" ref="BW9:BW34" si="16">(BU9-BR9)*1440</f>
        <v>#REF!</v>
      </c>
    </row>
    <row r="10" ht="13.5" customHeight="1">
      <c r="A10" s="127"/>
      <c r="B10" s="141" t="s">
        <v>89</v>
      </c>
      <c r="C10" s="223">
        <v>0.22013888888888886</v>
      </c>
      <c r="D10" s="223">
        <v>0.22986111111111107</v>
      </c>
      <c r="E10" s="224">
        <v>4.0</v>
      </c>
      <c r="F10" s="223">
        <v>0.23263888888888884</v>
      </c>
      <c r="G10" s="223">
        <v>0.2381944444444444</v>
      </c>
      <c r="H10" s="223"/>
      <c r="I10" s="223">
        <v>0.24513888888888885</v>
      </c>
      <c r="J10" s="224">
        <v>2.0</v>
      </c>
      <c r="K10" s="223">
        <v>0.24652777777777773</v>
      </c>
      <c r="L10" s="223">
        <v>0.24861111111111106</v>
      </c>
      <c r="M10" s="226">
        <v>0.25486111111111104</v>
      </c>
      <c r="N10" s="224">
        <v>5.0</v>
      </c>
      <c r="O10" s="223">
        <v>0.25833333333333325</v>
      </c>
      <c r="P10" s="223">
        <v>0.2624999999999999</v>
      </c>
      <c r="Q10" s="224">
        <v>2.0</v>
      </c>
      <c r="R10" s="223">
        <v>0.2638888888888888</v>
      </c>
      <c r="S10" s="223">
        <v>0.2694444444444443</v>
      </c>
      <c r="T10" s="223">
        <v>0.27916666666666656</v>
      </c>
      <c r="U10" s="224">
        <v>2.0</v>
      </c>
      <c r="V10" s="223">
        <v>0.28055555555555545</v>
      </c>
      <c r="W10" s="223">
        <v>0.28749999999999987</v>
      </c>
      <c r="X10" s="223">
        <v>0.29652777777777767</v>
      </c>
      <c r="Y10" s="224">
        <v>2.0</v>
      </c>
      <c r="Z10" s="223">
        <v>0.29791666666666655</v>
      </c>
      <c r="AA10" s="223">
        <v>0.3020833333333332</v>
      </c>
      <c r="AB10" s="224">
        <v>5.0</v>
      </c>
      <c r="AC10" s="223">
        <v>0.3055555555555554</v>
      </c>
      <c r="AD10" s="223">
        <v>0.3145833333333332</v>
      </c>
      <c r="AE10" s="224">
        <v>15.0</v>
      </c>
      <c r="AF10" s="223">
        <v>0.3249999999999999</v>
      </c>
      <c r="AG10" s="103">
        <f t="shared" si="1"/>
        <v>114</v>
      </c>
      <c r="AH10" s="103">
        <f t="shared" ref="AH10:AH33" si="17">(AF10-C10)*1440</f>
        <v>151</v>
      </c>
      <c r="AI10" s="103">
        <f t="shared" si="3"/>
        <v>37</v>
      </c>
      <c r="AJ10" s="104">
        <f t="shared" si="4"/>
        <v>0.3245614035</v>
      </c>
      <c r="AK10" s="142">
        <f t="shared" si="5"/>
        <v>30</v>
      </c>
      <c r="AL10" s="217">
        <v>150.0</v>
      </c>
      <c r="AN10" s="147" t="s">
        <v>92</v>
      </c>
      <c r="AP10" s="219" t="s">
        <v>79</v>
      </c>
      <c r="AQ10" s="199">
        <v>2.0</v>
      </c>
      <c r="AR10" s="199">
        <v>3.0</v>
      </c>
      <c r="AS10" s="199">
        <v>2.0</v>
      </c>
      <c r="AT10" s="199">
        <v>2.0</v>
      </c>
      <c r="AU10" s="199">
        <v>2.0</v>
      </c>
      <c r="AV10" s="199">
        <v>3.0</v>
      </c>
      <c r="AW10" s="199" t="str">
        <f>$BA$4-SUM(AQ10:AV10,AX10,'[3]8A Segment'!$G$119)</f>
        <v>#REF!</v>
      </c>
      <c r="AX10" s="199">
        <v>4.0</v>
      </c>
      <c r="BE10" s="228">
        <f t="shared" si="7"/>
        <v>0.3173611111</v>
      </c>
      <c r="BG10" s="228">
        <f t="shared" si="8"/>
        <v>0.3208333333</v>
      </c>
      <c r="BH10" s="228" t="str">
        <f t="shared" si="9"/>
        <v>#REF!</v>
      </c>
      <c r="BJ10" s="228" t="str">
        <f t="shared" si="10"/>
        <v>#REF!</v>
      </c>
      <c r="BL10" s="203" t="str">
        <f t="shared" si="11"/>
        <v>#REF!</v>
      </c>
      <c r="BN10" s="228"/>
      <c r="BP10" s="228">
        <f t="shared" si="12"/>
        <v>0.28125</v>
      </c>
      <c r="BR10" s="228">
        <f t="shared" si="13"/>
        <v>0.2847222222</v>
      </c>
      <c r="BS10" s="228" t="str">
        <f t="shared" si="14"/>
        <v>#REF!</v>
      </c>
      <c r="BU10" s="228" t="str">
        <f t="shared" si="15"/>
        <v>#REF!</v>
      </c>
      <c r="BW10" s="203" t="str">
        <f t="shared" si="16"/>
        <v>#REF!</v>
      </c>
    </row>
    <row r="11" ht="13.5" customHeight="1">
      <c r="A11" s="127"/>
      <c r="B11" s="141" t="s">
        <v>89</v>
      </c>
      <c r="C11" s="223">
        <v>0.2409722222222222</v>
      </c>
      <c r="D11" s="223">
        <v>0.25069444444444444</v>
      </c>
      <c r="E11" s="224">
        <v>4.0</v>
      </c>
      <c r="F11" s="223">
        <v>0.2534722222222222</v>
      </c>
      <c r="G11" s="223">
        <v>0.25902777777777775</v>
      </c>
      <c r="H11" s="223"/>
      <c r="I11" s="223">
        <v>0.26597222222222217</v>
      </c>
      <c r="J11" s="224">
        <v>2.0</v>
      </c>
      <c r="K11" s="223">
        <v>0.26736111111111105</v>
      </c>
      <c r="L11" s="223">
        <v>0.2694444444444444</v>
      </c>
      <c r="M11" s="226">
        <v>0.27569444444444435</v>
      </c>
      <c r="N11" s="224">
        <v>5.0</v>
      </c>
      <c r="O11" s="223">
        <v>0.27916666666666656</v>
      </c>
      <c r="P11" s="223">
        <v>0.2833333333333332</v>
      </c>
      <c r="Q11" s="224">
        <v>2.0</v>
      </c>
      <c r="R11" s="223">
        <v>0.2847222222222221</v>
      </c>
      <c r="S11" s="223">
        <v>0.29027777777777763</v>
      </c>
      <c r="T11" s="223">
        <v>0.2999999999999999</v>
      </c>
      <c r="U11" s="224">
        <v>2.0</v>
      </c>
      <c r="V11" s="223">
        <v>0.30138888888888876</v>
      </c>
      <c r="W11" s="223">
        <v>0.3083333333333332</v>
      </c>
      <c r="X11" s="223">
        <v>0.317361111111111</v>
      </c>
      <c r="Y11" s="224">
        <v>2.0</v>
      </c>
      <c r="Z11" s="223">
        <v>0.31874999999999987</v>
      </c>
      <c r="AA11" s="223">
        <v>0.3229166666666665</v>
      </c>
      <c r="AB11" s="224">
        <v>5.0</v>
      </c>
      <c r="AC11" s="223">
        <v>0.32638888888888873</v>
      </c>
      <c r="AD11" s="223">
        <v>0.33541666666666653</v>
      </c>
      <c r="AE11" s="224">
        <v>15.0</v>
      </c>
      <c r="AF11" s="223">
        <v>0.3458333333333332</v>
      </c>
      <c r="AG11" s="103">
        <f t="shared" si="1"/>
        <v>114</v>
      </c>
      <c r="AH11" s="103">
        <f t="shared" si="17"/>
        <v>151</v>
      </c>
      <c r="AI11" s="103">
        <f t="shared" si="3"/>
        <v>37</v>
      </c>
      <c r="AJ11" s="104">
        <f t="shared" si="4"/>
        <v>0.3245614035</v>
      </c>
      <c r="AK11" s="142">
        <f t="shared" si="5"/>
        <v>30</v>
      </c>
      <c r="AL11" s="217">
        <v>150.0</v>
      </c>
      <c r="AN11" s="229" t="s">
        <v>94</v>
      </c>
      <c r="AP11" s="219" t="s">
        <v>98</v>
      </c>
      <c r="AQ11" s="199">
        <v>2.0</v>
      </c>
      <c r="AR11" s="199">
        <v>3.0</v>
      </c>
      <c r="AS11" s="199">
        <v>2.0</v>
      </c>
      <c r="AT11" s="199">
        <v>2.0</v>
      </c>
      <c r="AU11" s="199">
        <v>2.0</v>
      </c>
      <c r="AV11" s="199">
        <v>3.0</v>
      </c>
      <c r="AW11" s="199" t="str">
        <f>$BA$4-SUM(AQ11:AV11,AX11,'[3]8A Segment'!$H$119)</f>
        <v>#REF!</v>
      </c>
      <c r="AX11" s="199">
        <v>4.0</v>
      </c>
      <c r="BE11" s="228">
        <f t="shared" si="7"/>
        <v>0.3381944444</v>
      </c>
      <c r="BG11" s="228">
        <f t="shared" si="8"/>
        <v>0.3416666667</v>
      </c>
      <c r="BH11" s="228" t="str">
        <f t="shared" si="9"/>
        <v>#REF!</v>
      </c>
      <c r="BJ11" s="228" t="str">
        <f t="shared" si="10"/>
        <v>#REF!</v>
      </c>
      <c r="BL11" s="203" t="str">
        <f t="shared" si="11"/>
        <v>#REF!</v>
      </c>
      <c r="BN11" s="228"/>
      <c r="BP11" s="228">
        <f t="shared" si="12"/>
        <v>0.3020833333</v>
      </c>
      <c r="BR11" s="228">
        <f t="shared" si="13"/>
        <v>0.3055555556</v>
      </c>
      <c r="BS11" s="228" t="str">
        <f t="shared" si="14"/>
        <v>#REF!</v>
      </c>
      <c r="BU11" s="228" t="str">
        <f t="shared" si="15"/>
        <v>#REF!</v>
      </c>
      <c r="BW11" s="203" t="str">
        <f t="shared" si="16"/>
        <v>#REF!</v>
      </c>
    </row>
    <row r="12" ht="13.5" customHeight="1">
      <c r="A12" s="127"/>
      <c r="B12" s="141" t="s">
        <v>89</v>
      </c>
      <c r="C12" s="223">
        <v>0.26180555555555557</v>
      </c>
      <c r="D12" s="223">
        <v>0.2715277777777778</v>
      </c>
      <c r="E12" s="224">
        <v>4.0</v>
      </c>
      <c r="F12" s="223">
        <v>0.2743055555555556</v>
      </c>
      <c r="G12" s="223">
        <v>0.2798611111111111</v>
      </c>
      <c r="H12" s="223"/>
      <c r="I12" s="223">
        <v>0.28680555555555554</v>
      </c>
      <c r="J12" s="224">
        <v>2.0</v>
      </c>
      <c r="K12" s="223">
        <v>0.2881944444444444</v>
      </c>
      <c r="L12" s="223">
        <v>0.29027777777777775</v>
      </c>
      <c r="M12" s="223">
        <v>0.2965277777777777</v>
      </c>
      <c r="N12" s="224">
        <v>5.0</v>
      </c>
      <c r="O12" s="223">
        <v>0.29999999999999993</v>
      </c>
      <c r="P12" s="223">
        <v>0.3041666666666666</v>
      </c>
      <c r="Q12" s="224">
        <v>2.0</v>
      </c>
      <c r="R12" s="223">
        <v>0.30555555555555547</v>
      </c>
      <c r="S12" s="223">
        <v>0.311111111111111</v>
      </c>
      <c r="T12" s="223">
        <v>0.32083333333333325</v>
      </c>
      <c r="U12" s="224">
        <v>2.0</v>
      </c>
      <c r="V12" s="223">
        <v>0.32222222222222213</v>
      </c>
      <c r="W12" s="223">
        <v>0.32916666666666655</v>
      </c>
      <c r="X12" s="223">
        <v>0.33819444444444435</v>
      </c>
      <c r="Y12" s="224">
        <v>2.0</v>
      </c>
      <c r="Z12" s="223">
        <v>0.33958333333333324</v>
      </c>
      <c r="AA12" s="223">
        <v>0.3437499999999999</v>
      </c>
      <c r="AB12" s="224">
        <v>5.0</v>
      </c>
      <c r="AC12" s="223">
        <v>0.3472222222222221</v>
      </c>
      <c r="AD12" s="223">
        <v>0.3562499999999999</v>
      </c>
      <c r="AE12" s="224">
        <v>15.0</v>
      </c>
      <c r="AF12" s="223">
        <v>0.3666666666666666</v>
      </c>
      <c r="AG12" s="103">
        <f t="shared" si="1"/>
        <v>114</v>
      </c>
      <c r="AH12" s="103">
        <f t="shared" si="17"/>
        <v>151</v>
      </c>
      <c r="AI12" s="103">
        <f t="shared" si="3"/>
        <v>37</v>
      </c>
      <c r="AJ12" s="104">
        <f t="shared" si="4"/>
        <v>0.3245614035</v>
      </c>
      <c r="AK12" s="142">
        <f t="shared" si="5"/>
        <v>30</v>
      </c>
      <c r="AL12" s="217">
        <v>150.0</v>
      </c>
      <c r="AN12" s="150" t="s">
        <v>95</v>
      </c>
      <c r="BE12" s="228">
        <f t="shared" si="7"/>
        <v>0.3590277778</v>
      </c>
      <c r="BG12" s="228">
        <f t="shared" si="8"/>
        <v>0.3625</v>
      </c>
      <c r="BH12" s="228" t="str">
        <f t="shared" si="9"/>
        <v>#REF!</v>
      </c>
      <c r="BJ12" s="228" t="str">
        <f t="shared" si="10"/>
        <v>#REF!</v>
      </c>
      <c r="BL12" s="203" t="str">
        <f t="shared" si="11"/>
        <v>#REF!</v>
      </c>
      <c r="BN12" s="228"/>
      <c r="BP12" s="228">
        <f t="shared" si="12"/>
        <v>0.3229166667</v>
      </c>
      <c r="BR12" s="228">
        <f t="shared" si="13"/>
        <v>0.3263888889</v>
      </c>
      <c r="BS12" s="228" t="str">
        <f t="shared" si="14"/>
        <v>#REF!</v>
      </c>
      <c r="BU12" s="228" t="str">
        <f t="shared" si="15"/>
        <v>#REF!</v>
      </c>
      <c r="BW12" s="203" t="str">
        <f t="shared" si="16"/>
        <v>#REF!</v>
      </c>
    </row>
    <row r="13" ht="13.5" customHeight="1">
      <c r="A13" s="127"/>
      <c r="B13" s="141" t="s">
        <v>89</v>
      </c>
      <c r="C13" s="223">
        <v>0.28263888888888894</v>
      </c>
      <c r="D13" s="223">
        <v>0.2923611111111112</v>
      </c>
      <c r="E13" s="224">
        <v>4.0</v>
      </c>
      <c r="F13" s="223">
        <v>0.29513888888888895</v>
      </c>
      <c r="G13" s="223">
        <v>0.3006944444444445</v>
      </c>
      <c r="H13" s="223"/>
      <c r="I13" s="223">
        <v>0.3076388888888889</v>
      </c>
      <c r="J13" s="224">
        <v>2.0</v>
      </c>
      <c r="K13" s="223">
        <v>0.3090277777777778</v>
      </c>
      <c r="L13" s="223">
        <v>0.3111111111111111</v>
      </c>
      <c r="M13" s="223">
        <v>0.3173611111111111</v>
      </c>
      <c r="N13" s="224">
        <v>5.0</v>
      </c>
      <c r="O13" s="223">
        <v>0.3208333333333333</v>
      </c>
      <c r="P13" s="223">
        <v>0.32499999999999996</v>
      </c>
      <c r="Q13" s="224">
        <v>2.0</v>
      </c>
      <c r="R13" s="223">
        <v>0.32638888888888884</v>
      </c>
      <c r="S13" s="223">
        <v>0.3319444444444444</v>
      </c>
      <c r="T13" s="223">
        <v>0.3416666666666666</v>
      </c>
      <c r="U13" s="224">
        <v>2.0</v>
      </c>
      <c r="V13" s="223">
        <v>0.3430555555555555</v>
      </c>
      <c r="W13" s="223">
        <v>0.3499999999999999</v>
      </c>
      <c r="X13" s="223">
        <v>0.3590277777777777</v>
      </c>
      <c r="Y13" s="224">
        <v>2.0</v>
      </c>
      <c r="Z13" s="223">
        <v>0.3604166666666666</v>
      </c>
      <c r="AA13" s="223">
        <v>0.36458333333333326</v>
      </c>
      <c r="AB13" s="224">
        <v>5.0</v>
      </c>
      <c r="AC13" s="223">
        <v>0.36805555555555547</v>
      </c>
      <c r="AD13" s="223">
        <v>0.37708333333333327</v>
      </c>
      <c r="AE13" s="224">
        <v>15.0</v>
      </c>
      <c r="AF13" s="223">
        <v>0.38749999999999996</v>
      </c>
      <c r="AG13" s="103">
        <f t="shared" si="1"/>
        <v>114</v>
      </c>
      <c r="AH13" s="103">
        <f t="shared" si="17"/>
        <v>151</v>
      </c>
      <c r="AI13" s="103">
        <f t="shared" si="3"/>
        <v>37</v>
      </c>
      <c r="AJ13" s="104">
        <f t="shared" si="4"/>
        <v>0.3245614035</v>
      </c>
      <c r="AK13" s="142">
        <f t="shared" si="5"/>
        <v>30</v>
      </c>
      <c r="AL13" s="217">
        <v>150.0</v>
      </c>
      <c r="BE13" s="228">
        <f t="shared" si="7"/>
        <v>0.3798611111</v>
      </c>
      <c r="BG13" s="228">
        <f t="shared" si="8"/>
        <v>0.3833333333</v>
      </c>
      <c r="BH13" s="228" t="str">
        <f t="shared" si="9"/>
        <v>#REF!</v>
      </c>
      <c r="BJ13" s="228" t="str">
        <f t="shared" si="10"/>
        <v>#REF!</v>
      </c>
      <c r="BL13" s="203" t="str">
        <f t="shared" si="11"/>
        <v>#REF!</v>
      </c>
      <c r="BN13" s="228"/>
      <c r="BP13" s="228">
        <f t="shared" si="12"/>
        <v>0.34375</v>
      </c>
      <c r="BR13" s="228">
        <f t="shared" si="13"/>
        <v>0.3472222222</v>
      </c>
      <c r="BS13" s="228" t="str">
        <f t="shared" si="14"/>
        <v>#REF!</v>
      </c>
      <c r="BU13" s="228" t="str">
        <f t="shared" si="15"/>
        <v>#REF!</v>
      </c>
      <c r="BW13" s="203" t="str">
        <f t="shared" si="16"/>
        <v>#REF!</v>
      </c>
    </row>
    <row r="14" ht="13.5" customHeight="1">
      <c r="A14" s="127"/>
      <c r="B14" s="141" t="s">
        <v>77</v>
      </c>
      <c r="C14" s="223">
        <v>0.3041666666666667</v>
      </c>
      <c r="D14" s="223">
        <v>0.31388888888888894</v>
      </c>
      <c r="E14" s="224">
        <v>1.0</v>
      </c>
      <c r="F14" s="223">
        <v>0.3145833333333334</v>
      </c>
      <c r="G14" s="223">
        <v>0.3201388888888889</v>
      </c>
      <c r="H14" s="223">
        <v>0.3236111111111111</v>
      </c>
      <c r="I14" s="223">
        <v>0.3263888888888889</v>
      </c>
      <c r="J14" s="224">
        <v>5.0</v>
      </c>
      <c r="K14" s="223">
        <v>0.3298611111111111</v>
      </c>
      <c r="L14" s="223">
        <v>0.33194444444444443</v>
      </c>
      <c r="M14" s="223">
        <v>0.3381944444444444</v>
      </c>
      <c r="N14" s="224">
        <v>5.0</v>
      </c>
      <c r="O14" s="223">
        <v>0.3416666666666666</v>
      </c>
      <c r="P14" s="223">
        <v>0.3465277777777777</v>
      </c>
      <c r="Q14" s="224">
        <v>2.0</v>
      </c>
      <c r="R14" s="223">
        <v>0.3479166666666666</v>
      </c>
      <c r="S14" s="223">
        <v>0.3541666666666666</v>
      </c>
      <c r="T14" s="223">
        <v>0.3638888888888888</v>
      </c>
      <c r="U14" s="224">
        <v>1.0</v>
      </c>
      <c r="V14" s="223">
        <v>0.36458333333333326</v>
      </c>
      <c r="W14" s="223">
        <v>0.3715277777777777</v>
      </c>
      <c r="X14" s="223">
        <v>0.3812499999999999</v>
      </c>
      <c r="Y14" s="224">
        <v>0.0</v>
      </c>
      <c r="Z14" s="223">
        <v>0.3812499999999999</v>
      </c>
      <c r="AA14" s="223">
        <v>0.3854166666666666</v>
      </c>
      <c r="AB14" s="224">
        <v>5.0</v>
      </c>
      <c r="AC14" s="223">
        <v>0.3888888888888888</v>
      </c>
      <c r="AD14" s="223">
        <v>0.3979166666666666</v>
      </c>
      <c r="AE14" s="224">
        <v>15.0</v>
      </c>
      <c r="AF14" s="223">
        <v>0.40833333333333327</v>
      </c>
      <c r="AG14" s="103">
        <f t="shared" si="1"/>
        <v>116</v>
      </c>
      <c r="AH14" s="103">
        <f t="shared" si="17"/>
        <v>150</v>
      </c>
      <c r="AI14" s="103">
        <f t="shared" si="3"/>
        <v>34</v>
      </c>
      <c r="AJ14" s="104">
        <f t="shared" si="4"/>
        <v>0.2931034483</v>
      </c>
      <c r="AK14" s="142">
        <f t="shared" si="5"/>
        <v>30</v>
      </c>
      <c r="AL14" s="217">
        <v>150.0</v>
      </c>
      <c r="BE14" s="228">
        <f t="shared" si="7"/>
        <v>0.4006944444</v>
      </c>
      <c r="BG14" s="228">
        <f t="shared" si="8"/>
        <v>0.4041666667</v>
      </c>
      <c r="BH14" s="228" t="str">
        <f t="shared" si="9"/>
        <v>#REF!</v>
      </c>
      <c r="BJ14" s="228" t="str">
        <f t="shared" si="10"/>
        <v>#REF!</v>
      </c>
      <c r="BL14" s="203" t="str">
        <f t="shared" si="11"/>
        <v>#REF!</v>
      </c>
      <c r="BN14" s="228"/>
      <c r="BP14" s="228">
        <f t="shared" si="12"/>
        <v>0.3645833333</v>
      </c>
      <c r="BR14" s="228">
        <f t="shared" si="13"/>
        <v>0.3680555556</v>
      </c>
      <c r="BS14" s="228" t="str">
        <f t="shared" si="14"/>
        <v>#REF!</v>
      </c>
      <c r="BU14" s="228" t="str">
        <f t="shared" si="15"/>
        <v>#REF!</v>
      </c>
      <c r="BW14" s="203" t="str">
        <f t="shared" si="16"/>
        <v>#REF!</v>
      </c>
    </row>
    <row r="15" ht="13.5" customHeight="1">
      <c r="A15" s="127"/>
      <c r="B15" s="141" t="str">
        <f t="shared" ref="B15:B19" si="18">'[4]100 Full'!A23</f>
        <v>#REF!</v>
      </c>
      <c r="C15" s="223">
        <v>0.3249999999999999</v>
      </c>
      <c r="D15" s="223">
        <v>0.33472222222222214</v>
      </c>
      <c r="E15" s="224">
        <v>4.0</v>
      </c>
      <c r="F15" s="223">
        <v>0.3374999999999999</v>
      </c>
      <c r="G15" s="223">
        <v>0.34305555555555545</v>
      </c>
      <c r="H15" s="223"/>
      <c r="I15" s="223">
        <v>0.3493055555555554</v>
      </c>
      <c r="J15" s="224">
        <v>2.0</v>
      </c>
      <c r="K15" s="223">
        <v>0.3506944444444443</v>
      </c>
      <c r="L15" s="223">
        <v>0.35277777777777763</v>
      </c>
      <c r="M15" s="223">
        <v>0.3590277777777776</v>
      </c>
      <c r="N15" s="224">
        <v>5.0</v>
      </c>
      <c r="O15" s="223">
        <v>0.3624999999999998</v>
      </c>
      <c r="P15" s="223">
        <v>0.3673611111111109</v>
      </c>
      <c r="Q15" s="224">
        <v>2.0</v>
      </c>
      <c r="R15" s="223">
        <v>0.3687499999999998</v>
      </c>
      <c r="S15" s="223">
        <v>0.3749999999999998</v>
      </c>
      <c r="T15" s="223">
        <v>0.384722222222222</v>
      </c>
      <c r="U15" s="224">
        <v>1.0</v>
      </c>
      <c r="V15" s="223">
        <v>0.38541666666666646</v>
      </c>
      <c r="W15" s="223">
        <v>0.3923611111111109</v>
      </c>
      <c r="X15" s="223">
        <v>0.4020833333333331</v>
      </c>
      <c r="Y15" s="224">
        <v>0.0</v>
      </c>
      <c r="Z15" s="223">
        <v>0.4020833333333331</v>
      </c>
      <c r="AA15" s="223">
        <v>0.4062499999999998</v>
      </c>
      <c r="AB15" s="224">
        <v>5.0</v>
      </c>
      <c r="AC15" s="223">
        <v>0.409722222222222</v>
      </c>
      <c r="AD15" s="223">
        <v>0.4187499999999998</v>
      </c>
      <c r="AE15" s="224">
        <v>12.0</v>
      </c>
      <c r="AF15" s="223">
        <v>0.42708333333333315</v>
      </c>
      <c r="AG15" s="103">
        <f t="shared" si="1"/>
        <v>116</v>
      </c>
      <c r="AH15" s="103">
        <f t="shared" si="17"/>
        <v>147</v>
      </c>
      <c r="AI15" s="103">
        <f t="shared" si="3"/>
        <v>31</v>
      </c>
      <c r="AJ15" s="104">
        <f t="shared" si="4"/>
        <v>0.2672413793</v>
      </c>
      <c r="AK15" s="142">
        <f t="shared" si="5"/>
        <v>27</v>
      </c>
      <c r="AL15" s="217">
        <v>150.0</v>
      </c>
      <c r="BE15" s="228">
        <f t="shared" si="7"/>
        <v>0.4215277778</v>
      </c>
      <c r="BG15" s="228">
        <f t="shared" si="8"/>
        <v>0.425</v>
      </c>
      <c r="BH15" s="228" t="str">
        <f t="shared" si="9"/>
        <v>#REF!</v>
      </c>
      <c r="BJ15" s="228" t="str">
        <f t="shared" si="10"/>
        <v>#REF!</v>
      </c>
      <c r="BL15" s="203" t="str">
        <f t="shared" si="11"/>
        <v>#REF!</v>
      </c>
      <c r="BN15" s="228"/>
      <c r="BP15" s="228">
        <f t="shared" si="12"/>
        <v>0.3854166667</v>
      </c>
      <c r="BR15" s="228">
        <f t="shared" si="13"/>
        <v>0.3888888889</v>
      </c>
      <c r="BS15" s="228" t="str">
        <f t="shared" si="14"/>
        <v>#REF!</v>
      </c>
      <c r="BU15" s="228" t="str">
        <f t="shared" si="15"/>
        <v>#REF!</v>
      </c>
      <c r="BW15" s="203" t="str">
        <f t="shared" si="16"/>
        <v>#REF!</v>
      </c>
    </row>
    <row r="16" ht="13.5" customHeight="1">
      <c r="A16" s="127"/>
      <c r="B16" s="141" t="str">
        <f t="shared" si="18"/>
        <v>#REF!</v>
      </c>
      <c r="C16" s="223">
        <v>0.3458333333333332</v>
      </c>
      <c r="D16" s="223">
        <v>0.35555555555555546</v>
      </c>
      <c r="E16" s="224">
        <v>4.0</v>
      </c>
      <c r="F16" s="223">
        <v>0.3583333333333332</v>
      </c>
      <c r="G16" s="223">
        <v>0.36388888888888876</v>
      </c>
      <c r="H16" s="223"/>
      <c r="I16" s="223">
        <v>0.37013888888888874</v>
      </c>
      <c r="J16" s="224">
        <v>2.0</v>
      </c>
      <c r="K16" s="223">
        <v>0.3715277777777776</v>
      </c>
      <c r="L16" s="223">
        <v>0.37361111111111095</v>
      </c>
      <c r="M16" s="223">
        <v>0.3798611111111109</v>
      </c>
      <c r="N16" s="224">
        <v>5.0</v>
      </c>
      <c r="O16" s="223">
        <v>0.38333333333333314</v>
      </c>
      <c r="P16" s="223">
        <v>0.38819444444444423</v>
      </c>
      <c r="Q16" s="224">
        <v>2.0</v>
      </c>
      <c r="R16" s="223">
        <v>0.3895833333333331</v>
      </c>
      <c r="S16" s="223">
        <v>0.3958333333333331</v>
      </c>
      <c r="T16" s="223">
        <v>0.40555555555555534</v>
      </c>
      <c r="U16" s="224">
        <v>1.0</v>
      </c>
      <c r="V16" s="223">
        <v>0.4062499999999998</v>
      </c>
      <c r="W16" s="223">
        <v>0.4131944444444442</v>
      </c>
      <c r="X16" s="223">
        <v>0.42291666666666644</v>
      </c>
      <c r="Y16" s="224">
        <v>2.0</v>
      </c>
      <c r="Z16" s="223">
        <v>0.4243055555555553</v>
      </c>
      <c r="AA16" s="223">
        <v>0.428472222222222</v>
      </c>
      <c r="AB16" s="224">
        <v>5.0</v>
      </c>
      <c r="AC16" s="223">
        <v>0.4319444444444442</v>
      </c>
      <c r="AD16" s="223">
        <v>0.440972222222222</v>
      </c>
      <c r="AE16" s="224">
        <v>10.0</v>
      </c>
      <c r="AF16" s="223">
        <v>0.4479166666666664</v>
      </c>
      <c r="AG16" s="103">
        <f t="shared" si="1"/>
        <v>116</v>
      </c>
      <c r="AH16" s="103">
        <f t="shared" si="17"/>
        <v>147</v>
      </c>
      <c r="AI16" s="103">
        <f t="shared" si="3"/>
        <v>31</v>
      </c>
      <c r="AJ16" s="104">
        <f t="shared" si="4"/>
        <v>0.2672413793</v>
      </c>
      <c r="AK16" s="142">
        <f t="shared" si="5"/>
        <v>30</v>
      </c>
      <c r="AL16" s="217">
        <v>150.0</v>
      </c>
      <c r="BE16" s="228">
        <f t="shared" si="7"/>
        <v>0.4423611111</v>
      </c>
      <c r="BG16" s="228">
        <f t="shared" si="8"/>
        <v>0.4458333333</v>
      </c>
      <c r="BH16" s="228" t="str">
        <f t="shared" si="9"/>
        <v>#REF!</v>
      </c>
      <c r="BJ16" s="228" t="str">
        <f t="shared" si="10"/>
        <v>#REF!</v>
      </c>
      <c r="BL16" s="203" t="str">
        <f t="shared" si="11"/>
        <v>#REF!</v>
      </c>
      <c r="BN16" s="228"/>
      <c r="BP16" s="228">
        <f t="shared" si="12"/>
        <v>0.40625</v>
      </c>
      <c r="BR16" s="228">
        <f t="shared" si="13"/>
        <v>0.4097222222</v>
      </c>
      <c r="BS16" s="228" t="str">
        <f t="shared" si="14"/>
        <v>#REF!</v>
      </c>
      <c r="BU16" s="228" t="str">
        <f t="shared" si="15"/>
        <v>#REF!</v>
      </c>
      <c r="BW16" s="203" t="str">
        <f t="shared" si="16"/>
        <v>#REF!</v>
      </c>
    </row>
    <row r="17" ht="13.5" customHeight="1">
      <c r="A17" s="127"/>
      <c r="B17" s="141" t="str">
        <f t="shared" si="18"/>
        <v>#REF!</v>
      </c>
      <c r="C17" s="223">
        <v>0.3666666666666666</v>
      </c>
      <c r="D17" s="223">
        <v>0.37638888888888883</v>
      </c>
      <c r="E17" s="224">
        <v>4.0</v>
      </c>
      <c r="F17" s="223">
        <v>0.3791666666666666</v>
      </c>
      <c r="G17" s="223">
        <v>0.38472222222222213</v>
      </c>
      <c r="H17" s="223"/>
      <c r="I17" s="223">
        <v>0.3909722222222221</v>
      </c>
      <c r="J17" s="224">
        <v>2.0</v>
      </c>
      <c r="K17" s="223">
        <v>0.392361111111111</v>
      </c>
      <c r="L17" s="223">
        <v>0.3944444444444443</v>
      </c>
      <c r="M17" s="223">
        <v>0.4006944444444443</v>
      </c>
      <c r="N17" s="224">
        <v>5.0</v>
      </c>
      <c r="O17" s="223">
        <v>0.4041666666666665</v>
      </c>
      <c r="P17" s="223">
        <v>0.4090277777777776</v>
      </c>
      <c r="Q17" s="224">
        <v>2.0</v>
      </c>
      <c r="R17" s="223">
        <v>0.4104166666666665</v>
      </c>
      <c r="S17" s="223">
        <v>0.41666666666666646</v>
      </c>
      <c r="T17" s="223">
        <v>0.4263888888888887</v>
      </c>
      <c r="U17" s="224">
        <v>1.0</v>
      </c>
      <c r="V17" s="223">
        <v>0.42708333333333315</v>
      </c>
      <c r="W17" s="223">
        <v>0.43402777777777757</v>
      </c>
      <c r="X17" s="223">
        <v>0.4437499999999998</v>
      </c>
      <c r="Y17" s="224">
        <v>2.0</v>
      </c>
      <c r="Z17" s="223">
        <v>0.4451388888888887</v>
      </c>
      <c r="AA17" s="223">
        <v>0.44930555555555535</v>
      </c>
      <c r="AB17" s="224">
        <v>5.0</v>
      </c>
      <c r="AC17" s="226">
        <v>0.45277777777777756</v>
      </c>
      <c r="AD17" s="223">
        <v>0.46180555555555536</v>
      </c>
      <c r="AE17" s="224">
        <v>10.0</v>
      </c>
      <c r="AF17" s="223">
        <v>0.4687499999999998</v>
      </c>
      <c r="AG17" s="103">
        <f t="shared" si="1"/>
        <v>116</v>
      </c>
      <c r="AH17" s="103">
        <f t="shared" si="17"/>
        <v>147</v>
      </c>
      <c r="AI17" s="103">
        <f t="shared" si="3"/>
        <v>31</v>
      </c>
      <c r="AJ17" s="104">
        <f t="shared" si="4"/>
        <v>0.2672413793</v>
      </c>
      <c r="AK17" s="142">
        <f t="shared" si="5"/>
        <v>30</v>
      </c>
      <c r="AL17" s="217">
        <v>150.0</v>
      </c>
      <c r="BE17" s="228">
        <f t="shared" si="7"/>
        <v>0.4631944444</v>
      </c>
      <c r="BG17" s="228">
        <f t="shared" si="8"/>
        <v>0.4666666667</v>
      </c>
      <c r="BH17" s="228" t="str">
        <f t="shared" si="9"/>
        <v>#REF!</v>
      </c>
      <c r="BJ17" s="228" t="str">
        <f t="shared" si="10"/>
        <v>#REF!</v>
      </c>
      <c r="BL17" s="203" t="str">
        <f t="shared" si="11"/>
        <v>#REF!</v>
      </c>
      <c r="BN17" s="228"/>
      <c r="BP17" s="228">
        <f t="shared" si="12"/>
        <v>0.4284722222</v>
      </c>
      <c r="BR17" s="228">
        <f t="shared" si="13"/>
        <v>0.4319444444</v>
      </c>
      <c r="BS17" s="228" t="str">
        <f t="shared" si="14"/>
        <v>#REF!</v>
      </c>
      <c r="BU17" s="228" t="str">
        <f t="shared" si="15"/>
        <v>#REF!</v>
      </c>
      <c r="BW17" s="203" t="str">
        <f t="shared" si="16"/>
        <v>#REF!</v>
      </c>
    </row>
    <row r="18" ht="13.5" customHeight="1">
      <c r="A18" s="127"/>
      <c r="B18" s="141" t="str">
        <f t="shared" si="18"/>
        <v>#REF!</v>
      </c>
      <c r="C18" s="223">
        <v>0.38749999999999996</v>
      </c>
      <c r="D18" s="223">
        <v>0.3972222222222222</v>
      </c>
      <c r="E18" s="224">
        <v>4.0</v>
      </c>
      <c r="F18" s="223">
        <v>0.39999999999999997</v>
      </c>
      <c r="G18" s="223">
        <v>0.4055555555555555</v>
      </c>
      <c r="H18" s="223"/>
      <c r="I18" s="223">
        <v>0.4118055555555555</v>
      </c>
      <c r="J18" s="224">
        <v>2.0</v>
      </c>
      <c r="K18" s="223">
        <v>0.41319444444444436</v>
      </c>
      <c r="L18" s="223">
        <v>0.4152777777777777</v>
      </c>
      <c r="M18" s="223">
        <v>0.42152777777777767</v>
      </c>
      <c r="N18" s="224">
        <v>5.0</v>
      </c>
      <c r="O18" s="223">
        <v>0.4249999999999999</v>
      </c>
      <c r="P18" s="223">
        <v>0.42986111111111097</v>
      </c>
      <c r="Q18" s="224">
        <v>2.0</v>
      </c>
      <c r="R18" s="223">
        <v>0.43124999999999986</v>
      </c>
      <c r="S18" s="223">
        <v>0.43749999999999983</v>
      </c>
      <c r="T18" s="223">
        <v>0.4472222222222221</v>
      </c>
      <c r="U18" s="224">
        <v>1.0</v>
      </c>
      <c r="V18" s="223">
        <v>0.4479166666666665</v>
      </c>
      <c r="W18" s="223">
        <v>0.45486111111111094</v>
      </c>
      <c r="X18" s="223">
        <v>0.4645833333333332</v>
      </c>
      <c r="Y18" s="224">
        <v>2.0</v>
      </c>
      <c r="Z18" s="223">
        <v>0.46597222222222207</v>
      </c>
      <c r="AA18" s="223">
        <v>0.4701388888888887</v>
      </c>
      <c r="AB18" s="224">
        <v>5.0</v>
      </c>
      <c r="AC18" s="223">
        <v>0.4736111111111109</v>
      </c>
      <c r="AD18" s="223">
        <v>0.48263888888888873</v>
      </c>
      <c r="AE18" s="224">
        <v>10.0</v>
      </c>
      <c r="AF18" s="223">
        <v>0.48958333333333315</v>
      </c>
      <c r="AG18" s="103">
        <f t="shared" si="1"/>
        <v>116</v>
      </c>
      <c r="AH18" s="103">
        <f t="shared" si="17"/>
        <v>147</v>
      </c>
      <c r="AI18" s="103">
        <f t="shared" si="3"/>
        <v>31</v>
      </c>
      <c r="AJ18" s="104">
        <f t="shared" si="4"/>
        <v>0.2672413793</v>
      </c>
      <c r="AK18" s="142">
        <f t="shared" si="5"/>
        <v>30</v>
      </c>
      <c r="AL18" s="217">
        <v>150.0</v>
      </c>
      <c r="BE18" s="228">
        <f t="shared" si="7"/>
        <v>0.4840277778</v>
      </c>
      <c r="BG18" s="228">
        <f t="shared" si="8"/>
        <v>0.4875</v>
      </c>
      <c r="BH18" s="228" t="str">
        <f t="shared" si="9"/>
        <v>#REF!</v>
      </c>
      <c r="BJ18" s="228" t="str">
        <f t="shared" si="10"/>
        <v>#REF!</v>
      </c>
      <c r="BL18" s="203" t="str">
        <f t="shared" si="11"/>
        <v>#REF!</v>
      </c>
      <c r="BN18" s="228"/>
      <c r="BP18" s="228">
        <f t="shared" si="12"/>
        <v>0.4493055556</v>
      </c>
      <c r="BR18" s="228">
        <f t="shared" si="13"/>
        <v>0.4527777778</v>
      </c>
      <c r="BS18" s="228" t="str">
        <f t="shared" si="14"/>
        <v>#REF!</v>
      </c>
      <c r="BU18" s="228" t="str">
        <f t="shared" si="15"/>
        <v>#REF!</v>
      </c>
      <c r="BW18" s="203" t="str">
        <f t="shared" si="16"/>
        <v>#REF!</v>
      </c>
    </row>
    <row r="19" ht="13.5" customHeight="1">
      <c r="A19" s="127"/>
      <c r="B19" s="141" t="str">
        <f t="shared" si="18"/>
        <v>#REF!</v>
      </c>
      <c r="C19" s="223">
        <v>0.40833333333333327</v>
      </c>
      <c r="D19" s="223">
        <v>0.4180555555555555</v>
      </c>
      <c r="E19" s="224">
        <v>4.0</v>
      </c>
      <c r="F19" s="223">
        <v>0.4208333333333333</v>
      </c>
      <c r="G19" s="223">
        <v>0.4263888888888888</v>
      </c>
      <c r="H19" s="223"/>
      <c r="I19" s="223">
        <v>0.4326388888888888</v>
      </c>
      <c r="J19" s="224">
        <v>2.0</v>
      </c>
      <c r="K19" s="223">
        <v>0.4340277777777777</v>
      </c>
      <c r="L19" s="223">
        <v>0.436111111111111</v>
      </c>
      <c r="M19" s="223">
        <v>0.442361111111111</v>
      </c>
      <c r="N19" s="224">
        <v>5.0</v>
      </c>
      <c r="O19" s="223">
        <v>0.4458333333333332</v>
      </c>
      <c r="P19" s="223">
        <v>0.4506944444444443</v>
      </c>
      <c r="Q19" s="224">
        <v>2.0</v>
      </c>
      <c r="R19" s="223">
        <v>0.45208333333333317</v>
      </c>
      <c r="S19" s="223">
        <v>0.45833333333333315</v>
      </c>
      <c r="T19" s="223">
        <v>0.4680555555555554</v>
      </c>
      <c r="U19" s="224">
        <v>1.0</v>
      </c>
      <c r="V19" s="223">
        <v>0.46874999999999983</v>
      </c>
      <c r="W19" s="223">
        <v>0.47569444444444425</v>
      </c>
      <c r="X19" s="223">
        <v>0.4854166666666665</v>
      </c>
      <c r="Y19" s="224">
        <v>2.0</v>
      </c>
      <c r="Z19" s="223">
        <v>0.4868055555555554</v>
      </c>
      <c r="AA19" s="223">
        <v>0.49097222222222203</v>
      </c>
      <c r="AB19" s="224">
        <v>5.0</v>
      </c>
      <c r="AC19" s="223">
        <v>0.49444444444444424</v>
      </c>
      <c r="AD19" s="223">
        <v>0.503472222222222</v>
      </c>
      <c r="AE19" s="224">
        <v>10.0</v>
      </c>
      <c r="AF19" s="223">
        <v>0.5104166666666664</v>
      </c>
      <c r="AG19" s="103">
        <f t="shared" si="1"/>
        <v>116</v>
      </c>
      <c r="AH19" s="103">
        <f t="shared" si="17"/>
        <v>147</v>
      </c>
      <c r="AI19" s="103">
        <f t="shared" si="3"/>
        <v>31</v>
      </c>
      <c r="AJ19" s="104">
        <f t="shared" si="4"/>
        <v>0.2672413793</v>
      </c>
      <c r="AK19" s="142">
        <f t="shared" si="5"/>
        <v>30</v>
      </c>
      <c r="AL19" s="217">
        <v>150.0</v>
      </c>
      <c r="BE19" s="228">
        <f t="shared" si="7"/>
        <v>0.5048611111</v>
      </c>
      <c r="BG19" s="228">
        <f t="shared" si="8"/>
        <v>0.5083333333</v>
      </c>
      <c r="BH19" s="228" t="str">
        <f t="shared" si="9"/>
        <v>#REF!</v>
      </c>
      <c r="BJ19" s="228" t="str">
        <f t="shared" si="10"/>
        <v>#REF!</v>
      </c>
      <c r="BL19" s="203" t="str">
        <f t="shared" si="11"/>
        <v>#REF!</v>
      </c>
      <c r="BN19" s="228"/>
      <c r="BP19" s="228">
        <f t="shared" si="12"/>
        <v>0.4701388889</v>
      </c>
      <c r="BR19" s="228">
        <f t="shared" si="13"/>
        <v>0.4736111111</v>
      </c>
      <c r="BS19" s="228" t="str">
        <f t="shared" si="14"/>
        <v>#REF!</v>
      </c>
      <c r="BU19" s="228" t="str">
        <f t="shared" si="15"/>
        <v>#REF!</v>
      </c>
      <c r="BW19" s="203" t="str">
        <f t="shared" si="16"/>
        <v>#REF!</v>
      </c>
    </row>
    <row r="20" ht="13.5" customHeight="1">
      <c r="A20" s="127"/>
      <c r="B20" s="141" t="s">
        <v>78</v>
      </c>
      <c r="C20" s="223">
        <v>0.42708333333333315</v>
      </c>
      <c r="D20" s="223">
        <v>0.4368055555555554</v>
      </c>
      <c r="E20" s="224">
        <v>4.0</v>
      </c>
      <c r="F20" s="223">
        <v>0.43958333333333316</v>
      </c>
      <c r="G20" s="223">
        <v>0.44583333333333314</v>
      </c>
      <c r="H20" s="223"/>
      <c r="I20" s="223">
        <v>0.4520833333333331</v>
      </c>
      <c r="J20" s="224">
        <v>2.0</v>
      </c>
      <c r="K20" s="223">
        <v>0.453472222222222</v>
      </c>
      <c r="L20" s="223">
        <v>0.45624999999999977</v>
      </c>
      <c r="M20" s="223">
        <v>0.4631944444444442</v>
      </c>
      <c r="N20" s="224">
        <v>5.0</v>
      </c>
      <c r="O20" s="223">
        <v>0.4666666666666664</v>
      </c>
      <c r="P20" s="223">
        <v>0.4715277777777775</v>
      </c>
      <c r="Q20" s="224">
        <v>2.0</v>
      </c>
      <c r="R20" s="223">
        <v>0.4729166666666664</v>
      </c>
      <c r="S20" s="223">
        <v>0.47916666666666635</v>
      </c>
      <c r="T20" s="223">
        <v>0.4888888888888886</v>
      </c>
      <c r="U20" s="224">
        <v>1.0</v>
      </c>
      <c r="V20" s="223">
        <v>0.48958333333333304</v>
      </c>
      <c r="W20" s="223">
        <v>0.4972222222222219</v>
      </c>
      <c r="X20" s="223">
        <v>0.5076388888888885</v>
      </c>
      <c r="Y20" s="224">
        <v>0.0</v>
      </c>
      <c r="Z20" s="223">
        <v>0.5076388888888885</v>
      </c>
      <c r="AA20" s="223">
        <v>0.5124999999999996</v>
      </c>
      <c r="AB20" s="224">
        <v>5.0</v>
      </c>
      <c r="AC20" s="223">
        <v>0.5159722222222218</v>
      </c>
      <c r="AD20" s="223">
        <v>0.525694444444444</v>
      </c>
      <c r="AE20" s="224">
        <v>8.0</v>
      </c>
      <c r="AF20" s="223">
        <v>0.5312499999999996</v>
      </c>
      <c r="AG20" s="103">
        <f t="shared" si="1"/>
        <v>123</v>
      </c>
      <c r="AH20" s="103">
        <f t="shared" si="17"/>
        <v>150</v>
      </c>
      <c r="AI20" s="103">
        <f t="shared" si="3"/>
        <v>27</v>
      </c>
      <c r="AJ20" s="104">
        <f t="shared" si="4"/>
        <v>0.2195121951</v>
      </c>
      <c r="AK20" s="142">
        <f t="shared" si="5"/>
        <v>30</v>
      </c>
      <c r="AL20" s="217">
        <v>150.0</v>
      </c>
      <c r="BE20" s="228">
        <f t="shared" si="7"/>
        <v>0.5256944444</v>
      </c>
      <c r="BG20" s="228">
        <f t="shared" si="8"/>
        <v>0.5291666667</v>
      </c>
      <c r="BH20" s="228" t="str">
        <f t="shared" si="9"/>
        <v>#REF!</v>
      </c>
      <c r="BJ20" s="228" t="str">
        <f t="shared" si="10"/>
        <v>#REF!</v>
      </c>
      <c r="BL20" s="203" t="str">
        <f t="shared" si="11"/>
        <v>#REF!</v>
      </c>
      <c r="BN20" s="228"/>
      <c r="BP20" s="228">
        <f t="shared" si="12"/>
        <v>0.4909722222</v>
      </c>
      <c r="BR20" s="228">
        <f t="shared" si="13"/>
        <v>0.4944444444</v>
      </c>
      <c r="BS20" s="228" t="str">
        <f t="shared" si="14"/>
        <v>#REF!</v>
      </c>
      <c r="BU20" s="228" t="str">
        <f t="shared" si="15"/>
        <v>#REF!</v>
      </c>
      <c r="BW20" s="203" t="str">
        <f t="shared" si="16"/>
        <v>#REF!</v>
      </c>
    </row>
    <row r="21" ht="13.5" customHeight="1">
      <c r="A21" s="127"/>
      <c r="B21" s="141" t="s">
        <v>78</v>
      </c>
      <c r="C21" s="223">
        <v>0.4479166666666664</v>
      </c>
      <c r="D21" s="223">
        <v>0.45763888888888865</v>
      </c>
      <c r="E21" s="224">
        <v>4.0</v>
      </c>
      <c r="F21" s="223">
        <v>0.4604166666666664</v>
      </c>
      <c r="G21" s="223">
        <v>0.4666666666666664</v>
      </c>
      <c r="H21" s="223"/>
      <c r="I21" s="223">
        <v>0.4729166666666664</v>
      </c>
      <c r="J21" s="224">
        <v>2.0</v>
      </c>
      <c r="K21" s="223">
        <v>0.47430555555555526</v>
      </c>
      <c r="L21" s="223">
        <v>0.477083333333333</v>
      </c>
      <c r="M21" s="223">
        <v>0.48402777777777745</v>
      </c>
      <c r="N21" s="224">
        <v>5.0</v>
      </c>
      <c r="O21" s="226">
        <v>0.48749999999999966</v>
      </c>
      <c r="P21" s="223">
        <v>0.49236111111111075</v>
      </c>
      <c r="Q21" s="224">
        <v>2.0</v>
      </c>
      <c r="R21" s="223">
        <v>0.49374999999999963</v>
      </c>
      <c r="S21" s="223">
        <v>0.4999999999999996</v>
      </c>
      <c r="T21" s="223">
        <v>0.5097222222222219</v>
      </c>
      <c r="U21" s="224">
        <v>1.0</v>
      </c>
      <c r="V21" s="223">
        <v>0.5104166666666663</v>
      </c>
      <c r="W21" s="223">
        <v>0.5180555555555552</v>
      </c>
      <c r="X21" s="223">
        <v>0.5284722222222218</v>
      </c>
      <c r="Y21" s="224">
        <v>0.0</v>
      </c>
      <c r="Z21" s="223">
        <v>0.5284722222222218</v>
      </c>
      <c r="AA21" s="223">
        <v>0.5333333333333329</v>
      </c>
      <c r="AB21" s="224">
        <v>5.0</v>
      </c>
      <c r="AC21" s="223">
        <v>0.5368055555555551</v>
      </c>
      <c r="AD21" s="223">
        <v>0.5465277777777773</v>
      </c>
      <c r="AE21" s="224">
        <v>8.0</v>
      </c>
      <c r="AF21" s="223">
        <v>0.5520833333333328</v>
      </c>
      <c r="AG21" s="103">
        <f t="shared" si="1"/>
        <v>123</v>
      </c>
      <c r="AH21" s="103">
        <f t="shared" si="17"/>
        <v>150</v>
      </c>
      <c r="AI21" s="103">
        <f t="shared" si="3"/>
        <v>27</v>
      </c>
      <c r="AJ21" s="104">
        <f t="shared" si="4"/>
        <v>0.2195121951</v>
      </c>
      <c r="AK21" s="142">
        <f t="shared" si="5"/>
        <v>30</v>
      </c>
      <c r="AL21" s="217">
        <v>150.0</v>
      </c>
      <c r="BE21" s="228">
        <f t="shared" si="7"/>
        <v>0.5465277778</v>
      </c>
      <c r="BG21" s="228">
        <f t="shared" si="8"/>
        <v>0.55</v>
      </c>
      <c r="BH21" s="228" t="str">
        <f t="shared" si="9"/>
        <v>#REF!</v>
      </c>
      <c r="BJ21" s="228" t="str">
        <f t="shared" si="10"/>
        <v>#REF!</v>
      </c>
      <c r="BL21" s="203" t="str">
        <f t="shared" si="11"/>
        <v>#REF!</v>
      </c>
      <c r="BN21" s="228"/>
      <c r="BP21" s="228">
        <f t="shared" si="12"/>
        <v>0.5125</v>
      </c>
      <c r="BR21" s="228">
        <f t="shared" si="13"/>
        <v>0.5159722222</v>
      </c>
      <c r="BS21" s="228" t="str">
        <f t="shared" si="14"/>
        <v>#REF!</v>
      </c>
      <c r="BU21" s="228" t="str">
        <f t="shared" si="15"/>
        <v>#REF!</v>
      </c>
      <c r="BW21" s="203" t="str">
        <f t="shared" si="16"/>
        <v>#REF!</v>
      </c>
    </row>
    <row r="22" ht="13.5" customHeight="1">
      <c r="A22" s="127"/>
      <c r="B22" s="141" t="s">
        <v>78</v>
      </c>
      <c r="C22" s="223">
        <v>0.4687499999999998</v>
      </c>
      <c r="D22" s="223">
        <v>0.478472222222222</v>
      </c>
      <c r="E22" s="224">
        <v>4.0</v>
      </c>
      <c r="F22" s="223">
        <v>0.4812499999999998</v>
      </c>
      <c r="G22" s="223">
        <v>0.48749999999999977</v>
      </c>
      <c r="H22" s="223"/>
      <c r="I22" s="223">
        <v>0.49374999999999974</v>
      </c>
      <c r="J22" s="224">
        <v>2.0</v>
      </c>
      <c r="K22" s="223">
        <v>0.49513888888888863</v>
      </c>
      <c r="L22" s="223">
        <v>0.4979166666666664</v>
      </c>
      <c r="M22" s="223">
        <v>0.5048611111111109</v>
      </c>
      <c r="N22" s="224">
        <v>5.0</v>
      </c>
      <c r="O22" s="223">
        <v>0.5083333333333331</v>
      </c>
      <c r="P22" s="223">
        <v>0.5131944444444442</v>
      </c>
      <c r="Q22" s="224">
        <v>2.0</v>
      </c>
      <c r="R22" s="223">
        <v>0.5145833333333331</v>
      </c>
      <c r="S22" s="223">
        <v>0.520833333333333</v>
      </c>
      <c r="T22" s="223">
        <v>0.5305555555555552</v>
      </c>
      <c r="U22" s="224">
        <v>1.0</v>
      </c>
      <c r="V22" s="223">
        <v>0.5312499999999997</v>
      </c>
      <c r="W22" s="223">
        <v>0.5388888888888885</v>
      </c>
      <c r="X22" s="223">
        <v>0.5493055555555552</v>
      </c>
      <c r="Y22" s="224">
        <v>0.0</v>
      </c>
      <c r="Z22" s="223">
        <v>0.5493055555555552</v>
      </c>
      <c r="AA22" s="223">
        <v>0.5541666666666663</v>
      </c>
      <c r="AB22" s="224">
        <v>5.0</v>
      </c>
      <c r="AC22" s="223">
        <v>0.5576388888888885</v>
      </c>
      <c r="AD22" s="223">
        <v>0.5673611111111106</v>
      </c>
      <c r="AE22" s="224">
        <v>8.0</v>
      </c>
      <c r="AF22" s="223">
        <v>0.5729166666666662</v>
      </c>
      <c r="AG22" s="103">
        <f t="shared" si="1"/>
        <v>123</v>
      </c>
      <c r="AH22" s="103">
        <f t="shared" si="17"/>
        <v>150</v>
      </c>
      <c r="AI22" s="103">
        <f t="shared" si="3"/>
        <v>27</v>
      </c>
      <c r="AJ22" s="104">
        <f t="shared" si="4"/>
        <v>0.2195121951</v>
      </c>
      <c r="AK22" s="142">
        <f t="shared" si="5"/>
        <v>30</v>
      </c>
      <c r="AL22" s="217">
        <v>150.0</v>
      </c>
      <c r="BE22" s="228">
        <f t="shared" si="7"/>
        <v>0.5673611111</v>
      </c>
      <c r="BG22" s="228">
        <f t="shared" si="8"/>
        <v>0.5708333333</v>
      </c>
      <c r="BH22" s="228" t="str">
        <f t="shared" si="9"/>
        <v>#REF!</v>
      </c>
      <c r="BJ22" s="228" t="str">
        <f t="shared" si="10"/>
        <v>#REF!</v>
      </c>
      <c r="BL22" s="203" t="str">
        <f t="shared" si="11"/>
        <v>#REF!</v>
      </c>
      <c r="BN22" s="228"/>
      <c r="BP22" s="228">
        <f t="shared" si="12"/>
        <v>0.5333333333</v>
      </c>
      <c r="BR22" s="228">
        <f t="shared" si="13"/>
        <v>0.5368055556</v>
      </c>
      <c r="BS22" s="228" t="str">
        <f t="shared" si="14"/>
        <v>#REF!</v>
      </c>
      <c r="BU22" s="228" t="str">
        <f t="shared" si="15"/>
        <v>#REF!</v>
      </c>
      <c r="BW22" s="203" t="str">
        <f t="shared" si="16"/>
        <v>#REF!</v>
      </c>
    </row>
    <row r="23" ht="13.5" customHeight="1">
      <c r="A23" s="127"/>
      <c r="B23" s="141" t="s">
        <v>78</v>
      </c>
      <c r="C23" s="223">
        <v>0.48958333333333315</v>
      </c>
      <c r="D23" s="223">
        <v>0.4993055555555554</v>
      </c>
      <c r="E23" s="224">
        <v>4.0</v>
      </c>
      <c r="F23" s="223">
        <v>0.5020833333333332</v>
      </c>
      <c r="G23" s="223">
        <v>0.5083333333333332</v>
      </c>
      <c r="H23" s="223"/>
      <c r="I23" s="223">
        <v>0.5145833333333332</v>
      </c>
      <c r="J23" s="224">
        <v>2.0</v>
      </c>
      <c r="K23" s="223">
        <v>0.515972222222222</v>
      </c>
      <c r="L23" s="223">
        <v>0.5187499999999998</v>
      </c>
      <c r="M23" s="223">
        <v>0.5256944444444442</v>
      </c>
      <c r="N23" s="224">
        <v>5.0</v>
      </c>
      <c r="O23" s="223">
        <v>0.5291666666666665</v>
      </c>
      <c r="P23" s="223">
        <v>0.5340277777777775</v>
      </c>
      <c r="Q23" s="224">
        <v>2.0</v>
      </c>
      <c r="R23" s="223">
        <v>0.5354166666666664</v>
      </c>
      <c r="S23" s="223">
        <v>0.5416666666666664</v>
      </c>
      <c r="T23" s="223">
        <v>0.5513888888888886</v>
      </c>
      <c r="U23" s="224">
        <v>1.0</v>
      </c>
      <c r="V23" s="223">
        <v>0.552083333333333</v>
      </c>
      <c r="W23" s="223">
        <v>0.5597222222222219</v>
      </c>
      <c r="X23" s="223">
        <v>0.5701388888888885</v>
      </c>
      <c r="Y23" s="224">
        <v>0.0</v>
      </c>
      <c r="Z23" s="223">
        <v>0.5701388888888885</v>
      </c>
      <c r="AA23" s="223">
        <v>0.5749999999999996</v>
      </c>
      <c r="AB23" s="224">
        <v>5.0</v>
      </c>
      <c r="AC23" s="223">
        <v>0.5784722222222218</v>
      </c>
      <c r="AD23" s="223">
        <v>0.588194444444444</v>
      </c>
      <c r="AE23" s="224">
        <v>8.0</v>
      </c>
      <c r="AF23" s="223">
        <v>0.5937499999999996</v>
      </c>
      <c r="AG23" s="103">
        <f t="shared" si="1"/>
        <v>123</v>
      </c>
      <c r="AH23" s="103">
        <f t="shared" si="17"/>
        <v>150</v>
      </c>
      <c r="AI23" s="103">
        <f t="shared" si="3"/>
        <v>27</v>
      </c>
      <c r="AJ23" s="104">
        <f t="shared" si="4"/>
        <v>0.2195121951</v>
      </c>
      <c r="AK23" s="142">
        <f t="shared" si="5"/>
        <v>30</v>
      </c>
      <c r="AL23" s="217">
        <v>150.0</v>
      </c>
      <c r="BE23" s="228">
        <f t="shared" si="7"/>
        <v>0.5881944444</v>
      </c>
      <c r="BG23" s="228">
        <f t="shared" si="8"/>
        <v>0.5916666667</v>
      </c>
      <c r="BH23" s="228" t="str">
        <f t="shared" si="9"/>
        <v>#REF!</v>
      </c>
      <c r="BJ23" s="228" t="str">
        <f t="shared" si="10"/>
        <v>#REF!</v>
      </c>
      <c r="BL23" s="203" t="str">
        <f t="shared" si="11"/>
        <v>#REF!</v>
      </c>
      <c r="BN23" s="228"/>
      <c r="BP23" s="228">
        <f t="shared" si="12"/>
        <v>0.5541666667</v>
      </c>
      <c r="BR23" s="228">
        <f t="shared" si="13"/>
        <v>0.5576388889</v>
      </c>
      <c r="BS23" s="228" t="str">
        <f t="shared" si="14"/>
        <v>#REF!</v>
      </c>
      <c r="BU23" s="228" t="str">
        <f t="shared" si="15"/>
        <v>#REF!</v>
      </c>
      <c r="BW23" s="203" t="str">
        <f t="shared" si="16"/>
        <v>#REF!</v>
      </c>
    </row>
    <row r="24" ht="13.5" customHeight="1">
      <c r="A24" s="127"/>
      <c r="B24" s="141" t="s">
        <v>78</v>
      </c>
      <c r="C24" s="223">
        <v>0.5104166666666664</v>
      </c>
      <c r="D24" s="223">
        <v>0.5201388888888886</v>
      </c>
      <c r="E24" s="224">
        <v>4.0</v>
      </c>
      <c r="F24" s="223">
        <v>0.5229166666666664</v>
      </c>
      <c r="G24" s="223">
        <v>0.5291666666666663</v>
      </c>
      <c r="H24" s="223"/>
      <c r="I24" s="223">
        <v>0.5354166666666663</v>
      </c>
      <c r="J24" s="224">
        <v>2.0</v>
      </c>
      <c r="K24" s="223">
        <v>0.5368055555555552</v>
      </c>
      <c r="L24" s="223">
        <v>0.539583333333333</v>
      </c>
      <c r="M24" s="223">
        <v>0.5465277777777774</v>
      </c>
      <c r="N24" s="224">
        <v>5.0</v>
      </c>
      <c r="O24" s="223">
        <v>0.5499999999999996</v>
      </c>
      <c r="P24" s="223">
        <v>0.5548611111111107</v>
      </c>
      <c r="Q24" s="224">
        <v>2.0</v>
      </c>
      <c r="R24" s="223">
        <v>0.5562499999999996</v>
      </c>
      <c r="S24" s="223">
        <v>0.5624999999999996</v>
      </c>
      <c r="T24" s="223">
        <v>0.5722222222222217</v>
      </c>
      <c r="U24" s="224">
        <v>1.0</v>
      </c>
      <c r="V24" s="223">
        <v>0.5729166666666662</v>
      </c>
      <c r="W24" s="223">
        <v>0.580555555555555</v>
      </c>
      <c r="X24" s="223">
        <v>0.5909722222222217</v>
      </c>
      <c r="Y24" s="224">
        <v>0.0</v>
      </c>
      <c r="Z24" s="223">
        <v>0.5909722222222217</v>
      </c>
      <c r="AA24" s="223">
        <v>0.5958333333333328</v>
      </c>
      <c r="AB24" s="224">
        <v>5.0</v>
      </c>
      <c r="AC24" s="223">
        <v>0.599305555555555</v>
      </c>
      <c r="AD24" s="223">
        <v>0.6090277777777772</v>
      </c>
      <c r="AE24" s="224">
        <v>8.0</v>
      </c>
      <c r="AF24" s="223">
        <v>0.6145833333333327</v>
      </c>
      <c r="AG24" s="103">
        <f t="shared" si="1"/>
        <v>123</v>
      </c>
      <c r="AH24" s="103">
        <f t="shared" si="17"/>
        <v>150</v>
      </c>
      <c r="AI24" s="103">
        <f t="shared" si="3"/>
        <v>27</v>
      </c>
      <c r="AJ24" s="104">
        <f t="shared" si="4"/>
        <v>0.2195121951</v>
      </c>
      <c r="AK24" s="142">
        <f t="shared" si="5"/>
        <v>30</v>
      </c>
      <c r="AL24" s="217">
        <v>150.0</v>
      </c>
      <c r="BE24" s="228">
        <f t="shared" si="7"/>
        <v>0.6090277778</v>
      </c>
      <c r="BG24" s="228">
        <f t="shared" si="8"/>
        <v>0.6125</v>
      </c>
      <c r="BH24" s="228" t="str">
        <f t="shared" si="9"/>
        <v>#REF!</v>
      </c>
      <c r="BJ24" s="228" t="str">
        <f t="shared" si="10"/>
        <v>#REF!</v>
      </c>
      <c r="BL24" s="203" t="str">
        <f t="shared" si="11"/>
        <v>#REF!</v>
      </c>
      <c r="BN24" s="228"/>
      <c r="BP24" s="228">
        <f t="shared" si="12"/>
        <v>0.575</v>
      </c>
      <c r="BR24" s="228">
        <f t="shared" si="13"/>
        <v>0.5784722222</v>
      </c>
      <c r="BS24" s="228" t="str">
        <f t="shared" si="14"/>
        <v>#REF!</v>
      </c>
      <c r="BU24" s="228" t="str">
        <f t="shared" si="15"/>
        <v>#REF!</v>
      </c>
      <c r="BW24" s="203" t="str">
        <f t="shared" si="16"/>
        <v>#REF!</v>
      </c>
    </row>
    <row r="25" ht="13.5" customHeight="1">
      <c r="A25" s="127"/>
      <c r="B25" s="141" t="s">
        <v>78</v>
      </c>
      <c r="C25" s="223">
        <v>0.5312499999999996</v>
      </c>
      <c r="D25" s="223">
        <v>0.5409722222222217</v>
      </c>
      <c r="E25" s="224">
        <v>4.0</v>
      </c>
      <c r="F25" s="223">
        <v>0.5437499999999995</v>
      </c>
      <c r="G25" s="223">
        <v>0.5499999999999995</v>
      </c>
      <c r="H25" s="223"/>
      <c r="I25" s="223">
        <v>0.5562499999999995</v>
      </c>
      <c r="J25" s="224">
        <v>2.0</v>
      </c>
      <c r="K25" s="223">
        <v>0.5576388888888884</v>
      </c>
      <c r="L25" s="223">
        <v>0.5604166666666661</v>
      </c>
      <c r="M25" s="223">
        <v>0.5673611111111105</v>
      </c>
      <c r="N25" s="224">
        <v>5.0</v>
      </c>
      <c r="O25" s="223">
        <v>0.5708333333333327</v>
      </c>
      <c r="P25" s="223">
        <v>0.5756944444444438</v>
      </c>
      <c r="Q25" s="224">
        <v>2.0</v>
      </c>
      <c r="R25" s="223">
        <v>0.5770833333333327</v>
      </c>
      <c r="S25" s="223">
        <v>0.5833333333333327</v>
      </c>
      <c r="T25" s="223">
        <v>0.5930555555555549</v>
      </c>
      <c r="U25" s="224">
        <v>1.0</v>
      </c>
      <c r="V25" s="223">
        <v>0.5937499999999993</v>
      </c>
      <c r="W25" s="223">
        <v>0.6013888888888882</v>
      </c>
      <c r="X25" s="223">
        <v>0.6118055555555548</v>
      </c>
      <c r="Y25" s="224">
        <v>0.0</v>
      </c>
      <c r="Z25" s="223">
        <v>0.6118055555555548</v>
      </c>
      <c r="AA25" s="223">
        <v>0.6166666666666659</v>
      </c>
      <c r="AB25" s="224">
        <v>5.0</v>
      </c>
      <c r="AC25" s="223">
        <v>0.6201388888888881</v>
      </c>
      <c r="AD25" s="223">
        <v>0.6298611111111103</v>
      </c>
      <c r="AE25" s="224">
        <v>8.0</v>
      </c>
      <c r="AF25" s="223">
        <v>0.6354166666666659</v>
      </c>
      <c r="AG25" s="103">
        <f t="shared" si="1"/>
        <v>123</v>
      </c>
      <c r="AH25" s="103">
        <f t="shared" si="17"/>
        <v>150</v>
      </c>
      <c r="AI25" s="103">
        <f t="shared" si="3"/>
        <v>27</v>
      </c>
      <c r="AJ25" s="104">
        <f t="shared" si="4"/>
        <v>0.2195121951</v>
      </c>
      <c r="AK25" s="142">
        <f t="shared" si="5"/>
        <v>30</v>
      </c>
      <c r="AL25" s="217">
        <v>150.0</v>
      </c>
      <c r="BE25" s="228">
        <f t="shared" si="7"/>
        <v>0.6298611111</v>
      </c>
      <c r="BG25" s="228">
        <f t="shared" si="8"/>
        <v>0.6333333333</v>
      </c>
      <c r="BH25" s="228" t="str">
        <f t="shared" si="9"/>
        <v>#REF!</v>
      </c>
      <c r="BJ25" s="228" t="str">
        <f t="shared" si="10"/>
        <v>#REF!</v>
      </c>
      <c r="BL25" s="203" t="str">
        <f t="shared" si="11"/>
        <v>#REF!</v>
      </c>
      <c r="BN25" s="228"/>
      <c r="BP25" s="228">
        <f t="shared" si="12"/>
        <v>0.5958333333</v>
      </c>
      <c r="BR25" s="228">
        <f t="shared" si="13"/>
        <v>0.5993055556</v>
      </c>
      <c r="BS25" s="228" t="str">
        <f t="shared" si="14"/>
        <v>#REF!</v>
      </c>
      <c r="BU25" s="228" t="str">
        <f t="shared" si="15"/>
        <v>#REF!</v>
      </c>
      <c r="BW25" s="203" t="str">
        <f t="shared" si="16"/>
        <v>#REF!</v>
      </c>
    </row>
    <row r="26" ht="13.5" customHeight="1">
      <c r="A26" s="127"/>
      <c r="B26" s="141" t="s">
        <v>78</v>
      </c>
      <c r="C26" s="223">
        <v>0.5520833333333328</v>
      </c>
      <c r="D26" s="223">
        <v>0.561805555555555</v>
      </c>
      <c r="E26" s="224">
        <v>4.0</v>
      </c>
      <c r="F26" s="223">
        <v>0.5645833333333328</v>
      </c>
      <c r="G26" s="223">
        <v>0.5708333333333327</v>
      </c>
      <c r="H26" s="223"/>
      <c r="I26" s="223">
        <v>0.5770833333333327</v>
      </c>
      <c r="J26" s="224">
        <v>2.0</v>
      </c>
      <c r="K26" s="223">
        <v>0.5784722222222216</v>
      </c>
      <c r="L26" s="223">
        <v>0.5812499999999994</v>
      </c>
      <c r="M26" s="223">
        <v>0.5881944444444438</v>
      </c>
      <c r="N26" s="224">
        <v>5.0</v>
      </c>
      <c r="O26" s="223">
        <v>0.591666666666666</v>
      </c>
      <c r="P26" s="223">
        <v>0.5965277777777771</v>
      </c>
      <c r="Q26" s="224">
        <v>2.0</v>
      </c>
      <c r="R26" s="223">
        <v>0.597916666666666</v>
      </c>
      <c r="S26" s="223">
        <v>0.604166666666666</v>
      </c>
      <c r="T26" s="223">
        <v>0.6138888888888882</v>
      </c>
      <c r="U26" s="224">
        <v>1.0</v>
      </c>
      <c r="V26" s="223">
        <v>0.6145833333333326</v>
      </c>
      <c r="W26" s="223">
        <v>0.6222222222222215</v>
      </c>
      <c r="X26" s="223">
        <v>0.6326388888888881</v>
      </c>
      <c r="Y26" s="224">
        <v>0.0</v>
      </c>
      <c r="Z26" s="223">
        <v>0.6326388888888881</v>
      </c>
      <c r="AA26" s="223">
        <v>0.6374999999999992</v>
      </c>
      <c r="AB26" s="224">
        <v>5.0</v>
      </c>
      <c r="AC26" s="223">
        <v>0.6409722222222214</v>
      </c>
      <c r="AD26" s="223">
        <v>0.6506944444444436</v>
      </c>
      <c r="AE26" s="224">
        <v>8.0</v>
      </c>
      <c r="AF26" s="230">
        <v>0.6562499999999991</v>
      </c>
      <c r="AG26" s="103">
        <f t="shared" si="1"/>
        <v>123</v>
      </c>
      <c r="AH26" s="103">
        <f t="shared" si="17"/>
        <v>150</v>
      </c>
      <c r="AI26" s="103">
        <f t="shared" si="3"/>
        <v>27</v>
      </c>
      <c r="AJ26" s="104">
        <f t="shared" si="4"/>
        <v>0.2195121951</v>
      </c>
      <c r="AK26" s="142">
        <f t="shared" si="5"/>
        <v>30</v>
      </c>
      <c r="AL26" s="217">
        <v>150.0</v>
      </c>
      <c r="BE26" s="228">
        <f t="shared" si="7"/>
        <v>0.6506944444</v>
      </c>
      <c r="BG26" s="228">
        <f t="shared" si="8"/>
        <v>0.6541666667</v>
      </c>
      <c r="BH26" s="228" t="str">
        <f t="shared" si="9"/>
        <v>#REF!</v>
      </c>
      <c r="BJ26" s="228" t="str">
        <f t="shared" si="10"/>
        <v>#REF!</v>
      </c>
      <c r="BL26" s="203" t="str">
        <f t="shared" si="11"/>
        <v>#REF!</v>
      </c>
      <c r="BN26" s="228"/>
      <c r="BP26" s="228">
        <f t="shared" si="12"/>
        <v>0.6166666667</v>
      </c>
      <c r="BR26" s="228">
        <f t="shared" si="13"/>
        <v>0.6201388889</v>
      </c>
      <c r="BS26" s="228" t="str">
        <f t="shared" si="14"/>
        <v>#REF!</v>
      </c>
      <c r="BU26" s="228" t="str">
        <f t="shared" si="15"/>
        <v>#REF!</v>
      </c>
      <c r="BW26" s="203" t="str">
        <f t="shared" si="16"/>
        <v>#REF!</v>
      </c>
    </row>
    <row r="27" ht="13.5" customHeight="1">
      <c r="A27" s="127"/>
      <c r="B27" s="141" t="s">
        <v>78</v>
      </c>
      <c r="C27" s="223">
        <v>0.5729166666666662</v>
      </c>
      <c r="D27" s="223">
        <v>0.5826388888888884</v>
      </c>
      <c r="E27" s="224">
        <v>4.0</v>
      </c>
      <c r="F27" s="223">
        <v>0.5854166666666661</v>
      </c>
      <c r="G27" s="223">
        <v>0.5916666666666661</v>
      </c>
      <c r="H27" s="223"/>
      <c r="I27" s="223">
        <v>0.5979166666666661</v>
      </c>
      <c r="J27" s="224">
        <v>2.0</v>
      </c>
      <c r="K27" s="223">
        <v>0.599305555555555</v>
      </c>
      <c r="L27" s="223">
        <v>0.6020833333333327</v>
      </c>
      <c r="M27" s="223">
        <v>0.6090277777777772</v>
      </c>
      <c r="N27" s="224">
        <v>5.0</v>
      </c>
      <c r="O27" s="223">
        <v>0.6124999999999994</v>
      </c>
      <c r="P27" s="223">
        <v>0.6173611111111105</v>
      </c>
      <c r="Q27" s="224">
        <v>2.0</v>
      </c>
      <c r="R27" s="223">
        <v>0.6187499999999994</v>
      </c>
      <c r="S27" s="223">
        <v>0.6249999999999993</v>
      </c>
      <c r="T27" s="223">
        <v>0.6347222222222215</v>
      </c>
      <c r="U27" s="224">
        <v>1.0</v>
      </c>
      <c r="V27" s="223">
        <v>0.635416666666666</v>
      </c>
      <c r="W27" s="223">
        <v>0.6430555555555548</v>
      </c>
      <c r="X27" s="223">
        <v>0.6534722222222215</v>
      </c>
      <c r="Y27" s="224">
        <v>0.0</v>
      </c>
      <c r="Z27" s="223">
        <v>0.6534722222222215</v>
      </c>
      <c r="AA27" s="223">
        <v>0.6583333333333325</v>
      </c>
      <c r="AB27" s="224">
        <v>5.0</v>
      </c>
      <c r="AC27" s="226">
        <v>0.6618055555555548</v>
      </c>
      <c r="AD27" s="223">
        <v>0.671527777777777</v>
      </c>
      <c r="AE27" s="224">
        <v>8.0</v>
      </c>
      <c r="AF27" s="223">
        <v>0.6770833333333325</v>
      </c>
      <c r="AG27" s="103">
        <f t="shared" si="1"/>
        <v>123</v>
      </c>
      <c r="AH27" s="103">
        <f t="shared" si="17"/>
        <v>150</v>
      </c>
      <c r="AI27" s="103">
        <f t="shared" si="3"/>
        <v>27</v>
      </c>
      <c r="AJ27" s="104">
        <f t="shared" si="4"/>
        <v>0.2195121951</v>
      </c>
      <c r="AK27" s="142">
        <f t="shared" si="5"/>
        <v>30</v>
      </c>
      <c r="AL27" s="217">
        <v>150.0</v>
      </c>
      <c r="BE27" s="228">
        <f t="shared" si="7"/>
        <v>0.6715277778</v>
      </c>
      <c r="BG27" s="228">
        <f t="shared" si="8"/>
        <v>0.675</v>
      </c>
      <c r="BH27" s="228" t="str">
        <f t="shared" si="9"/>
        <v>#REF!</v>
      </c>
      <c r="BJ27" s="228" t="str">
        <f t="shared" si="10"/>
        <v>#REF!</v>
      </c>
      <c r="BL27" s="203" t="str">
        <f t="shared" si="11"/>
        <v>#REF!</v>
      </c>
      <c r="BN27" s="228"/>
      <c r="BP27" s="228">
        <f t="shared" si="12"/>
        <v>0.6375</v>
      </c>
      <c r="BR27" s="228">
        <f t="shared" si="13"/>
        <v>0.6409722222</v>
      </c>
      <c r="BS27" s="228" t="str">
        <f t="shared" si="14"/>
        <v>#REF!</v>
      </c>
      <c r="BU27" s="228" t="str">
        <f t="shared" si="15"/>
        <v>#REF!</v>
      </c>
      <c r="BW27" s="203" t="str">
        <f t="shared" si="16"/>
        <v>#REF!</v>
      </c>
    </row>
    <row r="28" ht="13.5" customHeight="1">
      <c r="A28" s="127"/>
      <c r="B28" s="141" t="s">
        <v>78</v>
      </c>
      <c r="C28" s="223">
        <v>0.5937499999999996</v>
      </c>
      <c r="D28" s="223">
        <v>0.6034722222222217</v>
      </c>
      <c r="E28" s="224">
        <v>4.0</v>
      </c>
      <c r="F28" s="223">
        <v>0.6062499999999995</v>
      </c>
      <c r="G28" s="223">
        <v>0.6124999999999995</v>
      </c>
      <c r="H28" s="223">
        <v>0.6159722222222217</v>
      </c>
      <c r="I28" s="223">
        <v>0.6187499999999995</v>
      </c>
      <c r="J28" s="224">
        <v>2.0</v>
      </c>
      <c r="K28" s="223">
        <v>0.6201388888888884</v>
      </c>
      <c r="L28" s="223">
        <v>0.6229166666666661</v>
      </c>
      <c r="M28" s="223">
        <v>0.6298611111111105</v>
      </c>
      <c r="N28" s="224">
        <v>5.0</v>
      </c>
      <c r="O28" s="223">
        <v>0.6333333333333327</v>
      </c>
      <c r="P28" s="223">
        <v>0.6381944444444438</v>
      </c>
      <c r="Q28" s="224">
        <v>2.0</v>
      </c>
      <c r="R28" s="223">
        <v>0.6395833333333327</v>
      </c>
      <c r="S28" s="223">
        <v>0.6458333333333327</v>
      </c>
      <c r="T28" s="223">
        <v>0.6555555555555549</v>
      </c>
      <c r="U28" s="224">
        <v>1.0</v>
      </c>
      <c r="V28" s="223">
        <v>0.6562499999999993</v>
      </c>
      <c r="W28" s="223">
        <v>0.6638888888888882</v>
      </c>
      <c r="X28" s="223">
        <v>0.6743055555555548</v>
      </c>
      <c r="Y28" s="224">
        <v>0.0</v>
      </c>
      <c r="Z28" s="223">
        <v>0.6743055555555548</v>
      </c>
      <c r="AA28" s="223">
        <v>0.6791666666666659</v>
      </c>
      <c r="AB28" s="224">
        <v>5.0</v>
      </c>
      <c r="AC28" s="223">
        <v>0.6826388888888881</v>
      </c>
      <c r="AD28" s="223">
        <v>0.6923611111111103</v>
      </c>
      <c r="AE28" s="224">
        <v>8.0</v>
      </c>
      <c r="AF28" s="223">
        <v>0.6979166666666659</v>
      </c>
      <c r="AG28" s="103">
        <f t="shared" si="1"/>
        <v>123</v>
      </c>
      <c r="AH28" s="103">
        <f t="shared" si="17"/>
        <v>150</v>
      </c>
      <c r="AI28" s="103">
        <f t="shared" si="3"/>
        <v>27</v>
      </c>
      <c r="AJ28" s="104">
        <f t="shared" si="4"/>
        <v>0.2195121951</v>
      </c>
      <c r="AK28" s="142">
        <f t="shared" si="5"/>
        <v>30</v>
      </c>
      <c r="AL28" s="217">
        <v>150.0</v>
      </c>
      <c r="BE28" s="228">
        <f t="shared" si="7"/>
        <v>0.6923611111</v>
      </c>
      <c r="BG28" s="228">
        <f t="shared" si="8"/>
        <v>0.6958333333</v>
      </c>
      <c r="BH28" s="228" t="str">
        <f t="shared" si="9"/>
        <v>#REF!</v>
      </c>
      <c r="BJ28" s="228" t="str">
        <f t="shared" si="10"/>
        <v>#REF!</v>
      </c>
      <c r="BL28" s="203" t="str">
        <f t="shared" si="11"/>
        <v>#REF!</v>
      </c>
      <c r="BN28" s="228"/>
      <c r="BP28" s="228">
        <f t="shared" si="12"/>
        <v>0.6583333333</v>
      </c>
      <c r="BR28" s="228">
        <f t="shared" si="13"/>
        <v>0.6618055556</v>
      </c>
      <c r="BS28" s="228" t="str">
        <f t="shared" si="14"/>
        <v>#REF!</v>
      </c>
      <c r="BU28" s="228" t="str">
        <f t="shared" si="15"/>
        <v>#REF!</v>
      </c>
      <c r="BW28" s="203" t="str">
        <f t="shared" si="16"/>
        <v>#REF!</v>
      </c>
    </row>
    <row r="29" ht="13.5" customHeight="1">
      <c r="A29" s="127"/>
      <c r="B29" s="141" t="s">
        <v>7</v>
      </c>
      <c r="C29" s="223">
        <v>0.6145833333333327</v>
      </c>
      <c r="D29" s="223">
        <v>0.6243055555555549</v>
      </c>
      <c r="E29" s="224">
        <v>4.0</v>
      </c>
      <c r="F29" s="223">
        <v>0.6270833333333327</v>
      </c>
      <c r="G29" s="223">
        <v>0.6333333333333326</v>
      </c>
      <c r="H29" s="223"/>
      <c r="I29" s="223">
        <v>0.6402777777777771</v>
      </c>
      <c r="J29" s="224">
        <v>1.0</v>
      </c>
      <c r="K29" s="223">
        <v>0.6409722222222215</v>
      </c>
      <c r="L29" s="223">
        <v>0.6437499999999993</v>
      </c>
      <c r="M29" s="223">
        <v>0.6506944444444437</v>
      </c>
      <c r="N29" s="224">
        <v>5.0</v>
      </c>
      <c r="O29" s="223">
        <v>0.6541666666666659</v>
      </c>
      <c r="P29" s="223">
        <v>0.659027777777777</v>
      </c>
      <c r="Q29" s="224">
        <v>2.0</v>
      </c>
      <c r="R29" s="223">
        <v>0.6604166666666659</v>
      </c>
      <c r="S29" s="223">
        <v>0.6666666666666659</v>
      </c>
      <c r="T29" s="223">
        <v>0.676388888888888</v>
      </c>
      <c r="U29" s="224">
        <v>1.0</v>
      </c>
      <c r="V29" s="223">
        <v>0.6770833333333325</v>
      </c>
      <c r="W29" s="223">
        <v>0.6854166666666658</v>
      </c>
      <c r="X29" s="223">
        <v>0.6965277777777769</v>
      </c>
      <c r="Y29" s="224">
        <v>0.0</v>
      </c>
      <c r="Z29" s="223">
        <v>0.6965277777777769</v>
      </c>
      <c r="AA29" s="223">
        <v>0.701388888888888</v>
      </c>
      <c r="AB29" s="224">
        <v>5.0</v>
      </c>
      <c r="AC29" s="223">
        <v>0.7048611111111102</v>
      </c>
      <c r="AD29" s="223">
        <v>0.7152777777777768</v>
      </c>
      <c r="AE29" s="224">
        <v>5.0</v>
      </c>
      <c r="AF29" s="223">
        <v>0.718749999999999</v>
      </c>
      <c r="AG29" s="103">
        <f t="shared" si="1"/>
        <v>127</v>
      </c>
      <c r="AH29" s="103">
        <f t="shared" si="17"/>
        <v>150</v>
      </c>
      <c r="AI29" s="103">
        <f t="shared" si="3"/>
        <v>23</v>
      </c>
      <c r="AJ29" s="104">
        <f t="shared" si="4"/>
        <v>0.1811023622</v>
      </c>
      <c r="AK29" s="142">
        <f t="shared" si="5"/>
        <v>30</v>
      </c>
      <c r="AL29" s="217">
        <v>150.0</v>
      </c>
      <c r="BE29" s="228">
        <f t="shared" si="7"/>
        <v>0.7131944444</v>
      </c>
      <c r="BG29" s="228">
        <f t="shared" si="8"/>
        <v>0.7166666667</v>
      </c>
      <c r="BH29" s="228" t="str">
        <f t="shared" si="9"/>
        <v>#REF!</v>
      </c>
      <c r="BJ29" s="228" t="str">
        <f t="shared" si="10"/>
        <v>#REF!</v>
      </c>
      <c r="BL29" s="203" t="str">
        <f t="shared" si="11"/>
        <v>#REF!</v>
      </c>
      <c r="BN29" s="228"/>
      <c r="BP29" s="228">
        <f t="shared" si="12"/>
        <v>0.6791666667</v>
      </c>
      <c r="BR29" s="228">
        <f t="shared" si="13"/>
        <v>0.6826388889</v>
      </c>
      <c r="BS29" s="228" t="str">
        <f t="shared" si="14"/>
        <v>#REF!</v>
      </c>
      <c r="BU29" s="228" t="str">
        <f t="shared" si="15"/>
        <v>#REF!</v>
      </c>
      <c r="BW29" s="203" t="str">
        <f t="shared" si="16"/>
        <v>#REF!</v>
      </c>
    </row>
    <row r="30" ht="13.5" customHeight="1">
      <c r="A30" s="127"/>
      <c r="B30" s="141" t="s">
        <v>7</v>
      </c>
      <c r="C30" s="223">
        <v>0.6354166666666659</v>
      </c>
      <c r="D30" s="223">
        <v>0.645138888888888</v>
      </c>
      <c r="E30" s="224">
        <v>4.0</v>
      </c>
      <c r="F30" s="223">
        <v>0.6479166666666658</v>
      </c>
      <c r="G30" s="223">
        <v>0.6541666666666658</v>
      </c>
      <c r="H30" s="223"/>
      <c r="I30" s="223">
        <v>0.6611111111111102</v>
      </c>
      <c r="J30" s="224">
        <v>1.0</v>
      </c>
      <c r="K30" s="223">
        <v>0.6618055555555546</v>
      </c>
      <c r="L30" s="223">
        <v>0.6645833333333324</v>
      </c>
      <c r="M30" s="223">
        <v>0.6715277777777768</v>
      </c>
      <c r="N30" s="224">
        <v>5.0</v>
      </c>
      <c r="O30" s="223">
        <v>0.674999999999999</v>
      </c>
      <c r="P30" s="223">
        <v>0.6798611111111101</v>
      </c>
      <c r="Q30" s="224">
        <v>2.0</v>
      </c>
      <c r="R30" s="223">
        <v>0.681249999999999</v>
      </c>
      <c r="S30" s="223">
        <v>0.687499999999999</v>
      </c>
      <c r="T30" s="223">
        <v>0.6972222222222212</v>
      </c>
      <c r="U30" s="224">
        <v>2.0</v>
      </c>
      <c r="V30" s="223">
        <v>0.6986111111111101</v>
      </c>
      <c r="W30" s="223">
        <v>0.7069444444444434</v>
      </c>
      <c r="X30" s="223">
        <v>0.7180555555555544</v>
      </c>
      <c r="Y30" s="224">
        <v>0.0</v>
      </c>
      <c r="Z30" s="223">
        <v>0.7180555555555544</v>
      </c>
      <c r="AA30" s="223">
        <v>0.7229166666666655</v>
      </c>
      <c r="AB30" s="224">
        <v>5.0</v>
      </c>
      <c r="AC30" s="223">
        <v>0.7263888888888878</v>
      </c>
      <c r="AD30" s="223">
        <v>0.7368055555555544</v>
      </c>
      <c r="AE30" s="224">
        <v>4.0</v>
      </c>
      <c r="AF30" s="230">
        <v>0.7395833333333321</v>
      </c>
      <c r="AG30" s="103">
        <f t="shared" si="1"/>
        <v>127</v>
      </c>
      <c r="AH30" s="103">
        <f t="shared" si="17"/>
        <v>150</v>
      </c>
      <c r="AI30" s="103">
        <f t="shared" si="3"/>
        <v>23</v>
      </c>
      <c r="AJ30" s="104">
        <f t="shared" si="4"/>
        <v>0.1811023622</v>
      </c>
      <c r="AK30" s="142">
        <f t="shared" si="5"/>
        <v>30</v>
      </c>
      <c r="AL30" s="217">
        <v>150.0</v>
      </c>
      <c r="BE30" s="228">
        <f t="shared" si="7"/>
        <v>0.7340277778</v>
      </c>
      <c r="BG30" s="228">
        <f t="shared" si="8"/>
        <v>0.7375</v>
      </c>
      <c r="BH30" s="228" t="str">
        <f t="shared" si="9"/>
        <v>#REF!</v>
      </c>
      <c r="BJ30" s="228" t="str">
        <f t="shared" si="10"/>
        <v>#REF!</v>
      </c>
      <c r="BL30" s="203" t="str">
        <f t="shared" si="11"/>
        <v>#REF!</v>
      </c>
      <c r="BN30" s="228"/>
      <c r="BP30" s="228">
        <f t="shared" si="12"/>
        <v>0.7013888889</v>
      </c>
      <c r="BR30" s="228">
        <f t="shared" si="13"/>
        <v>0.7048611111</v>
      </c>
      <c r="BS30" s="228" t="str">
        <f t="shared" si="14"/>
        <v>#REF!</v>
      </c>
      <c r="BU30" s="228" t="str">
        <f t="shared" si="15"/>
        <v>#REF!</v>
      </c>
      <c r="BW30" s="203" t="str">
        <f t="shared" si="16"/>
        <v>#REF!</v>
      </c>
    </row>
    <row r="31" ht="13.5" customHeight="1">
      <c r="A31" s="127"/>
      <c r="B31" s="141" t="s">
        <v>7</v>
      </c>
      <c r="C31" s="223">
        <v>0.6562499999999991</v>
      </c>
      <c r="D31" s="223">
        <v>0.6659722222222213</v>
      </c>
      <c r="E31" s="224">
        <v>4.0</v>
      </c>
      <c r="F31" s="223">
        <v>0.6687499999999991</v>
      </c>
      <c r="G31" s="223">
        <v>0.674999999999999</v>
      </c>
      <c r="H31" s="223"/>
      <c r="I31" s="223">
        <v>0.6819444444444435</v>
      </c>
      <c r="J31" s="224">
        <v>1.0</v>
      </c>
      <c r="K31" s="223">
        <v>0.6826388888888879</v>
      </c>
      <c r="L31" s="223">
        <v>0.6854166666666657</v>
      </c>
      <c r="M31" s="223">
        <v>0.6923611111111101</v>
      </c>
      <c r="N31" s="224">
        <v>5.0</v>
      </c>
      <c r="O31" s="223">
        <v>0.6958333333333323</v>
      </c>
      <c r="P31" s="223">
        <v>0.7006944444444434</v>
      </c>
      <c r="Q31" s="224">
        <v>2.0</v>
      </c>
      <c r="R31" s="223">
        <v>0.7020833333333323</v>
      </c>
      <c r="S31" s="223">
        <v>0.7083333333333323</v>
      </c>
      <c r="T31" s="223">
        <v>0.7180555555555544</v>
      </c>
      <c r="U31" s="224">
        <v>2.0</v>
      </c>
      <c r="V31" s="223">
        <v>0.7194444444444433</v>
      </c>
      <c r="W31" s="223">
        <v>0.7277777777777766</v>
      </c>
      <c r="X31" s="223">
        <v>0.7388888888888877</v>
      </c>
      <c r="Y31" s="224">
        <v>0.0</v>
      </c>
      <c r="Z31" s="223">
        <v>0.7388888888888877</v>
      </c>
      <c r="AA31" s="223">
        <v>0.7437499999999988</v>
      </c>
      <c r="AB31" s="224">
        <v>5.0</v>
      </c>
      <c r="AC31" s="226">
        <v>0.747222222222221</v>
      </c>
      <c r="AD31" s="223">
        <v>0.7576388888888876</v>
      </c>
      <c r="AE31" s="224">
        <v>4.0</v>
      </c>
      <c r="AF31" s="223">
        <v>0.7604166666666654</v>
      </c>
      <c r="AG31" s="103">
        <f t="shared" si="1"/>
        <v>127</v>
      </c>
      <c r="AH31" s="103">
        <f t="shared" si="17"/>
        <v>150</v>
      </c>
      <c r="AI31" s="103">
        <f t="shared" si="3"/>
        <v>23</v>
      </c>
      <c r="AJ31" s="104">
        <f t="shared" si="4"/>
        <v>0.1811023622</v>
      </c>
      <c r="AK31" s="142">
        <f t="shared" si="5"/>
        <v>30</v>
      </c>
      <c r="AL31" s="217">
        <v>150.0</v>
      </c>
      <c r="BE31" s="228">
        <f t="shared" si="7"/>
        <v>0.7548611111</v>
      </c>
      <c r="BG31" s="228">
        <f t="shared" si="8"/>
        <v>0.7583333333</v>
      </c>
      <c r="BH31" s="228" t="str">
        <f t="shared" si="9"/>
        <v>#REF!</v>
      </c>
      <c r="BJ31" s="228" t="str">
        <f t="shared" si="10"/>
        <v>#REF!</v>
      </c>
      <c r="BL31" s="203" t="str">
        <f t="shared" si="11"/>
        <v>#REF!</v>
      </c>
      <c r="BN31" s="228"/>
      <c r="BP31" s="228">
        <f t="shared" si="12"/>
        <v>0.7229166667</v>
      </c>
      <c r="BR31" s="228">
        <f t="shared" si="13"/>
        <v>0.7263888889</v>
      </c>
      <c r="BS31" s="228" t="str">
        <f t="shared" si="14"/>
        <v>#REF!</v>
      </c>
      <c r="BU31" s="228" t="str">
        <f t="shared" si="15"/>
        <v>#REF!</v>
      </c>
      <c r="BW31" s="203" t="str">
        <f t="shared" si="16"/>
        <v>#REF!</v>
      </c>
    </row>
    <row r="32" ht="13.5" customHeight="1">
      <c r="A32" s="127"/>
      <c r="B32" s="141" t="s">
        <v>79</v>
      </c>
      <c r="C32" s="223">
        <v>0.6770833333333325</v>
      </c>
      <c r="D32" s="223">
        <v>0.6861111111111102</v>
      </c>
      <c r="E32" s="224">
        <v>4.0</v>
      </c>
      <c r="F32" s="223">
        <v>0.688888888888888</v>
      </c>
      <c r="G32" s="223">
        <v>0.6958333333333324</v>
      </c>
      <c r="H32" s="223"/>
      <c r="I32" s="223">
        <v>0.7020833333333324</v>
      </c>
      <c r="J32" s="224">
        <v>2.0</v>
      </c>
      <c r="K32" s="223">
        <v>0.7034722222222213</v>
      </c>
      <c r="L32" s="223">
        <v>0.706249999999999</v>
      </c>
      <c r="M32" s="223">
        <v>0.7131944444444435</v>
      </c>
      <c r="N32" s="224">
        <v>5.0</v>
      </c>
      <c r="O32" s="223">
        <v>0.7166666666666657</v>
      </c>
      <c r="P32" s="223">
        <v>0.7215277777777768</v>
      </c>
      <c r="Q32" s="224">
        <v>5.0</v>
      </c>
      <c r="R32" s="223">
        <v>0.724999999999999</v>
      </c>
      <c r="S32" s="223">
        <v>0.731249999999999</v>
      </c>
      <c r="T32" s="223">
        <v>0.7402777777777767</v>
      </c>
      <c r="U32" s="224">
        <v>2.0</v>
      </c>
      <c r="V32" s="223">
        <v>0.7416666666666656</v>
      </c>
      <c r="W32" s="223">
        <v>0.74861111111111</v>
      </c>
      <c r="X32" s="223">
        <v>0.7576388888888878</v>
      </c>
      <c r="Y32" s="224">
        <v>2.0</v>
      </c>
      <c r="Z32" s="223">
        <v>0.7590277777777766</v>
      </c>
      <c r="AA32" s="223">
        <v>0.7631944444444433</v>
      </c>
      <c r="AB32" s="224">
        <v>5.0</v>
      </c>
      <c r="AC32" s="223">
        <v>0.7666666666666655</v>
      </c>
      <c r="AD32" s="223">
        <v>0.7763888888888877</v>
      </c>
      <c r="AE32" s="224">
        <v>7.0</v>
      </c>
      <c r="AF32" s="223">
        <v>0.7812499999999988</v>
      </c>
      <c r="AG32" s="103">
        <f t="shared" si="1"/>
        <v>118</v>
      </c>
      <c r="AH32" s="103">
        <f t="shared" si="17"/>
        <v>150</v>
      </c>
      <c r="AI32" s="103">
        <f t="shared" si="3"/>
        <v>32</v>
      </c>
      <c r="AJ32" s="104">
        <f t="shared" si="4"/>
        <v>0.2711864407</v>
      </c>
      <c r="AK32" s="142">
        <f t="shared" si="5"/>
        <v>30</v>
      </c>
      <c r="AL32" s="217">
        <v>150.0</v>
      </c>
      <c r="BE32" s="228">
        <f t="shared" si="7"/>
        <v>0.7756944444</v>
      </c>
      <c r="BG32" s="228">
        <f t="shared" si="8"/>
        <v>0.7791666667</v>
      </c>
      <c r="BH32" s="228" t="str">
        <f t="shared" si="9"/>
        <v>#REF!</v>
      </c>
      <c r="BJ32" s="228" t="str">
        <f t="shared" si="10"/>
        <v>#REF!</v>
      </c>
      <c r="BL32" s="203"/>
      <c r="BN32" s="228"/>
      <c r="BP32" s="228">
        <f t="shared" si="12"/>
        <v>0.74375</v>
      </c>
      <c r="BR32" s="228">
        <f t="shared" si="13"/>
        <v>0.7472222222</v>
      </c>
      <c r="BS32" s="228" t="str">
        <f t="shared" si="14"/>
        <v>#REF!</v>
      </c>
      <c r="BU32" s="228" t="str">
        <f t="shared" si="15"/>
        <v>#REF!</v>
      </c>
      <c r="BW32" s="203" t="str">
        <f t="shared" si="16"/>
        <v>#REF!</v>
      </c>
    </row>
    <row r="33" ht="13.5" customHeight="1">
      <c r="A33" s="127"/>
      <c r="B33" s="141" t="s">
        <v>79</v>
      </c>
      <c r="C33" s="223">
        <v>0.6979166666666659</v>
      </c>
      <c r="D33" s="223">
        <v>0.7069444444444436</v>
      </c>
      <c r="E33" s="224">
        <v>4.0</v>
      </c>
      <c r="F33" s="223">
        <v>0.7097222222222214</v>
      </c>
      <c r="G33" s="223">
        <v>0.7166666666666658</v>
      </c>
      <c r="H33" s="223"/>
      <c r="I33" s="223">
        <v>0.7229166666666658</v>
      </c>
      <c r="J33" s="224">
        <v>2.0</v>
      </c>
      <c r="K33" s="223">
        <v>0.7243055555555546</v>
      </c>
      <c r="L33" s="223">
        <v>0.7270833333333324</v>
      </c>
      <c r="M33" s="223">
        <v>0.7340277777777768</v>
      </c>
      <c r="N33" s="224">
        <v>5.0</v>
      </c>
      <c r="O33" s="223">
        <v>0.737499999999999</v>
      </c>
      <c r="P33" s="223">
        <v>0.7423611111111101</v>
      </c>
      <c r="Q33" s="224">
        <v>5.0</v>
      </c>
      <c r="R33" s="223">
        <v>0.7458333333333323</v>
      </c>
      <c r="S33" s="223">
        <v>0.7520833333333323</v>
      </c>
      <c r="T33" s="223">
        <v>0.7611111111111101</v>
      </c>
      <c r="U33" s="224">
        <v>2.0</v>
      </c>
      <c r="V33" s="223">
        <v>0.762499999999999</v>
      </c>
      <c r="W33" s="223">
        <v>0.7694444444444434</v>
      </c>
      <c r="X33" s="223">
        <v>0.7784722222222211</v>
      </c>
      <c r="Y33" s="224">
        <v>2.0</v>
      </c>
      <c r="Z33" s="223">
        <v>0.77986111111111</v>
      </c>
      <c r="AA33" s="223">
        <v>0.7840277777777767</v>
      </c>
      <c r="AB33" s="224">
        <v>5.0</v>
      </c>
      <c r="AC33" s="223">
        <v>0.7874999999999989</v>
      </c>
      <c r="AD33" s="223">
        <v>0.797222222222221</v>
      </c>
      <c r="AE33" s="224">
        <v>7.0</v>
      </c>
      <c r="AF33" s="223">
        <v>0.8020833333333321</v>
      </c>
      <c r="AG33" s="103">
        <f t="shared" si="1"/>
        <v>118</v>
      </c>
      <c r="AH33" s="103">
        <f t="shared" si="17"/>
        <v>150</v>
      </c>
      <c r="AI33" s="103">
        <f t="shared" si="3"/>
        <v>32</v>
      </c>
      <c r="AJ33" s="104">
        <f t="shared" si="4"/>
        <v>0.2711864407</v>
      </c>
      <c r="AK33" s="142">
        <f t="shared" si="5"/>
        <v>30</v>
      </c>
      <c r="AL33" s="217">
        <v>150.0</v>
      </c>
      <c r="BE33" s="228">
        <f t="shared" si="7"/>
        <v>0.7965277778</v>
      </c>
      <c r="BG33" s="228">
        <f t="shared" si="8"/>
        <v>0.8013888889</v>
      </c>
      <c r="BH33" s="228" t="str">
        <f t="shared" si="9"/>
        <v>#REF!</v>
      </c>
      <c r="BJ33" s="228" t="str">
        <f t="shared" si="10"/>
        <v>#REF!</v>
      </c>
      <c r="BL33" s="203" t="str">
        <f>(BJ33-BG33)*1440</f>
        <v>#REF!</v>
      </c>
      <c r="BN33" s="228"/>
      <c r="BP33" s="228">
        <f t="shared" si="12"/>
        <v>0.7631944444</v>
      </c>
      <c r="BR33" s="228">
        <f t="shared" si="13"/>
        <v>0.7666666667</v>
      </c>
      <c r="BS33" s="228" t="str">
        <f t="shared" si="14"/>
        <v>#REF!</v>
      </c>
      <c r="BU33" s="228" t="str">
        <f t="shared" si="15"/>
        <v>#REF!</v>
      </c>
      <c r="BW33" s="203" t="str">
        <f t="shared" si="16"/>
        <v>#REF!</v>
      </c>
    </row>
    <row r="34" ht="13.5" customHeight="1">
      <c r="A34" s="127"/>
      <c r="B34" s="141" t="s">
        <v>79</v>
      </c>
      <c r="C34" s="223">
        <v>0.718749999999999</v>
      </c>
      <c r="D34" s="223">
        <v>0.7277777777777767</v>
      </c>
      <c r="E34" s="224">
        <v>4.0</v>
      </c>
      <c r="F34" s="223">
        <v>0.7305555555555545</v>
      </c>
      <c r="G34" s="223">
        <v>0.7374999999999989</v>
      </c>
      <c r="H34" s="223"/>
      <c r="I34" s="223">
        <v>0.7437499999999989</v>
      </c>
      <c r="J34" s="224">
        <v>2.0</v>
      </c>
      <c r="K34" s="223">
        <v>0.7451388888888878</v>
      </c>
      <c r="L34" s="223">
        <v>0.7479166666666656</v>
      </c>
      <c r="M34" s="223">
        <v>0.75486111111111</v>
      </c>
      <c r="N34" s="224">
        <v>5.0</v>
      </c>
      <c r="O34" s="223">
        <v>0.7583333333333322</v>
      </c>
      <c r="P34" s="223">
        <v>0.7631944444444433</v>
      </c>
      <c r="Q34" s="224">
        <v>5.0</v>
      </c>
      <c r="R34" s="223">
        <v>0.7666666666666655</v>
      </c>
      <c r="S34" s="223">
        <v>0.7729166666666655</v>
      </c>
      <c r="T34" s="223">
        <v>0.7819444444444432</v>
      </c>
      <c r="U34" s="224">
        <v>2.0</v>
      </c>
      <c r="V34" s="223">
        <v>0.7833333333333321</v>
      </c>
      <c r="W34" s="223">
        <v>0.7902777777777765</v>
      </c>
      <c r="X34" s="223">
        <v>0.7993055555555543</v>
      </c>
      <c r="Y34" s="224">
        <v>2.0</v>
      </c>
      <c r="Z34" s="223">
        <v>0.8006944444444432</v>
      </c>
      <c r="AA34" s="223">
        <v>0.8048611111111098</v>
      </c>
      <c r="AB34" s="224"/>
      <c r="AC34" s="231"/>
      <c r="AD34" s="223"/>
      <c r="AE34" s="224"/>
      <c r="AF34" s="223"/>
      <c r="AG34" s="103">
        <f t="shared" si="1"/>
        <v>104</v>
      </c>
      <c r="AH34" s="103">
        <f>(AA34-C34)*1440</f>
        <v>124</v>
      </c>
      <c r="AI34" s="103">
        <f t="shared" si="3"/>
        <v>20</v>
      </c>
      <c r="AJ34" s="104">
        <f t="shared" si="4"/>
        <v>0.1923076923</v>
      </c>
      <c r="AK34" s="142"/>
      <c r="AL34" s="217">
        <v>150.0</v>
      </c>
      <c r="BE34" s="228">
        <f t="shared" si="7"/>
        <v>0.8173611111</v>
      </c>
      <c r="BG34" s="228">
        <f t="shared" si="8"/>
        <v>0.8208333333</v>
      </c>
      <c r="BH34" s="228" t="str">
        <f t="shared" si="9"/>
        <v>#REF!</v>
      </c>
      <c r="BJ34" s="228" t="str">
        <f t="shared" si="10"/>
        <v>#REF!</v>
      </c>
      <c r="BL34" s="203"/>
      <c r="BN34" s="228"/>
      <c r="BP34" s="228">
        <f t="shared" si="12"/>
        <v>0.7840277778</v>
      </c>
      <c r="BR34" s="228">
        <f t="shared" si="13"/>
        <v>0.7875</v>
      </c>
      <c r="BS34" s="228" t="str">
        <f t="shared" si="14"/>
        <v>#REF!</v>
      </c>
      <c r="BU34" s="228" t="str">
        <f t="shared" si="15"/>
        <v>#REF!</v>
      </c>
      <c r="BW34" s="203" t="str">
        <f t="shared" si="16"/>
        <v>#REF!</v>
      </c>
    </row>
    <row r="35" ht="13.5" customHeight="1">
      <c r="A35" s="127"/>
      <c r="B35" s="141" t="s">
        <v>79</v>
      </c>
      <c r="C35" s="223">
        <v>0.7395833333333321</v>
      </c>
      <c r="D35" s="223">
        <v>0.7486111111111099</v>
      </c>
      <c r="E35" s="224">
        <v>4.0</v>
      </c>
      <c r="F35" s="223">
        <v>0.7513888888888877</v>
      </c>
      <c r="G35" s="223">
        <v>0.7583333333333321</v>
      </c>
      <c r="H35" s="223"/>
      <c r="I35" s="223">
        <v>0.7645833333333321</v>
      </c>
      <c r="J35" s="224">
        <v>2.0</v>
      </c>
      <c r="K35" s="223">
        <v>0.7659722222222209</v>
      </c>
      <c r="L35" s="223">
        <v>0.7687499999999987</v>
      </c>
      <c r="M35" s="223">
        <v>0.7756944444444431</v>
      </c>
      <c r="N35" s="224">
        <v>5.0</v>
      </c>
      <c r="O35" s="223">
        <v>0.7791666666666653</v>
      </c>
      <c r="P35" s="223">
        <v>0.7840277777777764</v>
      </c>
      <c r="Q35" s="224">
        <v>5.0</v>
      </c>
      <c r="R35" s="223">
        <v>0.7874999999999986</v>
      </c>
      <c r="S35" s="223">
        <v>0.7937499999999986</v>
      </c>
      <c r="T35" s="223">
        <v>0.8027777777777764</v>
      </c>
      <c r="U35" s="224">
        <v>2.0</v>
      </c>
      <c r="V35" s="223">
        <v>0.8041666666666653</v>
      </c>
      <c r="W35" s="223">
        <v>0.8111111111111097</v>
      </c>
      <c r="X35" s="223">
        <v>0.8201388888888874</v>
      </c>
      <c r="Y35" s="224">
        <v>2.0</v>
      </c>
      <c r="Z35" s="223">
        <v>0.8215277777777763</v>
      </c>
      <c r="AA35" s="223">
        <v>0.825694444444443</v>
      </c>
      <c r="AB35" s="224">
        <v>7.0</v>
      </c>
      <c r="AC35" s="223">
        <v>0.830555555555554</v>
      </c>
      <c r="AD35" s="223">
        <v>0.8402777777777762</v>
      </c>
      <c r="AE35" s="224">
        <v>8.0</v>
      </c>
      <c r="AF35" s="223">
        <v>0.8458333333333318</v>
      </c>
      <c r="AG35" s="103">
        <f t="shared" si="1"/>
        <v>118</v>
      </c>
      <c r="AH35" s="103">
        <f>(AF35-C35)*1440</f>
        <v>153</v>
      </c>
      <c r="AI35" s="103">
        <f t="shared" si="3"/>
        <v>35</v>
      </c>
      <c r="AJ35" s="104">
        <f t="shared" si="4"/>
        <v>0.2966101695</v>
      </c>
      <c r="AK35" s="142">
        <f>(AF35-AF33)*1440</f>
        <v>63</v>
      </c>
      <c r="AL35" s="217">
        <v>150.0</v>
      </c>
      <c r="BE35" s="228">
        <f t="shared" si="7"/>
        <v>0.8381944444</v>
      </c>
      <c r="BG35" s="228">
        <f t="shared" si="8"/>
        <v>0.8625</v>
      </c>
      <c r="BH35" s="228" t="str">
        <f t="shared" si="9"/>
        <v>#REF!</v>
      </c>
      <c r="BJ35" s="228" t="str">
        <f t="shared" si="10"/>
        <v>#REF!</v>
      </c>
      <c r="BL35" s="203" t="str">
        <f t="shared" ref="BL35:BL39" si="19">(BJ35-BG35)*1440</f>
        <v>#REF!</v>
      </c>
      <c r="BP35" s="228">
        <f t="shared" si="12"/>
        <v>0.8048611111</v>
      </c>
      <c r="BR35" s="228" t="str">
        <f t="shared" si="13"/>
        <v/>
      </c>
      <c r="BS35" s="228" t="str">
        <f t="shared" si="14"/>
        <v>#REF!</v>
      </c>
      <c r="BU35" s="228" t="str">
        <f t="shared" si="15"/>
        <v>#REF!</v>
      </c>
      <c r="BW35" s="203" t="str">
        <f>(BS35-BP35)*1440</f>
        <v>#REF!</v>
      </c>
    </row>
    <row r="36" ht="13.5" customHeight="1">
      <c r="A36" s="127"/>
      <c r="B36" s="141" t="s">
        <v>79</v>
      </c>
      <c r="C36" s="223">
        <v>0.7604166666666654</v>
      </c>
      <c r="D36" s="223">
        <v>0.7694444444444432</v>
      </c>
      <c r="E36" s="224">
        <v>4.0</v>
      </c>
      <c r="F36" s="223">
        <v>0.7722222222222209</v>
      </c>
      <c r="G36" s="223">
        <v>0.7791666666666653</v>
      </c>
      <c r="H36" s="223"/>
      <c r="I36" s="223">
        <v>0.7854166666666653</v>
      </c>
      <c r="J36" s="224">
        <v>2.0</v>
      </c>
      <c r="K36" s="223">
        <v>0.7868055555555542</v>
      </c>
      <c r="L36" s="223">
        <v>0.789583333333332</v>
      </c>
      <c r="M36" s="223">
        <v>0.7965277777777764</v>
      </c>
      <c r="N36" s="224">
        <v>7.0</v>
      </c>
      <c r="O36" s="226">
        <v>0.8013888888888875</v>
      </c>
      <c r="P36" s="223">
        <v>0.8062499999999986</v>
      </c>
      <c r="Q36" s="224"/>
      <c r="R36" s="231"/>
      <c r="S36" s="223"/>
      <c r="T36" s="223"/>
      <c r="U36" s="224"/>
      <c r="V36" s="223"/>
      <c r="W36" s="223"/>
      <c r="X36" s="223"/>
      <c r="Y36" s="224"/>
      <c r="Z36" s="223"/>
      <c r="AA36" s="223"/>
      <c r="AB36" s="224"/>
      <c r="AC36" s="223"/>
      <c r="AD36" s="223"/>
      <c r="AE36" s="224"/>
      <c r="AF36" s="223"/>
      <c r="AG36" s="103">
        <f t="shared" si="1"/>
        <v>53</v>
      </c>
      <c r="AH36" s="103">
        <f>(P36-C36)*1440</f>
        <v>66</v>
      </c>
      <c r="AI36" s="103">
        <f t="shared" si="3"/>
        <v>13</v>
      </c>
      <c r="AJ36" s="104">
        <f t="shared" si="4"/>
        <v>0.2452830189</v>
      </c>
      <c r="AK36" s="142"/>
      <c r="AL36" s="217">
        <v>150.0</v>
      </c>
      <c r="BE36" s="228">
        <f t="shared" si="7"/>
        <v>0.8798611111</v>
      </c>
      <c r="BG36" s="228">
        <f t="shared" si="8"/>
        <v>0.9041666667</v>
      </c>
      <c r="BH36" s="228" t="str">
        <f t="shared" si="9"/>
        <v>#REF!</v>
      </c>
      <c r="BJ36" s="228" t="str">
        <f t="shared" si="10"/>
        <v>#REF!</v>
      </c>
      <c r="BL36" s="203" t="str">
        <f t="shared" si="19"/>
        <v>#REF!</v>
      </c>
      <c r="BP36" s="228">
        <f t="shared" si="12"/>
        <v>0.8256944444</v>
      </c>
      <c r="BR36" s="228">
        <f t="shared" si="13"/>
        <v>0.8305555556</v>
      </c>
      <c r="BS36" s="228" t="str">
        <f>'[3]8B'!Q36</f>
        <v>#REF!</v>
      </c>
      <c r="BU36" s="228" t="str">
        <f>'[3]8B'!S36</f>
        <v>#REF!</v>
      </c>
      <c r="BW36" s="203" t="str">
        <f t="shared" ref="BW36:BW39" si="20">(BU36-BR36)*1440</f>
        <v>#REF!</v>
      </c>
    </row>
    <row r="37" ht="13.5" customHeight="1">
      <c r="A37" s="127"/>
      <c r="B37" s="141" t="s">
        <v>79</v>
      </c>
      <c r="C37" s="223">
        <v>0.7812499999999988</v>
      </c>
      <c r="D37" s="223">
        <v>0.7902777777777765</v>
      </c>
      <c r="E37" s="224">
        <v>4.0</v>
      </c>
      <c r="F37" s="223">
        <v>0.7930555555555543</v>
      </c>
      <c r="G37" s="223">
        <v>0.7999999999999987</v>
      </c>
      <c r="H37" s="223"/>
      <c r="I37" s="223">
        <v>0.8062499999999987</v>
      </c>
      <c r="J37" s="224">
        <v>2.0</v>
      </c>
      <c r="K37" s="223">
        <v>0.8076388888888876</v>
      </c>
      <c r="L37" s="223">
        <v>0.8104166666666653</v>
      </c>
      <c r="M37" s="223">
        <v>0.8173611111111098</v>
      </c>
      <c r="N37" s="224">
        <v>5.0</v>
      </c>
      <c r="O37" s="223">
        <v>0.820833333333332</v>
      </c>
      <c r="P37" s="223">
        <v>0.8256944444444431</v>
      </c>
      <c r="Q37" s="224">
        <v>2.0</v>
      </c>
      <c r="R37" s="223">
        <v>0.827083333333332</v>
      </c>
      <c r="S37" s="223">
        <v>0.8340277777777764</v>
      </c>
      <c r="T37" s="223">
        <v>0.8388888888888875</v>
      </c>
      <c r="U37" s="224">
        <v>2.0</v>
      </c>
      <c r="V37" s="223">
        <v>0.8402777777777763</v>
      </c>
      <c r="W37" s="223">
        <v>0.8465277777777763</v>
      </c>
      <c r="X37" s="223">
        <v>0.8555555555555541</v>
      </c>
      <c r="Y37" s="224">
        <v>2.0</v>
      </c>
      <c r="Z37" s="223">
        <v>0.856944444444443</v>
      </c>
      <c r="AA37" s="223">
        <v>0.8638888888888874</v>
      </c>
      <c r="AB37" s="224">
        <v>5.0</v>
      </c>
      <c r="AC37" s="223">
        <v>0.8673611111111096</v>
      </c>
      <c r="AD37" s="230">
        <v>0.8763888888888873</v>
      </c>
      <c r="AE37" s="224">
        <v>16.0</v>
      </c>
      <c r="AF37" s="223">
        <v>0.8874999999999984</v>
      </c>
      <c r="AG37" s="103">
        <f t="shared" si="1"/>
        <v>115</v>
      </c>
      <c r="AH37" s="103">
        <f>(AF37-C37)*1440</f>
        <v>153</v>
      </c>
      <c r="AI37" s="103">
        <f t="shared" si="3"/>
        <v>38</v>
      </c>
      <c r="AJ37" s="104">
        <f t="shared" si="4"/>
        <v>0.3304347826</v>
      </c>
      <c r="AK37" s="142">
        <f>(AF37-AF35)*1440</f>
        <v>60</v>
      </c>
      <c r="AL37" s="217">
        <v>150.0</v>
      </c>
      <c r="BE37" s="228">
        <f t="shared" si="7"/>
        <v>0.9215277778</v>
      </c>
      <c r="BG37" s="228">
        <f t="shared" si="8"/>
        <v>0.9458333333</v>
      </c>
      <c r="BH37" s="228" t="str">
        <f t="shared" si="9"/>
        <v>#REF!</v>
      </c>
      <c r="BJ37" s="228" t="str">
        <f t="shared" si="10"/>
        <v>#REF!</v>
      </c>
      <c r="BL37" s="203" t="str">
        <f t="shared" si="19"/>
        <v>#REF!</v>
      </c>
      <c r="BP37" s="228" t="str">
        <f t="shared" si="12"/>
        <v/>
      </c>
      <c r="BR37" s="228" t="str">
        <f t="shared" si="13"/>
        <v/>
      </c>
      <c r="BS37" s="228" t="str">
        <f t="shared" ref="BS37:BS39" si="21">'[3]8B'!Q36</f>
        <v>#REF!</v>
      </c>
      <c r="BU37" s="228" t="str">
        <f t="shared" ref="BU37:BU39" si="22">'[3]8B'!S36</f>
        <v>#REF!</v>
      </c>
      <c r="BW37" s="203" t="str">
        <f t="shared" si="20"/>
        <v>#REF!</v>
      </c>
    </row>
    <row r="38" ht="13.5" customHeight="1">
      <c r="A38" s="127"/>
      <c r="B38" s="141" t="s">
        <v>79</v>
      </c>
      <c r="C38" s="223">
        <v>0.8020833333333321</v>
      </c>
      <c r="D38" s="223">
        <v>0.8111111111111099</v>
      </c>
      <c r="E38" s="224">
        <v>4.0</v>
      </c>
      <c r="F38" s="223">
        <v>0.8138888888888877</v>
      </c>
      <c r="G38" s="223">
        <v>0.8208333333333321</v>
      </c>
      <c r="H38" s="223"/>
      <c r="I38" s="223">
        <v>0.8270833333333321</v>
      </c>
      <c r="J38" s="224">
        <v>2.0</v>
      </c>
      <c r="K38" s="223">
        <v>0.8284722222222209</v>
      </c>
      <c r="L38" s="223">
        <v>0.8312499999999987</v>
      </c>
      <c r="M38" s="223">
        <v>0.8381944444444431</v>
      </c>
      <c r="N38" s="224">
        <v>5.0</v>
      </c>
      <c r="O38" s="232">
        <v>0.8624999999999985</v>
      </c>
      <c r="P38" s="223">
        <v>0.8673611111111096</v>
      </c>
      <c r="Q38" s="224">
        <v>2.0</v>
      </c>
      <c r="R38" s="233">
        <v>0.8687499999999985</v>
      </c>
      <c r="S38" s="223">
        <v>0.8756944444444429</v>
      </c>
      <c r="T38" s="223">
        <v>0.880555555555554</v>
      </c>
      <c r="U38" s="224">
        <v>2.0</v>
      </c>
      <c r="V38" s="223">
        <v>0.8819444444444429</v>
      </c>
      <c r="W38" s="223">
        <v>0.8881944444444428</v>
      </c>
      <c r="X38" s="223">
        <v>0.8972222222222206</v>
      </c>
      <c r="Y38" s="224">
        <v>2.0</v>
      </c>
      <c r="Z38" s="223">
        <v>0.8986111111111095</v>
      </c>
      <c r="AA38" s="223">
        <v>0.9055555555555539</v>
      </c>
      <c r="AB38" s="224">
        <v>5.0</v>
      </c>
      <c r="AC38" s="223">
        <v>0.9090277777777761</v>
      </c>
      <c r="AD38" s="223">
        <v>0.9180555555555538</v>
      </c>
      <c r="AE38" s="224">
        <v>16.0</v>
      </c>
      <c r="AF38" s="223">
        <v>0.9291666666666649</v>
      </c>
      <c r="AG38" s="103">
        <f t="shared" si="1"/>
        <v>115</v>
      </c>
      <c r="AH38" s="103">
        <f t="shared" ref="AH38:AH39" si="23">(AF38-O38)*1440+(M38-C38)*1440+N38</f>
        <v>153</v>
      </c>
      <c r="AI38" s="103">
        <f t="shared" si="3"/>
        <v>38</v>
      </c>
      <c r="AJ38" s="104">
        <f t="shared" si="4"/>
        <v>0.3304347826</v>
      </c>
      <c r="AK38" s="142">
        <f t="shared" ref="AK38:AK39" si="24">(AF38-AF37)*1440</f>
        <v>60</v>
      </c>
      <c r="AL38" s="217">
        <v>150.0</v>
      </c>
      <c r="BE38" s="228">
        <f t="shared" si="7"/>
        <v>0.9631944444</v>
      </c>
      <c r="BG38" s="228">
        <f t="shared" si="8"/>
        <v>0.9902777778</v>
      </c>
      <c r="BH38" s="228" t="str">
        <f t="shared" si="9"/>
        <v>#REF!</v>
      </c>
      <c r="BJ38" s="228" t="str">
        <f t="shared" si="10"/>
        <v>#REF!</v>
      </c>
      <c r="BL38" s="203" t="str">
        <f t="shared" si="19"/>
        <v>#REF!</v>
      </c>
      <c r="BP38" s="228">
        <f t="shared" si="12"/>
        <v>0.8638888889</v>
      </c>
      <c r="BR38" s="228">
        <f t="shared" si="13"/>
        <v>0.8673611111</v>
      </c>
      <c r="BS38" s="228" t="str">
        <f t="shared" si="21"/>
        <v>#REF!</v>
      </c>
      <c r="BU38" s="228" t="str">
        <f t="shared" si="22"/>
        <v>#REF!</v>
      </c>
      <c r="BW38" s="203" t="str">
        <f t="shared" si="20"/>
        <v>#REF!</v>
      </c>
    </row>
    <row r="39" ht="13.5" customHeight="1">
      <c r="A39" s="127"/>
      <c r="B39" s="141" t="s">
        <v>98</v>
      </c>
      <c r="C39" s="223">
        <v>0.8458333333333318</v>
      </c>
      <c r="D39" s="223">
        <v>0.8548611111111095</v>
      </c>
      <c r="E39" s="224">
        <v>4.0</v>
      </c>
      <c r="F39" s="223">
        <v>0.8576388888888873</v>
      </c>
      <c r="G39" s="223">
        <v>0.8631944444444428</v>
      </c>
      <c r="H39" s="223"/>
      <c r="I39" s="223">
        <v>0.8694444444444428</v>
      </c>
      <c r="J39" s="224">
        <v>2.0</v>
      </c>
      <c r="K39" s="223">
        <v>0.8708333333333317</v>
      </c>
      <c r="L39" s="223">
        <v>0.872916666666665</v>
      </c>
      <c r="M39" s="223">
        <v>0.8798611111111094</v>
      </c>
      <c r="N39" s="224">
        <v>5.0</v>
      </c>
      <c r="O39" s="232">
        <v>0.9041666666666649</v>
      </c>
      <c r="P39" s="223">
        <v>0.9083333333333315</v>
      </c>
      <c r="Q39" s="224">
        <v>2.0</v>
      </c>
      <c r="R39" s="223">
        <v>0.9097222222222204</v>
      </c>
      <c r="S39" s="223">
        <v>0.9166666666666649</v>
      </c>
      <c r="T39" s="223">
        <v>0.9208333333333315</v>
      </c>
      <c r="U39" s="224">
        <v>2.0</v>
      </c>
      <c r="V39" s="223">
        <v>0.9222222222222204</v>
      </c>
      <c r="W39" s="223">
        <v>0.9277777777777759</v>
      </c>
      <c r="X39" s="223">
        <v>0.9368055555555537</v>
      </c>
      <c r="Y39" s="224">
        <v>3.0</v>
      </c>
      <c r="Z39" s="223">
        <v>0.938888888888887</v>
      </c>
      <c r="AA39" s="223">
        <v>0.9458333333333314</v>
      </c>
      <c r="AB39" s="224">
        <v>5.0</v>
      </c>
      <c r="AC39" s="223">
        <v>0.9493055555555536</v>
      </c>
      <c r="AD39" s="223">
        <v>0.9576388888888869</v>
      </c>
      <c r="AE39" s="224">
        <v>19.0</v>
      </c>
      <c r="AF39" s="223">
        <v>0.9708333333333313</v>
      </c>
      <c r="AG39" s="103">
        <f t="shared" si="1"/>
        <v>108</v>
      </c>
      <c r="AH39" s="103">
        <f t="shared" si="23"/>
        <v>150</v>
      </c>
      <c r="AI39" s="103">
        <f t="shared" si="3"/>
        <v>42</v>
      </c>
      <c r="AJ39" s="104">
        <f t="shared" si="4"/>
        <v>0.3888888889</v>
      </c>
      <c r="AK39" s="142">
        <f t="shared" si="24"/>
        <v>60</v>
      </c>
      <c r="AL39" s="217">
        <v>150.0</v>
      </c>
      <c r="BE39" s="228">
        <f t="shared" si="7"/>
        <v>1.004861111</v>
      </c>
      <c r="BG39" s="228">
        <f t="shared" si="8"/>
        <v>1.029166667</v>
      </c>
      <c r="BH39" s="228" t="str">
        <f t="shared" si="9"/>
        <v>#REF!</v>
      </c>
      <c r="BJ39" s="228" t="str">
        <f t="shared" si="10"/>
        <v>#REF!</v>
      </c>
      <c r="BL39" s="203" t="str">
        <f t="shared" si="19"/>
        <v>#REF!</v>
      </c>
      <c r="BP39" s="228">
        <f t="shared" si="12"/>
        <v>0.9055555556</v>
      </c>
      <c r="BR39" s="228">
        <f t="shared" si="13"/>
        <v>0.9090277778</v>
      </c>
      <c r="BS39" s="228" t="str">
        <f t="shared" si="21"/>
        <v>#REF!</v>
      </c>
      <c r="BU39" s="228" t="str">
        <f t="shared" si="22"/>
        <v>#REF!</v>
      </c>
      <c r="BW39" s="203" t="str">
        <f t="shared" si="20"/>
        <v>#REF!</v>
      </c>
    </row>
    <row r="40" ht="13.5" customHeight="1">
      <c r="A40" s="127"/>
      <c r="B40" s="141" t="s">
        <v>98</v>
      </c>
      <c r="C40" s="223">
        <v>0.8874999999999984</v>
      </c>
      <c r="D40" s="223">
        <v>0.8965277777777761</v>
      </c>
      <c r="E40" s="224">
        <v>4.0</v>
      </c>
      <c r="F40" s="223">
        <v>0.8993055555555539</v>
      </c>
      <c r="G40" s="223">
        <v>0.9048611111111095</v>
      </c>
      <c r="H40" s="223"/>
      <c r="I40" s="223">
        <v>0.9111111111111094</v>
      </c>
      <c r="J40" s="224">
        <v>2.0</v>
      </c>
      <c r="K40" s="223">
        <v>0.9124999999999983</v>
      </c>
      <c r="L40" s="223">
        <v>0.9145833333333316</v>
      </c>
      <c r="M40" s="223">
        <v>0.9215277777777761</v>
      </c>
      <c r="N40" s="224">
        <v>5.0</v>
      </c>
      <c r="O40" s="232">
        <v>0.9458333333333316</v>
      </c>
      <c r="P40" s="223">
        <v>0.9499999999999983</v>
      </c>
      <c r="Q40" s="224">
        <v>2.0</v>
      </c>
      <c r="R40" s="223">
        <v>0.9513888888888872</v>
      </c>
      <c r="S40" s="223">
        <v>0.9583333333333316</v>
      </c>
      <c r="T40" s="223">
        <v>0.9624999999999982</v>
      </c>
      <c r="U40" s="224">
        <v>2.0</v>
      </c>
      <c r="V40" s="223">
        <v>0.9638888888888871</v>
      </c>
      <c r="W40" s="223">
        <v>0.9694444444444427</v>
      </c>
      <c r="X40" s="223">
        <v>0.9784722222222204</v>
      </c>
      <c r="Y40" s="224">
        <v>3.0</v>
      </c>
      <c r="Z40" s="223">
        <v>0.9805555555555537</v>
      </c>
      <c r="AA40" s="223">
        <v>0.9874999999999982</v>
      </c>
      <c r="AB40" s="224"/>
      <c r="AC40" s="231"/>
      <c r="AD40" s="223"/>
      <c r="AE40" s="224"/>
      <c r="AF40" s="223"/>
      <c r="AG40" s="103">
        <f t="shared" si="1"/>
        <v>96</v>
      </c>
      <c r="AH40" s="103">
        <f t="shared" ref="AH40:AH41" si="25">(AA40-O40)*1440+(M40-C40)*1440+N40</f>
        <v>114</v>
      </c>
      <c r="AI40" s="103">
        <f t="shared" si="3"/>
        <v>18</v>
      </c>
      <c r="AJ40" s="104">
        <f t="shared" si="4"/>
        <v>0.1875</v>
      </c>
      <c r="AK40" s="142">
        <f t="shared" ref="AK40:AK41" si="26">(W40-W39)*1440</f>
        <v>60</v>
      </c>
      <c r="AL40" s="217">
        <v>150.0</v>
      </c>
      <c r="BE40" s="228"/>
      <c r="BG40" s="228"/>
      <c r="BH40" s="228"/>
      <c r="BJ40" s="228"/>
      <c r="BL40" s="203"/>
      <c r="BP40" s="228"/>
    </row>
    <row r="41" ht="13.5" customHeight="1">
      <c r="A41" s="127"/>
      <c r="B41" s="141" t="s">
        <v>98</v>
      </c>
      <c r="C41" s="223">
        <v>0.9291666666666649</v>
      </c>
      <c r="D41" s="223">
        <v>0.9381944444444427</v>
      </c>
      <c r="E41" s="224">
        <v>4.0</v>
      </c>
      <c r="F41" s="223">
        <v>0.9409722222222204</v>
      </c>
      <c r="G41" s="223">
        <v>0.946527777777776</v>
      </c>
      <c r="H41" s="223"/>
      <c r="I41" s="223">
        <v>0.952777777777776</v>
      </c>
      <c r="J41" s="224">
        <v>2.0</v>
      </c>
      <c r="K41" s="223">
        <v>0.9541666666666648</v>
      </c>
      <c r="L41" s="223">
        <v>0.9562499999999982</v>
      </c>
      <c r="M41" s="223">
        <v>0.9631944444444426</v>
      </c>
      <c r="N41" s="224">
        <v>5.0</v>
      </c>
      <c r="O41" s="234">
        <v>0.9902777777777757</v>
      </c>
      <c r="P41" s="223">
        <v>0.9944444444444424</v>
      </c>
      <c r="Q41" s="224">
        <v>2.0</v>
      </c>
      <c r="R41" s="223">
        <v>0.9958333333333312</v>
      </c>
      <c r="S41" s="223">
        <v>1.0027777777777758</v>
      </c>
      <c r="T41" s="223">
        <v>1.0069444444444424</v>
      </c>
      <c r="U41" s="224">
        <v>1.0</v>
      </c>
      <c r="V41" s="223">
        <v>1.007638888888887</v>
      </c>
      <c r="W41" s="223">
        <v>1.0131944444444425</v>
      </c>
      <c r="X41" s="223">
        <v>1.0222222222222204</v>
      </c>
      <c r="Y41" s="224">
        <v>0.0</v>
      </c>
      <c r="Z41" s="223">
        <v>1.0222222222222204</v>
      </c>
      <c r="AA41" s="223">
        <v>1.0291666666666648</v>
      </c>
      <c r="AB41" s="224"/>
      <c r="AC41" s="231"/>
      <c r="AD41" s="223"/>
      <c r="AE41" s="224"/>
      <c r="AF41" s="223"/>
      <c r="AG41" s="103">
        <f t="shared" si="1"/>
        <v>96</v>
      </c>
      <c r="AH41" s="103">
        <f t="shared" si="25"/>
        <v>110</v>
      </c>
      <c r="AI41" s="103">
        <f t="shared" si="3"/>
        <v>14</v>
      </c>
      <c r="AJ41" s="104">
        <f t="shared" si="4"/>
        <v>0.1458333333</v>
      </c>
      <c r="AK41" s="142">
        <f t="shared" si="26"/>
        <v>63</v>
      </c>
      <c r="AL41" s="217">
        <v>150.0</v>
      </c>
      <c r="BE41" s="228"/>
      <c r="BG41" s="228"/>
      <c r="BH41" s="228"/>
      <c r="BJ41" s="228"/>
      <c r="BL41" s="203"/>
    </row>
    <row r="42" ht="15.0" customHeight="1">
      <c r="A42" s="127"/>
      <c r="B42" s="141" t="s">
        <v>98</v>
      </c>
      <c r="C42" s="223">
        <v>0.9708333333333313</v>
      </c>
      <c r="D42" s="223">
        <v>0.9798611111111091</v>
      </c>
      <c r="E42" s="224">
        <v>4.0</v>
      </c>
      <c r="F42" s="223">
        <v>0.9826388888888868</v>
      </c>
      <c r="G42" s="223">
        <v>0.9881944444444424</v>
      </c>
      <c r="H42" s="223"/>
      <c r="I42" s="223">
        <v>0.9944444444444424</v>
      </c>
      <c r="J42" s="224">
        <v>2.0</v>
      </c>
      <c r="K42" s="223">
        <v>0.9958333333333312</v>
      </c>
      <c r="L42" s="223">
        <v>0.9979166666666646</v>
      </c>
      <c r="M42" s="223">
        <v>1.004861111111109</v>
      </c>
      <c r="N42" s="224"/>
      <c r="O42" s="232">
        <v>1.0291666666666648</v>
      </c>
      <c r="P42" s="223">
        <v>1.0333333333333314</v>
      </c>
      <c r="Q42" s="224"/>
      <c r="R42" s="235"/>
      <c r="S42" s="223"/>
      <c r="T42" s="223"/>
      <c r="U42" s="224"/>
      <c r="V42" s="223"/>
      <c r="W42" s="223"/>
      <c r="X42" s="223"/>
      <c r="Y42" s="224"/>
      <c r="Z42" s="223"/>
      <c r="AA42" s="223"/>
      <c r="AB42" s="224"/>
      <c r="AC42" s="223"/>
      <c r="AD42" s="223"/>
      <c r="AE42" s="224"/>
      <c r="AF42" s="223"/>
      <c r="AG42" s="103">
        <f t="shared" si="1"/>
        <v>49</v>
      </c>
      <c r="AH42" s="103">
        <f>(P42-O42)*1440+(M42-C42)*1440+N42</f>
        <v>55</v>
      </c>
      <c r="AI42" s="103">
        <f t="shared" si="3"/>
        <v>6</v>
      </c>
      <c r="AJ42" s="104">
        <f t="shared" si="4"/>
        <v>0.1224489796</v>
      </c>
      <c r="AK42" s="142">
        <f>(M42-M41)*1440</f>
        <v>60</v>
      </c>
      <c r="AL42" s="217">
        <v>151.0</v>
      </c>
      <c r="BE42" s="228"/>
      <c r="BG42" s="228"/>
      <c r="BH42" s="228"/>
      <c r="BJ42" s="228"/>
      <c r="BL42" s="203"/>
    </row>
    <row r="43" ht="18.0" customHeight="1">
      <c r="A43" s="156"/>
      <c r="AG43" s="157">
        <f t="shared" ref="AG43:AH43" si="27">SUM(AG5:AG42)/60</f>
        <v>66.15</v>
      </c>
      <c r="AH43" s="164">
        <f t="shared" si="27"/>
        <v>83.1</v>
      </c>
      <c r="AI43" s="159">
        <f>SUM(AI6:AI42)/60</f>
        <v>16.86666667</v>
      </c>
      <c r="AJ43" s="104">
        <f t="shared" si="4"/>
        <v>0.2549760645</v>
      </c>
      <c r="BE43" s="228"/>
      <c r="BG43" s="228"/>
      <c r="BH43" s="228"/>
      <c r="BJ43" s="228"/>
      <c r="BL43" s="203"/>
    </row>
    <row r="44" ht="13.5" customHeight="1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</row>
    <row r="45" ht="13.5" customHeight="1">
      <c r="A45" s="209" t="s">
        <v>82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</row>
    <row r="46" ht="13.5" customHeight="1">
      <c r="A46" s="127"/>
      <c r="C46" s="210" t="s">
        <v>124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11"/>
      <c r="V46" s="212" t="s">
        <v>125</v>
      </c>
      <c r="W46" s="2"/>
      <c r="X46" s="2"/>
      <c r="Y46" s="2"/>
      <c r="Z46" s="2"/>
      <c r="AA46" s="2"/>
      <c r="AB46" s="2"/>
      <c r="AC46" s="2"/>
      <c r="AD46" s="3"/>
      <c r="AE46" s="213" t="s">
        <v>126</v>
      </c>
      <c r="AF46" s="213"/>
    </row>
    <row r="47" ht="13.5" customHeight="1">
      <c r="A47" s="127"/>
      <c r="C47" s="66" t="s">
        <v>62</v>
      </c>
      <c r="D47" s="66" t="s">
        <v>85</v>
      </c>
      <c r="E47" s="214" t="s">
        <v>69</v>
      </c>
      <c r="F47" s="66" t="s">
        <v>62</v>
      </c>
      <c r="G47" s="215"/>
      <c r="H47" s="215"/>
      <c r="I47" s="66" t="s">
        <v>85</v>
      </c>
      <c r="J47" s="214" t="s">
        <v>69</v>
      </c>
      <c r="K47" s="66" t="s">
        <v>62</v>
      </c>
      <c r="L47" s="66"/>
      <c r="M47" s="66" t="s">
        <v>85</v>
      </c>
      <c r="N47" s="214" t="s">
        <v>69</v>
      </c>
      <c r="O47" s="66" t="s">
        <v>62</v>
      </c>
      <c r="P47" s="66" t="s">
        <v>85</v>
      </c>
      <c r="Q47" s="214" t="s">
        <v>69</v>
      </c>
      <c r="R47" s="66" t="s">
        <v>62</v>
      </c>
      <c r="S47" s="66"/>
      <c r="T47" s="66" t="s">
        <v>85</v>
      </c>
      <c r="U47" s="214" t="s">
        <v>69</v>
      </c>
      <c r="V47" s="66" t="s">
        <v>62</v>
      </c>
      <c r="W47" s="216"/>
      <c r="X47" s="66" t="s">
        <v>85</v>
      </c>
      <c r="Y47" s="214" t="s">
        <v>69</v>
      </c>
      <c r="Z47" s="66" t="s">
        <v>62</v>
      </c>
      <c r="AA47" s="66" t="s">
        <v>85</v>
      </c>
      <c r="AB47" s="214" t="s">
        <v>69</v>
      </c>
      <c r="AC47" s="66" t="s">
        <v>62</v>
      </c>
      <c r="AD47" s="66" t="s">
        <v>85</v>
      </c>
      <c r="AE47" s="214" t="s">
        <v>69</v>
      </c>
      <c r="AF47" s="66" t="s">
        <v>62</v>
      </c>
      <c r="AG47" s="217"/>
      <c r="AH47" s="217"/>
      <c r="AI47" s="217"/>
      <c r="AJ47" s="217"/>
      <c r="AK47" s="217"/>
      <c r="AL47" s="217"/>
    </row>
    <row r="48" ht="13.5" customHeight="1">
      <c r="A48" s="127"/>
      <c r="B48" s="89" t="s">
        <v>63</v>
      </c>
      <c r="C48" s="218" t="s">
        <v>127</v>
      </c>
      <c r="D48" s="218" t="s">
        <v>64</v>
      </c>
      <c r="E48" s="200"/>
      <c r="F48" s="218" t="s">
        <v>64</v>
      </c>
      <c r="G48" s="18" t="s">
        <v>128</v>
      </c>
      <c r="H48" s="218" t="s">
        <v>129</v>
      </c>
      <c r="I48" s="18" t="s">
        <v>130</v>
      </c>
      <c r="J48" s="200"/>
      <c r="K48" s="18" t="s">
        <v>130</v>
      </c>
      <c r="L48" s="18" t="s">
        <v>131</v>
      </c>
      <c r="M48" s="66" t="s">
        <v>132</v>
      </c>
      <c r="N48" s="200"/>
      <c r="O48" s="66" t="s">
        <v>132</v>
      </c>
      <c r="P48" s="18" t="s">
        <v>86</v>
      </c>
      <c r="Q48" s="200"/>
      <c r="R48" s="18" t="s">
        <v>86</v>
      </c>
      <c r="S48" s="18" t="s">
        <v>133</v>
      </c>
      <c r="T48" s="66" t="s">
        <v>70</v>
      </c>
      <c r="U48" s="200"/>
      <c r="V48" s="218" t="s">
        <v>70</v>
      </c>
      <c r="W48" s="66" t="s">
        <v>87</v>
      </c>
      <c r="X48" s="18" t="s">
        <v>134</v>
      </c>
      <c r="Y48" s="200"/>
      <c r="Z48" s="18" t="s">
        <v>134</v>
      </c>
      <c r="AA48" s="66" t="s">
        <v>132</v>
      </c>
      <c r="AB48" s="200"/>
      <c r="AC48" s="66" t="s">
        <v>132</v>
      </c>
      <c r="AD48" s="218" t="s">
        <v>127</v>
      </c>
      <c r="AE48" s="200"/>
      <c r="AF48" s="218" t="s">
        <v>127</v>
      </c>
      <c r="AG48" s="217"/>
      <c r="AH48" s="217"/>
      <c r="AI48" s="217"/>
      <c r="AJ48" s="217"/>
      <c r="AK48" s="217"/>
      <c r="AL48" s="217"/>
    </row>
    <row r="49" ht="13.5" customHeight="1">
      <c r="A49" s="127"/>
      <c r="B49" s="93" t="s">
        <v>72</v>
      </c>
      <c r="C49" s="218">
        <v>725.0</v>
      </c>
      <c r="D49" s="218">
        <v>725.0</v>
      </c>
      <c r="E49" s="175"/>
      <c r="F49" s="218">
        <v>777.0</v>
      </c>
      <c r="G49" s="218">
        <v>308.0</v>
      </c>
      <c r="H49" s="218"/>
      <c r="I49" s="18">
        <v>488.0</v>
      </c>
      <c r="J49" s="175"/>
      <c r="K49" s="18">
        <v>488.0</v>
      </c>
      <c r="L49" s="18">
        <v>313.0</v>
      </c>
      <c r="M49" s="66">
        <v>732.0</v>
      </c>
      <c r="N49" s="175"/>
      <c r="O49" s="66">
        <v>732.0</v>
      </c>
      <c r="P49" s="18">
        <v>1.0</v>
      </c>
      <c r="Q49" s="175"/>
      <c r="R49" s="18">
        <v>1.0</v>
      </c>
      <c r="S49" s="18">
        <v>129.0</v>
      </c>
      <c r="T49" s="66">
        <v>330.0</v>
      </c>
      <c r="U49" s="175"/>
      <c r="V49" s="218">
        <v>330.0</v>
      </c>
      <c r="W49" s="66">
        <v>440.0</v>
      </c>
      <c r="X49" s="18" t="s">
        <v>135</v>
      </c>
      <c r="Y49" s="175"/>
      <c r="Z49" s="18" t="s">
        <v>135</v>
      </c>
      <c r="AA49" s="66">
        <v>732.0</v>
      </c>
      <c r="AB49" s="175"/>
      <c r="AC49" s="66">
        <v>732.0</v>
      </c>
      <c r="AD49" s="218">
        <v>725.0</v>
      </c>
      <c r="AE49" s="175"/>
      <c r="AF49" s="218">
        <v>725.0</v>
      </c>
      <c r="AG49" s="139" t="s">
        <v>73</v>
      </c>
      <c r="AH49" s="139" t="s">
        <v>74</v>
      </c>
      <c r="AI49" s="139" t="s">
        <v>69</v>
      </c>
      <c r="AJ49" s="139" t="s">
        <v>121</v>
      </c>
      <c r="AK49" s="140" t="s">
        <v>76</v>
      </c>
      <c r="AL49" s="217" t="s">
        <v>136</v>
      </c>
      <c r="AN49" s="39" t="s">
        <v>142</v>
      </c>
      <c r="AO49" s="39" t="s">
        <v>143</v>
      </c>
      <c r="AP49" s="39" t="s">
        <v>144</v>
      </c>
      <c r="AQ49" s="39" t="s">
        <v>145</v>
      </c>
    </row>
    <row r="50" ht="13.5" customHeight="1">
      <c r="A50" s="127"/>
      <c r="B50" s="141" t="s">
        <v>89</v>
      </c>
      <c r="C50" s="223"/>
      <c r="D50" s="223"/>
      <c r="E50" s="224"/>
      <c r="F50" s="223"/>
      <c r="G50" s="223"/>
      <c r="H50" s="223"/>
      <c r="I50" s="223"/>
      <c r="J50" s="224"/>
      <c r="K50" s="223"/>
      <c r="L50" s="223"/>
      <c r="M50" s="223"/>
      <c r="N50" s="224"/>
      <c r="O50" s="223"/>
      <c r="P50" s="223"/>
      <c r="Q50" s="224"/>
      <c r="R50" s="223"/>
      <c r="S50" s="223"/>
      <c r="T50" s="223"/>
      <c r="U50" s="224"/>
      <c r="V50" s="223"/>
      <c r="W50" s="223"/>
      <c r="X50" s="223"/>
      <c r="Y50" s="224"/>
      <c r="Z50" s="223"/>
      <c r="AA50" s="223"/>
      <c r="AB50" s="224"/>
      <c r="AC50" s="225">
        <v>0.2909722222222222</v>
      </c>
      <c r="AD50" s="223">
        <v>0.3</v>
      </c>
      <c r="AE50" s="224">
        <v>6.0</v>
      </c>
      <c r="AF50" s="223">
        <v>0.30416666666666664</v>
      </c>
      <c r="AG50" s="103">
        <f t="shared" ref="AG50:AG83" si="28">AH50-AI50</f>
        <v>13</v>
      </c>
      <c r="AH50" s="103">
        <f t="shared" ref="AH50:AH51" si="29">(AF50-AC50)*1440</f>
        <v>19</v>
      </c>
      <c r="AI50" s="103">
        <f t="shared" ref="AI50:AI83" si="30">E50+AE50+Y50+U50+Q50+J50+AB50+N50</f>
        <v>6</v>
      </c>
      <c r="AJ50" s="104">
        <f t="shared" ref="AJ50:AJ84" si="31">AI50/AG50</f>
        <v>0.4615384615</v>
      </c>
      <c r="AK50" s="140"/>
      <c r="AL50" s="217">
        <v>43.0</v>
      </c>
      <c r="AN50" s="203"/>
      <c r="AO50" s="203"/>
      <c r="AP50" s="203">
        <f t="shared" ref="AP50:AP85" si="32">(AA50-AA9)*1440</f>
        <v>-405</v>
      </c>
      <c r="AQ50" s="203">
        <f t="shared" ref="AQ50:AQ82" si="33">(AF50-AF9)*1440</f>
        <v>0</v>
      </c>
    </row>
    <row r="51" ht="13.5" customHeight="1">
      <c r="A51" s="127"/>
      <c r="B51" s="141" t="s">
        <v>89</v>
      </c>
      <c r="C51" s="223"/>
      <c r="D51" s="223"/>
      <c r="E51" s="224"/>
      <c r="F51" s="223"/>
      <c r="G51" s="223"/>
      <c r="H51" s="223"/>
      <c r="I51" s="223"/>
      <c r="J51" s="224"/>
      <c r="K51" s="223"/>
      <c r="L51" s="223"/>
      <c r="M51" s="223"/>
      <c r="N51" s="224"/>
      <c r="O51" s="223"/>
      <c r="P51" s="223"/>
      <c r="Q51" s="224"/>
      <c r="R51" s="223"/>
      <c r="S51" s="223"/>
      <c r="T51" s="223"/>
      <c r="U51" s="224"/>
      <c r="V51" s="223"/>
      <c r="W51" s="223"/>
      <c r="X51" s="223"/>
      <c r="Y51" s="224"/>
      <c r="Z51" s="223"/>
      <c r="AA51" s="223"/>
      <c r="AB51" s="224"/>
      <c r="AC51" s="225">
        <v>0.3118055555555555</v>
      </c>
      <c r="AD51" s="223">
        <v>0.3208333333333333</v>
      </c>
      <c r="AE51" s="224">
        <v>6.0</v>
      </c>
      <c r="AF51" s="223">
        <v>0.32499999999999996</v>
      </c>
      <c r="AG51" s="103">
        <f t="shared" si="28"/>
        <v>13</v>
      </c>
      <c r="AH51" s="103">
        <f t="shared" si="29"/>
        <v>19</v>
      </c>
      <c r="AI51" s="103">
        <f t="shared" si="30"/>
        <v>6</v>
      </c>
      <c r="AJ51" s="104">
        <f t="shared" si="31"/>
        <v>0.4615384615</v>
      </c>
      <c r="AK51" s="142">
        <f t="shared" ref="AK51:AK74" si="34">(AF51-AF50)*1440</f>
        <v>30</v>
      </c>
      <c r="AL51" s="217">
        <v>43.0</v>
      </c>
      <c r="AN51" s="203">
        <f t="shared" ref="AN51:AN82" si="35">(C55-C14)*1440</f>
        <v>0</v>
      </c>
      <c r="AO51" s="203"/>
      <c r="AP51" s="203">
        <f t="shared" si="32"/>
        <v>-435</v>
      </c>
      <c r="AQ51" s="203">
        <f t="shared" si="33"/>
        <v>0</v>
      </c>
    </row>
    <row r="52" ht="13.5" customHeight="1">
      <c r="A52" s="127"/>
      <c r="B52" s="141" t="s">
        <v>89</v>
      </c>
      <c r="C52" s="223"/>
      <c r="D52" s="223"/>
      <c r="E52" s="224"/>
      <c r="F52" s="223"/>
      <c r="G52" s="223"/>
      <c r="H52" s="223"/>
      <c r="I52" s="223"/>
      <c r="J52" s="224"/>
      <c r="K52" s="223"/>
      <c r="L52" s="223"/>
      <c r="M52" s="223"/>
      <c r="N52" s="224"/>
      <c r="O52" s="223"/>
      <c r="P52" s="223"/>
      <c r="Q52" s="224"/>
      <c r="R52" s="225">
        <v>0.28541666666666665</v>
      </c>
      <c r="S52" s="223">
        <v>0.2909722222222222</v>
      </c>
      <c r="T52" s="223">
        <v>0.30069444444444443</v>
      </c>
      <c r="U52" s="224">
        <v>1.0</v>
      </c>
      <c r="V52" s="223">
        <v>0.3013888888888889</v>
      </c>
      <c r="W52" s="223">
        <v>0.3083333333333333</v>
      </c>
      <c r="X52" s="223">
        <v>0.3173611111111111</v>
      </c>
      <c r="Y52" s="224">
        <v>2.0</v>
      </c>
      <c r="Z52" s="223">
        <v>0.31875</v>
      </c>
      <c r="AA52" s="223">
        <v>0.32291666666666663</v>
      </c>
      <c r="AB52" s="224">
        <v>5.0</v>
      </c>
      <c r="AC52" s="223">
        <v>0.32638888888888884</v>
      </c>
      <c r="AD52" s="223">
        <v>0.33541666666666664</v>
      </c>
      <c r="AE52" s="224">
        <v>15.0</v>
      </c>
      <c r="AF52" s="223">
        <v>0.3458333333333333</v>
      </c>
      <c r="AG52" s="103">
        <f t="shared" si="28"/>
        <v>64</v>
      </c>
      <c r="AH52" s="103">
        <f t="shared" ref="AH52:AH53" si="36">(AF52-R52)*1440</f>
        <v>87</v>
      </c>
      <c r="AI52" s="103">
        <f t="shared" si="30"/>
        <v>23</v>
      </c>
      <c r="AJ52" s="104">
        <f t="shared" si="31"/>
        <v>0.359375</v>
      </c>
      <c r="AK52" s="142">
        <f t="shared" si="34"/>
        <v>30</v>
      </c>
      <c r="AL52" s="217">
        <v>43.0</v>
      </c>
      <c r="AN52" s="203">
        <f t="shared" si="35"/>
        <v>0</v>
      </c>
      <c r="AO52" s="203"/>
      <c r="AP52" s="203">
        <f t="shared" si="32"/>
        <v>0</v>
      </c>
      <c r="AQ52" s="203">
        <f t="shared" si="33"/>
        <v>0</v>
      </c>
    </row>
    <row r="53" ht="13.5" customHeight="1">
      <c r="A53" s="127"/>
      <c r="B53" s="141" t="s">
        <v>89</v>
      </c>
      <c r="C53" s="223"/>
      <c r="D53" s="223"/>
      <c r="E53" s="224"/>
      <c r="F53" s="223"/>
      <c r="G53" s="223"/>
      <c r="H53" s="223"/>
      <c r="I53" s="223"/>
      <c r="J53" s="224"/>
      <c r="K53" s="223"/>
      <c r="L53" s="223"/>
      <c r="M53" s="223"/>
      <c r="N53" s="224"/>
      <c r="O53" s="223"/>
      <c r="P53" s="223"/>
      <c r="Q53" s="224"/>
      <c r="R53" s="225">
        <v>0.30624999999999997</v>
      </c>
      <c r="S53" s="223">
        <v>0.3118055555555555</v>
      </c>
      <c r="T53" s="223">
        <v>0.32152777777777775</v>
      </c>
      <c r="U53" s="224">
        <v>1.0</v>
      </c>
      <c r="V53" s="223">
        <v>0.3222222222222222</v>
      </c>
      <c r="W53" s="223">
        <v>0.3291666666666666</v>
      </c>
      <c r="X53" s="223">
        <v>0.3381944444444444</v>
      </c>
      <c r="Y53" s="224">
        <v>2.0</v>
      </c>
      <c r="Z53" s="223">
        <v>0.3395833333333333</v>
      </c>
      <c r="AA53" s="223">
        <v>0.34374999999999994</v>
      </c>
      <c r="AB53" s="224">
        <v>5.0</v>
      </c>
      <c r="AC53" s="223">
        <v>0.34722222222222215</v>
      </c>
      <c r="AD53" s="223">
        <v>0.35624999999999996</v>
      </c>
      <c r="AE53" s="224">
        <v>15.0</v>
      </c>
      <c r="AF53" s="223">
        <v>0.36666666666666664</v>
      </c>
      <c r="AG53" s="103">
        <f t="shared" si="28"/>
        <v>64</v>
      </c>
      <c r="AH53" s="103">
        <f t="shared" si="36"/>
        <v>87</v>
      </c>
      <c r="AI53" s="103">
        <f t="shared" si="30"/>
        <v>23</v>
      </c>
      <c r="AJ53" s="104">
        <f t="shared" si="31"/>
        <v>0.359375</v>
      </c>
      <c r="AK53" s="142">
        <f t="shared" si="34"/>
        <v>30</v>
      </c>
      <c r="AL53" s="217">
        <v>150.0</v>
      </c>
      <c r="AN53" s="203">
        <f t="shared" si="35"/>
        <v>0</v>
      </c>
      <c r="AO53" s="203"/>
      <c r="AP53" s="203">
        <f t="shared" si="32"/>
        <v>0</v>
      </c>
      <c r="AQ53" s="203">
        <f t="shared" si="33"/>
        <v>0</v>
      </c>
    </row>
    <row r="54" ht="13.5" customHeight="1">
      <c r="A54" s="127"/>
      <c r="B54" s="141" t="s">
        <v>89</v>
      </c>
      <c r="C54" s="223"/>
      <c r="D54" s="223"/>
      <c r="E54" s="224"/>
      <c r="F54" s="225">
        <v>0.29583333333333334</v>
      </c>
      <c r="G54" s="223">
        <v>0.3013888888888889</v>
      </c>
      <c r="H54" s="223"/>
      <c r="I54" s="223">
        <v>0.3083333333333333</v>
      </c>
      <c r="J54" s="224">
        <v>2.0</v>
      </c>
      <c r="K54" s="223">
        <v>0.3097222222222222</v>
      </c>
      <c r="L54" s="223">
        <v>0.3118055555555555</v>
      </c>
      <c r="M54" s="223">
        <v>0.3180555555555555</v>
      </c>
      <c r="N54" s="224">
        <v>5.0</v>
      </c>
      <c r="O54" s="223">
        <v>0.3215277777777777</v>
      </c>
      <c r="P54" s="223">
        <v>0.32569444444444434</v>
      </c>
      <c r="Q54" s="224">
        <v>2.0</v>
      </c>
      <c r="R54" s="223">
        <v>0.3270833333333332</v>
      </c>
      <c r="S54" s="223">
        <v>0.33263888888888876</v>
      </c>
      <c r="T54" s="223">
        <v>0.342361111111111</v>
      </c>
      <c r="U54" s="224">
        <v>1.0</v>
      </c>
      <c r="V54" s="223">
        <v>0.34305555555555545</v>
      </c>
      <c r="W54" s="223">
        <v>0.34999999999999987</v>
      </c>
      <c r="X54" s="223">
        <v>0.35902777777777767</v>
      </c>
      <c r="Y54" s="224">
        <v>2.0</v>
      </c>
      <c r="Z54" s="223">
        <v>0.36041666666666655</v>
      </c>
      <c r="AA54" s="223">
        <v>0.3645833333333332</v>
      </c>
      <c r="AB54" s="224">
        <v>5.0</v>
      </c>
      <c r="AC54" s="223">
        <v>0.3680555555555554</v>
      </c>
      <c r="AD54" s="223">
        <v>0.3770833333333332</v>
      </c>
      <c r="AE54" s="224">
        <v>15.0</v>
      </c>
      <c r="AF54" s="223">
        <v>0.3874999999999999</v>
      </c>
      <c r="AG54" s="103">
        <f t="shared" si="28"/>
        <v>100</v>
      </c>
      <c r="AH54" s="103">
        <f>(AF54-F54)*1440</f>
        <v>132</v>
      </c>
      <c r="AI54" s="103">
        <f t="shared" si="30"/>
        <v>32</v>
      </c>
      <c r="AJ54" s="104">
        <f t="shared" si="31"/>
        <v>0.32</v>
      </c>
      <c r="AK54" s="142">
        <f t="shared" si="34"/>
        <v>30</v>
      </c>
      <c r="AL54" s="217">
        <v>150.0</v>
      </c>
      <c r="AN54" s="203">
        <f t="shared" si="35"/>
        <v>0</v>
      </c>
      <c r="AO54" s="203">
        <f t="shared" ref="AO54:AO85" si="37">(M54-M13)*1440</f>
        <v>1</v>
      </c>
      <c r="AP54" s="203">
        <f t="shared" si="32"/>
        <v>0</v>
      </c>
      <c r="AQ54" s="203">
        <f t="shared" si="33"/>
        <v>0</v>
      </c>
    </row>
    <row r="55" ht="13.5" customHeight="1">
      <c r="A55" s="127"/>
      <c r="B55" s="141" t="s">
        <v>77</v>
      </c>
      <c r="C55" s="223">
        <v>0.30416666666666664</v>
      </c>
      <c r="D55" s="223">
        <v>0.3138888888888889</v>
      </c>
      <c r="E55" s="224">
        <v>4.0</v>
      </c>
      <c r="F55" s="223">
        <v>0.31666666666666665</v>
      </c>
      <c r="G55" s="223">
        <v>0.3222222222222222</v>
      </c>
      <c r="H55" s="223"/>
      <c r="I55" s="223">
        <v>0.32847222222222217</v>
      </c>
      <c r="J55" s="224">
        <v>2.0</v>
      </c>
      <c r="K55" s="223">
        <v>0.32986111111111105</v>
      </c>
      <c r="L55" s="223">
        <v>0.3319444444444444</v>
      </c>
      <c r="M55" s="223">
        <v>0.33819444444444435</v>
      </c>
      <c r="N55" s="224">
        <v>5.0</v>
      </c>
      <c r="O55" s="223">
        <v>0.34166666666666656</v>
      </c>
      <c r="P55" s="223">
        <v>0.34652777777777766</v>
      </c>
      <c r="Q55" s="224">
        <v>2.0</v>
      </c>
      <c r="R55" s="223">
        <v>0.34791666666666654</v>
      </c>
      <c r="S55" s="223">
        <v>0.3541666666666665</v>
      </c>
      <c r="T55" s="223">
        <v>0.36388888888888876</v>
      </c>
      <c r="U55" s="224">
        <v>1.0</v>
      </c>
      <c r="V55" s="223">
        <v>0.3645833333333332</v>
      </c>
      <c r="W55" s="223">
        <v>0.3715277777777776</v>
      </c>
      <c r="X55" s="223">
        <v>0.38124999999999987</v>
      </c>
      <c r="Y55" s="224">
        <v>0.0</v>
      </c>
      <c r="Z55" s="223">
        <v>0.38124999999999987</v>
      </c>
      <c r="AA55" s="223">
        <v>0.3854166666666665</v>
      </c>
      <c r="AB55" s="224">
        <v>5.0</v>
      </c>
      <c r="AC55" s="223">
        <v>0.38888888888888873</v>
      </c>
      <c r="AD55" s="223">
        <v>0.39791666666666653</v>
      </c>
      <c r="AE55" s="224">
        <v>15.0</v>
      </c>
      <c r="AF55" s="223">
        <v>0.4083333333333332</v>
      </c>
      <c r="AG55" s="103">
        <f t="shared" si="28"/>
        <v>116</v>
      </c>
      <c r="AH55" s="103">
        <f t="shared" ref="AH55:AH74" si="38">(AF55-C55)*1440</f>
        <v>150</v>
      </c>
      <c r="AI55" s="103">
        <f t="shared" si="30"/>
        <v>34</v>
      </c>
      <c r="AJ55" s="104">
        <f t="shared" si="31"/>
        <v>0.2931034483</v>
      </c>
      <c r="AK55" s="142">
        <f t="shared" si="34"/>
        <v>30</v>
      </c>
      <c r="AL55" s="217">
        <v>150.0</v>
      </c>
      <c r="AN55" s="203">
        <f t="shared" si="35"/>
        <v>0</v>
      </c>
      <c r="AO55" s="203">
        <f t="shared" si="37"/>
        <v>0</v>
      </c>
      <c r="AP55" s="203">
        <f t="shared" si="32"/>
        <v>0</v>
      </c>
      <c r="AQ55" s="203">
        <f t="shared" si="33"/>
        <v>0</v>
      </c>
    </row>
    <row r="56" ht="13.5" customHeight="1">
      <c r="A56" s="127"/>
      <c r="B56" s="141" t="s">
        <v>77</v>
      </c>
      <c r="C56" s="223">
        <v>0.32499999999999996</v>
      </c>
      <c r="D56" s="223">
        <v>0.3347222222222222</v>
      </c>
      <c r="E56" s="224">
        <v>4.0</v>
      </c>
      <c r="F56" s="223">
        <v>0.33749999999999997</v>
      </c>
      <c r="G56" s="223">
        <v>0.3430555555555555</v>
      </c>
      <c r="H56" s="223"/>
      <c r="I56" s="223">
        <v>0.3493055555555555</v>
      </c>
      <c r="J56" s="224">
        <v>2.0</v>
      </c>
      <c r="K56" s="223">
        <v>0.35069444444444436</v>
      </c>
      <c r="L56" s="223">
        <v>0.3527777777777777</v>
      </c>
      <c r="M56" s="223">
        <v>0.35902777777777767</v>
      </c>
      <c r="N56" s="224">
        <v>5.0</v>
      </c>
      <c r="O56" s="223">
        <v>0.3624999999999999</v>
      </c>
      <c r="P56" s="223">
        <v>0.36736111111111097</v>
      </c>
      <c r="Q56" s="224">
        <v>2.0</v>
      </c>
      <c r="R56" s="223">
        <v>0.36874999999999986</v>
      </c>
      <c r="S56" s="223">
        <v>0.37499999999999983</v>
      </c>
      <c r="T56" s="223">
        <v>0.3847222222222221</v>
      </c>
      <c r="U56" s="224">
        <v>1.0</v>
      </c>
      <c r="V56" s="223">
        <v>0.3854166666666665</v>
      </c>
      <c r="W56" s="223">
        <v>0.39236111111111094</v>
      </c>
      <c r="X56" s="223">
        <v>0.4020833333333332</v>
      </c>
      <c r="Y56" s="224">
        <v>0.0</v>
      </c>
      <c r="Z56" s="223">
        <v>0.4020833333333332</v>
      </c>
      <c r="AA56" s="223">
        <v>0.40624999999999983</v>
      </c>
      <c r="AB56" s="224">
        <v>5.0</v>
      </c>
      <c r="AC56" s="223">
        <v>0.40972222222222204</v>
      </c>
      <c r="AD56" s="223">
        <v>0.41874999999999984</v>
      </c>
      <c r="AE56" s="224">
        <v>12.0</v>
      </c>
      <c r="AF56" s="223">
        <v>0.4270833333333332</v>
      </c>
      <c r="AG56" s="103">
        <f t="shared" si="28"/>
        <v>116</v>
      </c>
      <c r="AH56" s="103">
        <f t="shared" si="38"/>
        <v>147</v>
      </c>
      <c r="AI56" s="103">
        <f t="shared" si="30"/>
        <v>31</v>
      </c>
      <c r="AJ56" s="104">
        <f t="shared" si="31"/>
        <v>0.2672413793</v>
      </c>
      <c r="AK56" s="142">
        <f t="shared" si="34"/>
        <v>27</v>
      </c>
      <c r="AL56" s="217">
        <v>150.0</v>
      </c>
      <c r="AN56" s="203">
        <f t="shared" si="35"/>
        <v>0</v>
      </c>
      <c r="AO56" s="203">
        <f t="shared" si="37"/>
        <v>0</v>
      </c>
      <c r="AP56" s="203">
        <f t="shared" si="32"/>
        <v>0</v>
      </c>
      <c r="AQ56" s="203">
        <f t="shared" si="33"/>
        <v>0</v>
      </c>
    </row>
    <row r="57" ht="13.5" customHeight="1">
      <c r="A57" s="127"/>
      <c r="B57" s="141" t="s">
        <v>77</v>
      </c>
      <c r="C57" s="223">
        <v>0.3458333333333333</v>
      </c>
      <c r="D57" s="223">
        <v>0.35555555555555557</v>
      </c>
      <c r="E57" s="224">
        <v>4.0</v>
      </c>
      <c r="F57" s="223">
        <v>0.35833333333333334</v>
      </c>
      <c r="G57" s="223">
        <v>0.3638888888888889</v>
      </c>
      <c r="H57" s="223"/>
      <c r="I57" s="223">
        <v>0.37013888888888885</v>
      </c>
      <c r="J57" s="224">
        <v>2.0</v>
      </c>
      <c r="K57" s="223">
        <v>0.37152777777777773</v>
      </c>
      <c r="L57" s="223">
        <v>0.37361111111111106</v>
      </c>
      <c r="M57" s="223">
        <v>0.37986111111111104</v>
      </c>
      <c r="N57" s="224">
        <v>5.0</v>
      </c>
      <c r="O57" s="223">
        <v>0.38333333333333325</v>
      </c>
      <c r="P57" s="223">
        <v>0.38819444444444434</v>
      </c>
      <c r="Q57" s="224">
        <v>2.0</v>
      </c>
      <c r="R57" s="223">
        <v>0.3895833333333332</v>
      </c>
      <c r="S57" s="223">
        <v>0.3958333333333332</v>
      </c>
      <c r="T57" s="223">
        <v>0.40555555555555545</v>
      </c>
      <c r="U57" s="224">
        <v>1.0</v>
      </c>
      <c r="V57" s="223">
        <v>0.4062499999999999</v>
      </c>
      <c r="W57" s="223">
        <v>0.4131944444444443</v>
      </c>
      <c r="X57" s="223">
        <v>0.42291666666666655</v>
      </c>
      <c r="Y57" s="224">
        <v>1.0</v>
      </c>
      <c r="Z57" s="223">
        <v>0.423611111111111</v>
      </c>
      <c r="AA57" s="223">
        <v>0.42777777777777765</v>
      </c>
      <c r="AB57" s="224">
        <v>5.0</v>
      </c>
      <c r="AC57" s="223">
        <v>0.43124999999999986</v>
      </c>
      <c r="AD57" s="223">
        <v>0.44027777777777766</v>
      </c>
      <c r="AE57" s="224">
        <v>11.0</v>
      </c>
      <c r="AF57" s="223">
        <v>0.4479166666666665</v>
      </c>
      <c r="AG57" s="103">
        <f t="shared" si="28"/>
        <v>116</v>
      </c>
      <c r="AH57" s="103">
        <f t="shared" si="38"/>
        <v>147</v>
      </c>
      <c r="AI57" s="103">
        <f t="shared" si="30"/>
        <v>31</v>
      </c>
      <c r="AJ57" s="104">
        <f t="shared" si="31"/>
        <v>0.2672413793</v>
      </c>
      <c r="AK57" s="142">
        <f t="shared" si="34"/>
        <v>30</v>
      </c>
      <c r="AL57" s="217">
        <v>150.0</v>
      </c>
      <c r="AN57" s="203">
        <f t="shared" si="35"/>
        <v>0</v>
      </c>
      <c r="AO57" s="203">
        <f t="shared" si="37"/>
        <v>0</v>
      </c>
      <c r="AP57" s="203">
        <f t="shared" si="32"/>
        <v>-1</v>
      </c>
      <c r="AQ57" s="203">
        <f t="shared" si="33"/>
        <v>0</v>
      </c>
    </row>
    <row r="58" ht="13.5" customHeight="1">
      <c r="A58" s="127"/>
      <c r="B58" s="141" t="s">
        <v>77</v>
      </c>
      <c r="C58" s="223">
        <v>0.36666666666666664</v>
      </c>
      <c r="D58" s="223">
        <v>0.3763888888888889</v>
      </c>
      <c r="E58" s="224">
        <v>4.0</v>
      </c>
      <c r="F58" s="223">
        <v>0.37916666666666665</v>
      </c>
      <c r="G58" s="223">
        <v>0.3847222222222222</v>
      </c>
      <c r="H58" s="223"/>
      <c r="I58" s="223">
        <v>0.39097222222222217</v>
      </c>
      <c r="J58" s="224">
        <v>2.0</v>
      </c>
      <c r="K58" s="223">
        <v>0.39236111111111105</v>
      </c>
      <c r="L58" s="223">
        <v>0.3944444444444444</v>
      </c>
      <c r="M58" s="223">
        <v>0.40069444444444435</v>
      </c>
      <c r="N58" s="224">
        <v>5.0</v>
      </c>
      <c r="O58" s="223">
        <v>0.40416666666666656</v>
      </c>
      <c r="P58" s="223">
        <v>0.40902777777777766</v>
      </c>
      <c r="Q58" s="224">
        <v>2.0</v>
      </c>
      <c r="R58" s="223">
        <v>0.41041666666666654</v>
      </c>
      <c r="S58" s="223">
        <v>0.4166666666666665</v>
      </c>
      <c r="T58" s="223">
        <v>0.42638888888888876</v>
      </c>
      <c r="U58" s="224">
        <v>1.0</v>
      </c>
      <c r="V58" s="223">
        <v>0.4270833333333332</v>
      </c>
      <c r="W58" s="223">
        <v>0.4340277777777776</v>
      </c>
      <c r="X58" s="223">
        <v>0.44374999999999987</v>
      </c>
      <c r="Y58" s="224">
        <v>2.0</v>
      </c>
      <c r="Z58" s="223">
        <v>0.44513888888888875</v>
      </c>
      <c r="AA58" s="223">
        <v>0.4493055555555554</v>
      </c>
      <c r="AB58" s="224">
        <v>5.0</v>
      </c>
      <c r="AC58" s="223">
        <v>0.4527777777777776</v>
      </c>
      <c r="AD58" s="223">
        <v>0.4618055555555554</v>
      </c>
      <c r="AE58" s="224">
        <v>10.0</v>
      </c>
      <c r="AF58" s="223">
        <v>0.46874999999999983</v>
      </c>
      <c r="AG58" s="103">
        <f t="shared" si="28"/>
        <v>116</v>
      </c>
      <c r="AH58" s="103">
        <f t="shared" si="38"/>
        <v>147</v>
      </c>
      <c r="AI58" s="103">
        <f t="shared" si="30"/>
        <v>31</v>
      </c>
      <c r="AJ58" s="104">
        <f t="shared" si="31"/>
        <v>0.2672413793</v>
      </c>
      <c r="AK58" s="142">
        <f t="shared" si="34"/>
        <v>30</v>
      </c>
      <c r="AL58" s="217">
        <v>150.0</v>
      </c>
      <c r="AN58" s="203">
        <f t="shared" si="35"/>
        <v>0</v>
      </c>
      <c r="AO58" s="203">
        <f t="shared" si="37"/>
        <v>0</v>
      </c>
      <c r="AP58" s="203">
        <f t="shared" si="32"/>
        <v>0</v>
      </c>
      <c r="AQ58" s="203">
        <f t="shared" si="33"/>
        <v>0</v>
      </c>
    </row>
    <row r="59" ht="13.5" customHeight="1">
      <c r="A59" s="127"/>
      <c r="B59" s="141" t="s">
        <v>77</v>
      </c>
      <c r="C59" s="223">
        <v>0.3874999999999999</v>
      </c>
      <c r="D59" s="223">
        <v>0.39722222222222214</v>
      </c>
      <c r="E59" s="224">
        <v>4.0</v>
      </c>
      <c r="F59" s="223">
        <v>0.3999999999999999</v>
      </c>
      <c r="G59" s="223">
        <v>0.40555555555555545</v>
      </c>
      <c r="H59" s="223"/>
      <c r="I59" s="223">
        <v>0.4118055555555554</v>
      </c>
      <c r="J59" s="224">
        <v>2.0</v>
      </c>
      <c r="K59" s="223">
        <v>0.4131944444444443</v>
      </c>
      <c r="L59" s="223">
        <v>0.41527777777777763</v>
      </c>
      <c r="M59" s="223">
        <v>0.4215277777777776</v>
      </c>
      <c r="N59" s="224">
        <v>5.0</v>
      </c>
      <c r="O59" s="223">
        <v>0.4249999999999998</v>
      </c>
      <c r="P59" s="223">
        <v>0.4298611111111109</v>
      </c>
      <c r="Q59" s="224">
        <v>2.0</v>
      </c>
      <c r="R59" s="223">
        <v>0.4312499999999998</v>
      </c>
      <c r="S59" s="223">
        <v>0.4374999999999998</v>
      </c>
      <c r="T59" s="223">
        <v>0.447222222222222</v>
      </c>
      <c r="U59" s="224">
        <v>1.0</v>
      </c>
      <c r="V59" s="223">
        <v>0.44791666666666646</v>
      </c>
      <c r="W59" s="223">
        <v>0.4548611111111109</v>
      </c>
      <c r="X59" s="223">
        <v>0.4645833333333331</v>
      </c>
      <c r="Y59" s="224">
        <v>2.0</v>
      </c>
      <c r="Z59" s="223">
        <v>0.465972222222222</v>
      </c>
      <c r="AA59" s="223">
        <v>0.47013888888888866</v>
      </c>
      <c r="AB59" s="224">
        <v>5.0</v>
      </c>
      <c r="AC59" s="223">
        <v>0.47361111111111087</v>
      </c>
      <c r="AD59" s="223">
        <v>0.4826388888888887</v>
      </c>
      <c r="AE59" s="224">
        <v>10.0</v>
      </c>
      <c r="AF59" s="223">
        <v>0.4895833333333331</v>
      </c>
      <c r="AG59" s="103">
        <f t="shared" si="28"/>
        <v>116</v>
      </c>
      <c r="AH59" s="103">
        <f t="shared" si="38"/>
        <v>147</v>
      </c>
      <c r="AI59" s="103">
        <f t="shared" si="30"/>
        <v>31</v>
      </c>
      <c r="AJ59" s="104">
        <f t="shared" si="31"/>
        <v>0.2672413793</v>
      </c>
      <c r="AK59" s="142">
        <f t="shared" si="34"/>
        <v>30</v>
      </c>
      <c r="AL59" s="217">
        <v>150.0</v>
      </c>
      <c r="AN59" s="203">
        <f t="shared" si="35"/>
        <v>0</v>
      </c>
      <c r="AO59" s="203">
        <f t="shared" si="37"/>
        <v>0</v>
      </c>
      <c r="AP59" s="203">
        <f t="shared" si="32"/>
        <v>0</v>
      </c>
      <c r="AQ59" s="203">
        <f t="shared" si="33"/>
        <v>0</v>
      </c>
    </row>
    <row r="60" ht="13.5" customHeight="1">
      <c r="A60" s="127"/>
      <c r="B60" s="141" t="s">
        <v>77</v>
      </c>
      <c r="C60" s="223">
        <v>0.4083333333333332</v>
      </c>
      <c r="D60" s="223">
        <v>0.41805555555555546</v>
      </c>
      <c r="E60" s="224">
        <v>4.0</v>
      </c>
      <c r="F60" s="223">
        <v>0.4208333333333332</v>
      </c>
      <c r="G60" s="223">
        <v>0.42638888888888876</v>
      </c>
      <c r="H60" s="223"/>
      <c r="I60" s="223">
        <v>0.43263888888888874</v>
      </c>
      <c r="J60" s="224">
        <v>2.0</v>
      </c>
      <c r="K60" s="223">
        <v>0.4340277777777776</v>
      </c>
      <c r="L60" s="223">
        <v>0.43611111111111095</v>
      </c>
      <c r="M60" s="223">
        <v>0.4423611111111109</v>
      </c>
      <c r="N60" s="224">
        <v>5.0</v>
      </c>
      <c r="O60" s="223">
        <v>0.44583333333333314</v>
      </c>
      <c r="P60" s="223">
        <v>0.45069444444444423</v>
      </c>
      <c r="Q60" s="224">
        <v>2.0</v>
      </c>
      <c r="R60" s="223">
        <v>0.4520833333333331</v>
      </c>
      <c r="S60" s="223">
        <v>0.4583333333333331</v>
      </c>
      <c r="T60" s="223">
        <v>0.46805555555555534</v>
      </c>
      <c r="U60" s="224">
        <v>1.0</v>
      </c>
      <c r="V60" s="223">
        <v>0.4687499999999998</v>
      </c>
      <c r="W60" s="223">
        <v>0.4756944444444442</v>
      </c>
      <c r="X60" s="223">
        <v>0.48541666666666644</v>
      </c>
      <c r="Y60" s="224">
        <v>2.0</v>
      </c>
      <c r="Z60" s="223">
        <v>0.4868055555555553</v>
      </c>
      <c r="AA60" s="223">
        <v>0.490972222222222</v>
      </c>
      <c r="AB60" s="224">
        <v>5.0</v>
      </c>
      <c r="AC60" s="223">
        <v>0.4944444444444442</v>
      </c>
      <c r="AD60" s="223">
        <v>0.503472222222222</v>
      </c>
      <c r="AE60" s="224">
        <v>10.0</v>
      </c>
      <c r="AF60" s="223">
        <v>0.5104166666666664</v>
      </c>
      <c r="AG60" s="103">
        <f t="shared" si="28"/>
        <v>116</v>
      </c>
      <c r="AH60" s="103">
        <f t="shared" si="38"/>
        <v>147</v>
      </c>
      <c r="AI60" s="103">
        <f t="shared" si="30"/>
        <v>31</v>
      </c>
      <c r="AJ60" s="104">
        <f t="shared" si="31"/>
        <v>0.2672413793</v>
      </c>
      <c r="AK60" s="142">
        <f t="shared" si="34"/>
        <v>30</v>
      </c>
      <c r="AL60" s="217">
        <v>150.0</v>
      </c>
      <c r="AN60" s="203">
        <f t="shared" si="35"/>
        <v>0</v>
      </c>
      <c r="AO60" s="203">
        <f t="shared" si="37"/>
        <v>0</v>
      </c>
      <c r="AP60" s="203">
        <f t="shared" si="32"/>
        <v>0</v>
      </c>
      <c r="AQ60" s="203">
        <f t="shared" si="33"/>
        <v>0</v>
      </c>
    </row>
    <row r="61" ht="13.5" customHeight="1">
      <c r="A61" s="127"/>
      <c r="B61" s="141" t="s">
        <v>78</v>
      </c>
      <c r="C61" s="223">
        <v>0.4270833333333332</v>
      </c>
      <c r="D61" s="223">
        <v>0.43680555555555545</v>
      </c>
      <c r="E61" s="224">
        <v>4.0</v>
      </c>
      <c r="F61" s="223">
        <v>0.4395833333333332</v>
      </c>
      <c r="G61" s="223">
        <v>0.4458333333333332</v>
      </c>
      <c r="H61" s="223"/>
      <c r="I61" s="223">
        <v>0.45208333333333317</v>
      </c>
      <c r="J61" s="224">
        <v>2.0</v>
      </c>
      <c r="K61" s="223">
        <v>0.45347222222222205</v>
      </c>
      <c r="L61" s="223">
        <v>0.4562499999999998</v>
      </c>
      <c r="M61" s="223">
        <v>0.46319444444444424</v>
      </c>
      <c r="N61" s="224">
        <v>5.0</v>
      </c>
      <c r="O61" s="223">
        <v>0.46666666666666645</v>
      </c>
      <c r="P61" s="223">
        <v>0.47152777777777755</v>
      </c>
      <c r="Q61" s="224">
        <v>2.0</v>
      </c>
      <c r="R61" s="223">
        <v>0.47291666666666643</v>
      </c>
      <c r="S61" s="223">
        <v>0.4791666666666664</v>
      </c>
      <c r="T61" s="223">
        <v>0.48888888888888865</v>
      </c>
      <c r="U61" s="224">
        <v>1.0</v>
      </c>
      <c r="V61" s="223">
        <v>0.4895833333333331</v>
      </c>
      <c r="W61" s="223">
        <v>0.49722222222222195</v>
      </c>
      <c r="X61" s="223">
        <v>0.5076388888888886</v>
      </c>
      <c r="Y61" s="224">
        <v>0.0</v>
      </c>
      <c r="Z61" s="223">
        <v>0.5076388888888886</v>
      </c>
      <c r="AA61" s="223">
        <v>0.5124999999999997</v>
      </c>
      <c r="AB61" s="224">
        <v>5.0</v>
      </c>
      <c r="AC61" s="223">
        <v>0.5159722222222219</v>
      </c>
      <c r="AD61" s="223">
        <v>0.5256944444444441</v>
      </c>
      <c r="AE61" s="224">
        <v>8.0</v>
      </c>
      <c r="AF61" s="223">
        <v>0.5312499999999997</v>
      </c>
      <c r="AG61" s="103">
        <f t="shared" si="28"/>
        <v>123</v>
      </c>
      <c r="AH61" s="103">
        <f t="shared" si="38"/>
        <v>150</v>
      </c>
      <c r="AI61" s="103">
        <f t="shared" si="30"/>
        <v>27</v>
      </c>
      <c r="AJ61" s="104">
        <f t="shared" si="31"/>
        <v>0.2195121951</v>
      </c>
      <c r="AK61" s="142">
        <f t="shared" si="34"/>
        <v>30</v>
      </c>
      <c r="AL61" s="217">
        <v>150.0</v>
      </c>
      <c r="AN61" s="203">
        <f t="shared" si="35"/>
        <v>0</v>
      </c>
      <c r="AO61" s="203">
        <f t="shared" si="37"/>
        <v>0</v>
      </c>
      <c r="AP61" s="203">
        <f t="shared" si="32"/>
        <v>0</v>
      </c>
      <c r="AQ61" s="203">
        <f t="shared" si="33"/>
        <v>0</v>
      </c>
    </row>
    <row r="62" ht="13.5" customHeight="1">
      <c r="A62" s="127"/>
      <c r="B62" s="141" t="s">
        <v>78</v>
      </c>
      <c r="C62" s="223">
        <v>0.4479166666666665</v>
      </c>
      <c r="D62" s="223">
        <v>0.45763888888888876</v>
      </c>
      <c r="E62" s="224">
        <v>4.0</v>
      </c>
      <c r="F62" s="223">
        <v>0.46041666666666653</v>
      </c>
      <c r="G62" s="223">
        <v>0.4666666666666665</v>
      </c>
      <c r="H62" s="223"/>
      <c r="I62" s="223">
        <v>0.4729166666666665</v>
      </c>
      <c r="J62" s="224">
        <v>2.0</v>
      </c>
      <c r="K62" s="223">
        <v>0.47430555555555537</v>
      </c>
      <c r="L62" s="223">
        <v>0.47708333333333314</v>
      </c>
      <c r="M62" s="223">
        <v>0.48402777777777756</v>
      </c>
      <c r="N62" s="224">
        <v>5.0</v>
      </c>
      <c r="O62" s="223">
        <v>0.48749999999999977</v>
      </c>
      <c r="P62" s="223">
        <v>0.49236111111111086</v>
      </c>
      <c r="Q62" s="224">
        <v>2.0</v>
      </c>
      <c r="R62" s="223">
        <v>0.49374999999999974</v>
      </c>
      <c r="S62" s="223">
        <v>0.4999999999999997</v>
      </c>
      <c r="T62" s="223">
        <v>0.509722222222222</v>
      </c>
      <c r="U62" s="224">
        <v>1.0</v>
      </c>
      <c r="V62" s="223">
        <v>0.5104166666666664</v>
      </c>
      <c r="W62" s="223">
        <v>0.5180555555555553</v>
      </c>
      <c r="X62" s="223">
        <v>0.5284722222222219</v>
      </c>
      <c r="Y62" s="224">
        <v>0.0</v>
      </c>
      <c r="Z62" s="223">
        <v>0.5284722222222219</v>
      </c>
      <c r="AA62" s="223">
        <v>0.533333333333333</v>
      </c>
      <c r="AB62" s="224">
        <v>5.0</v>
      </c>
      <c r="AC62" s="223">
        <v>0.5368055555555552</v>
      </c>
      <c r="AD62" s="223">
        <v>0.5465277777777774</v>
      </c>
      <c r="AE62" s="224">
        <v>8.0</v>
      </c>
      <c r="AF62" s="223">
        <v>0.5520833333333329</v>
      </c>
      <c r="AG62" s="103">
        <f t="shared" si="28"/>
        <v>123</v>
      </c>
      <c r="AH62" s="103">
        <f t="shared" si="38"/>
        <v>150</v>
      </c>
      <c r="AI62" s="103">
        <f t="shared" si="30"/>
        <v>27</v>
      </c>
      <c r="AJ62" s="104">
        <f t="shared" si="31"/>
        <v>0.2195121951</v>
      </c>
      <c r="AK62" s="142">
        <f t="shared" si="34"/>
        <v>30</v>
      </c>
      <c r="AL62" s="217">
        <v>150.0</v>
      </c>
      <c r="AN62" s="203">
        <f t="shared" si="35"/>
        <v>0</v>
      </c>
      <c r="AO62" s="203">
        <f t="shared" si="37"/>
        <v>0</v>
      </c>
      <c r="AP62" s="203">
        <f t="shared" si="32"/>
        <v>0</v>
      </c>
      <c r="AQ62" s="203">
        <f t="shared" si="33"/>
        <v>0</v>
      </c>
    </row>
    <row r="63" ht="13.5" customHeight="1">
      <c r="A63" s="127"/>
      <c r="B63" s="141" t="s">
        <v>78</v>
      </c>
      <c r="C63" s="223">
        <v>0.46874999999999983</v>
      </c>
      <c r="D63" s="223">
        <v>0.4784722222222221</v>
      </c>
      <c r="E63" s="224">
        <v>4.0</v>
      </c>
      <c r="F63" s="223">
        <v>0.48124999999999984</v>
      </c>
      <c r="G63" s="223">
        <v>0.4874999999999998</v>
      </c>
      <c r="H63" s="223"/>
      <c r="I63" s="223">
        <v>0.4937499999999998</v>
      </c>
      <c r="J63" s="224">
        <v>2.0</v>
      </c>
      <c r="K63" s="223">
        <v>0.4951388888888887</v>
      </c>
      <c r="L63" s="223">
        <v>0.49791666666666645</v>
      </c>
      <c r="M63" s="223">
        <v>0.5048611111111109</v>
      </c>
      <c r="N63" s="224">
        <v>5.0</v>
      </c>
      <c r="O63" s="223">
        <v>0.5083333333333331</v>
      </c>
      <c r="P63" s="223">
        <v>0.5131944444444442</v>
      </c>
      <c r="Q63" s="224">
        <v>2.0</v>
      </c>
      <c r="R63" s="223">
        <v>0.5145833333333331</v>
      </c>
      <c r="S63" s="223">
        <v>0.520833333333333</v>
      </c>
      <c r="T63" s="223">
        <v>0.5305555555555552</v>
      </c>
      <c r="U63" s="224">
        <v>1.0</v>
      </c>
      <c r="V63" s="223">
        <v>0.5312499999999997</v>
      </c>
      <c r="W63" s="223">
        <v>0.5388888888888885</v>
      </c>
      <c r="X63" s="223">
        <v>0.5493055555555552</v>
      </c>
      <c r="Y63" s="224">
        <v>0.0</v>
      </c>
      <c r="Z63" s="223">
        <v>0.5493055555555552</v>
      </c>
      <c r="AA63" s="223">
        <v>0.5541666666666663</v>
      </c>
      <c r="AB63" s="224">
        <v>5.0</v>
      </c>
      <c r="AC63" s="223">
        <v>0.5576388888888885</v>
      </c>
      <c r="AD63" s="223">
        <v>0.5673611111111106</v>
      </c>
      <c r="AE63" s="224">
        <v>8.0</v>
      </c>
      <c r="AF63" s="223">
        <v>0.5729166666666662</v>
      </c>
      <c r="AG63" s="103">
        <f t="shared" si="28"/>
        <v>123</v>
      </c>
      <c r="AH63" s="103">
        <f t="shared" si="38"/>
        <v>150</v>
      </c>
      <c r="AI63" s="103">
        <f t="shared" si="30"/>
        <v>27</v>
      </c>
      <c r="AJ63" s="104">
        <f t="shared" si="31"/>
        <v>0.2195121951</v>
      </c>
      <c r="AK63" s="142">
        <f t="shared" si="34"/>
        <v>30</v>
      </c>
      <c r="AL63" s="217">
        <v>150.0</v>
      </c>
      <c r="AN63" s="203">
        <f t="shared" si="35"/>
        <v>0</v>
      </c>
      <c r="AO63" s="203">
        <f t="shared" si="37"/>
        <v>0</v>
      </c>
      <c r="AP63" s="203">
        <f t="shared" si="32"/>
        <v>0</v>
      </c>
      <c r="AQ63" s="203">
        <f t="shared" si="33"/>
        <v>0</v>
      </c>
    </row>
    <row r="64" ht="13.5" customHeight="1">
      <c r="A64" s="127"/>
      <c r="B64" s="141" t="s">
        <v>78</v>
      </c>
      <c r="C64" s="223">
        <v>0.4895833333333331</v>
      </c>
      <c r="D64" s="223">
        <v>0.49930555555555534</v>
      </c>
      <c r="E64" s="224">
        <v>4.0</v>
      </c>
      <c r="F64" s="223">
        <v>0.5020833333333331</v>
      </c>
      <c r="G64" s="223">
        <v>0.5083333333333331</v>
      </c>
      <c r="H64" s="223"/>
      <c r="I64" s="223">
        <v>0.5145833333333331</v>
      </c>
      <c r="J64" s="224">
        <v>2.0</v>
      </c>
      <c r="K64" s="223">
        <v>0.5159722222222219</v>
      </c>
      <c r="L64" s="223">
        <v>0.5187499999999997</v>
      </c>
      <c r="M64" s="223">
        <v>0.5256944444444441</v>
      </c>
      <c r="N64" s="224">
        <v>5.0</v>
      </c>
      <c r="O64" s="223">
        <v>0.5291666666666663</v>
      </c>
      <c r="P64" s="223">
        <v>0.5340277777777774</v>
      </c>
      <c r="Q64" s="224">
        <v>2.0</v>
      </c>
      <c r="R64" s="223">
        <v>0.5354166666666663</v>
      </c>
      <c r="S64" s="223">
        <v>0.5416666666666663</v>
      </c>
      <c r="T64" s="223">
        <v>0.5513888888888885</v>
      </c>
      <c r="U64" s="224">
        <v>1.0</v>
      </c>
      <c r="V64" s="223">
        <v>0.5520833333333329</v>
      </c>
      <c r="W64" s="223">
        <v>0.5597222222222218</v>
      </c>
      <c r="X64" s="223">
        <v>0.5701388888888884</v>
      </c>
      <c r="Y64" s="224">
        <v>0.0</v>
      </c>
      <c r="Z64" s="223">
        <v>0.5701388888888884</v>
      </c>
      <c r="AA64" s="223">
        <v>0.5749999999999995</v>
      </c>
      <c r="AB64" s="224">
        <v>5.0</v>
      </c>
      <c r="AC64" s="223">
        <v>0.5784722222222217</v>
      </c>
      <c r="AD64" s="223">
        <v>0.5881944444444439</v>
      </c>
      <c r="AE64" s="224">
        <v>8.0</v>
      </c>
      <c r="AF64" s="223">
        <v>0.5937499999999994</v>
      </c>
      <c r="AG64" s="103">
        <f t="shared" si="28"/>
        <v>123</v>
      </c>
      <c r="AH64" s="103">
        <f t="shared" si="38"/>
        <v>150</v>
      </c>
      <c r="AI64" s="103">
        <f t="shared" si="30"/>
        <v>27</v>
      </c>
      <c r="AJ64" s="104">
        <f t="shared" si="31"/>
        <v>0.2195121951</v>
      </c>
      <c r="AK64" s="142">
        <f t="shared" si="34"/>
        <v>30</v>
      </c>
      <c r="AL64" s="217">
        <v>150.0</v>
      </c>
      <c r="AN64" s="203">
        <f t="shared" si="35"/>
        <v>0</v>
      </c>
      <c r="AO64" s="203">
        <f t="shared" si="37"/>
        <v>0</v>
      </c>
      <c r="AP64" s="203">
        <f t="shared" si="32"/>
        <v>0</v>
      </c>
      <c r="AQ64" s="203">
        <f t="shared" si="33"/>
        <v>0</v>
      </c>
    </row>
    <row r="65" ht="13.5" customHeight="1">
      <c r="A65" s="127"/>
      <c r="B65" s="141" t="s">
        <v>78</v>
      </c>
      <c r="C65" s="223">
        <v>0.5104166666666664</v>
      </c>
      <c r="D65" s="223">
        <v>0.5201388888888886</v>
      </c>
      <c r="E65" s="224">
        <v>4.0</v>
      </c>
      <c r="F65" s="223">
        <v>0.5229166666666664</v>
      </c>
      <c r="G65" s="223">
        <v>0.5291666666666663</v>
      </c>
      <c r="H65" s="223"/>
      <c r="I65" s="223">
        <v>0.5354166666666663</v>
      </c>
      <c r="J65" s="224">
        <v>2.0</v>
      </c>
      <c r="K65" s="223">
        <v>0.5368055555555552</v>
      </c>
      <c r="L65" s="223">
        <v>0.539583333333333</v>
      </c>
      <c r="M65" s="223">
        <v>0.5465277777777774</v>
      </c>
      <c r="N65" s="224">
        <v>5.0</v>
      </c>
      <c r="O65" s="223">
        <v>0.5499999999999996</v>
      </c>
      <c r="P65" s="223">
        <v>0.5548611111111107</v>
      </c>
      <c r="Q65" s="224">
        <v>2.0</v>
      </c>
      <c r="R65" s="223">
        <v>0.5562499999999996</v>
      </c>
      <c r="S65" s="223">
        <v>0.5624999999999996</v>
      </c>
      <c r="T65" s="223">
        <v>0.5722222222222217</v>
      </c>
      <c r="U65" s="224">
        <v>1.0</v>
      </c>
      <c r="V65" s="223">
        <v>0.5729166666666662</v>
      </c>
      <c r="W65" s="223">
        <v>0.580555555555555</v>
      </c>
      <c r="X65" s="223">
        <v>0.5909722222222217</v>
      </c>
      <c r="Y65" s="224">
        <v>0.0</v>
      </c>
      <c r="Z65" s="223">
        <v>0.5909722222222217</v>
      </c>
      <c r="AA65" s="223">
        <v>0.5958333333333328</v>
      </c>
      <c r="AB65" s="224">
        <v>5.0</v>
      </c>
      <c r="AC65" s="223">
        <v>0.599305555555555</v>
      </c>
      <c r="AD65" s="223">
        <v>0.6090277777777772</v>
      </c>
      <c r="AE65" s="224">
        <v>8.0</v>
      </c>
      <c r="AF65" s="223">
        <v>0.6145833333333327</v>
      </c>
      <c r="AG65" s="103">
        <f t="shared" si="28"/>
        <v>123</v>
      </c>
      <c r="AH65" s="103">
        <f t="shared" si="38"/>
        <v>150</v>
      </c>
      <c r="AI65" s="103">
        <f t="shared" si="30"/>
        <v>27</v>
      </c>
      <c r="AJ65" s="104">
        <f t="shared" si="31"/>
        <v>0.2195121951</v>
      </c>
      <c r="AK65" s="142">
        <f t="shared" si="34"/>
        <v>30</v>
      </c>
      <c r="AL65" s="217">
        <v>150.0</v>
      </c>
      <c r="AN65" s="203">
        <f t="shared" si="35"/>
        <v>0</v>
      </c>
      <c r="AO65" s="203">
        <f t="shared" si="37"/>
        <v>0</v>
      </c>
      <c r="AP65" s="203">
        <f t="shared" si="32"/>
        <v>0</v>
      </c>
      <c r="AQ65" s="203">
        <f t="shared" si="33"/>
        <v>0</v>
      </c>
    </row>
    <row r="66" ht="13.5" customHeight="1">
      <c r="A66" s="127"/>
      <c r="B66" s="141" t="s">
        <v>78</v>
      </c>
      <c r="C66" s="223">
        <v>0.5312499999999997</v>
      </c>
      <c r="D66" s="223">
        <v>0.5409722222222219</v>
      </c>
      <c r="E66" s="224">
        <v>4.0</v>
      </c>
      <c r="F66" s="223">
        <v>0.5437499999999996</v>
      </c>
      <c r="G66" s="223">
        <v>0.5499999999999996</v>
      </c>
      <c r="H66" s="223"/>
      <c r="I66" s="223">
        <v>0.5562499999999996</v>
      </c>
      <c r="J66" s="224">
        <v>2.0</v>
      </c>
      <c r="K66" s="223">
        <v>0.5576388888888885</v>
      </c>
      <c r="L66" s="223">
        <v>0.5604166666666662</v>
      </c>
      <c r="M66" s="223">
        <v>0.5673611111111106</v>
      </c>
      <c r="N66" s="224">
        <v>5.0</v>
      </c>
      <c r="O66" s="223">
        <v>0.5708333333333329</v>
      </c>
      <c r="P66" s="223">
        <v>0.575694444444444</v>
      </c>
      <c r="Q66" s="224">
        <v>2.0</v>
      </c>
      <c r="R66" s="223">
        <v>0.5770833333333328</v>
      </c>
      <c r="S66" s="223">
        <v>0.5833333333333328</v>
      </c>
      <c r="T66" s="223">
        <v>0.593055555555555</v>
      </c>
      <c r="U66" s="224">
        <v>1.0</v>
      </c>
      <c r="V66" s="223">
        <v>0.5937499999999994</v>
      </c>
      <c r="W66" s="223">
        <v>0.6013888888888883</v>
      </c>
      <c r="X66" s="223">
        <v>0.6118055555555549</v>
      </c>
      <c r="Y66" s="224">
        <v>0.0</v>
      </c>
      <c r="Z66" s="223">
        <v>0.6118055555555549</v>
      </c>
      <c r="AA66" s="223">
        <v>0.616666666666666</v>
      </c>
      <c r="AB66" s="224">
        <v>5.0</v>
      </c>
      <c r="AC66" s="223">
        <v>0.6201388888888882</v>
      </c>
      <c r="AD66" s="223">
        <v>0.6298611111111104</v>
      </c>
      <c r="AE66" s="224">
        <v>8.0</v>
      </c>
      <c r="AF66" s="223">
        <v>0.635416666666666</v>
      </c>
      <c r="AG66" s="103">
        <f t="shared" si="28"/>
        <v>123</v>
      </c>
      <c r="AH66" s="103">
        <f t="shared" si="38"/>
        <v>150</v>
      </c>
      <c r="AI66" s="103">
        <f t="shared" si="30"/>
        <v>27</v>
      </c>
      <c r="AJ66" s="104">
        <f t="shared" si="31"/>
        <v>0.2195121951</v>
      </c>
      <c r="AK66" s="142">
        <f t="shared" si="34"/>
        <v>30</v>
      </c>
      <c r="AL66" s="217">
        <v>150.0</v>
      </c>
      <c r="AN66" s="203">
        <f t="shared" si="35"/>
        <v>0</v>
      </c>
      <c r="AO66" s="203">
        <f t="shared" si="37"/>
        <v>0</v>
      </c>
      <c r="AP66" s="203">
        <f t="shared" si="32"/>
        <v>0</v>
      </c>
      <c r="AQ66" s="203">
        <f t="shared" si="33"/>
        <v>0</v>
      </c>
    </row>
    <row r="67" ht="13.5" customHeight="1">
      <c r="A67" s="127"/>
      <c r="B67" s="141" t="s">
        <v>78</v>
      </c>
      <c r="C67" s="223">
        <v>0.5520833333333329</v>
      </c>
      <c r="D67" s="223">
        <v>0.5618055555555551</v>
      </c>
      <c r="E67" s="224">
        <v>4.0</v>
      </c>
      <c r="F67" s="223">
        <v>0.5645833333333329</v>
      </c>
      <c r="G67" s="223">
        <v>0.5708333333333329</v>
      </c>
      <c r="H67" s="223"/>
      <c r="I67" s="223">
        <v>0.5770833333333328</v>
      </c>
      <c r="J67" s="224">
        <v>2.0</v>
      </c>
      <c r="K67" s="223">
        <v>0.5784722222222217</v>
      </c>
      <c r="L67" s="223">
        <v>0.5812499999999995</v>
      </c>
      <c r="M67" s="223">
        <v>0.5881944444444439</v>
      </c>
      <c r="N67" s="224">
        <v>5.0</v>
      </c>
      <c r="O67" s="223">
        <v>0.5916666666666661</v>
      </c>
      <c r="P67" s="223">
        <v>0.5965277777777772</v>
      </c>
      <c r="Q67" s="224">
        <v>2.0</v>
      </c>
      <c r="R67" s="223">
        <v>0.5979166666666661</v>
      </c>
      <c r="S67" s="223">
        <v>0.6041666666666661</v>
      </c>
      <c r="T67" s="223">
        <v>0.6138888888888883</v>
      </c>
      <c r="U67" s="224">
        <v>1.0</v>
      </c>
      <c r="V67" s="223">
        <v>0.6145833333333327</v>
      </c>
      <c r="W67" s="223">
        <v>0.6222222222222216</v>
      </c>
      <c r="X67" s="223">
        <v>0.6326388888888882</v>
      </c>
      <c r="Y67" s="224">
        <v>0.0</v>
      </c>
      <c r="Z67" s="223">
        <v>0.6326388888888882</v>
      </c>
      <c r="AA67" s="223">
        <v>0.6374999999999993</v>
      </c>
      <c r="AB67" s="224">
        <v>5.0</v>
      </c>
      <c r="AC67" s="223">
        <v>0.6409722222222215</v>
      </c>
      <c r="AD67" s="223">
        <v>0.6506944444444437</v>
      </c>
      <c r="AE67" s="224">
        <v>8.0</v>
      </c>
      <c r="AF67" s="223">
        <v>0.6562499999999992</v>
      </c>
      <c r="AG67" s="103">
        <f t="shared" si="28"/>
        <v>123</v>
      </c>
      <c r="AH67" s="103">
        <f t="shared" si="38"/>
        <v>150</v>
      </c>
      <c r="AI67" s="103">
        <f t="shared" si="30"/>
        <v>27</v>
      </c>
      <c r="AJ67" s="104">
        <f t="shared" si="31"/>
        <v>0.2195121951</v>
      </c>
      <c r="AK67" s="142">
        <f t="shared" si="34"/>
        <v>30</v>
      </c>
      <c r="AL67" s="217">
        <v>150.0</v>
      </c>
      <c r="AN67" s="203">
        <f t="shared" si="35"/>
        <v>0</v>
      </c>
      <c r="AO67" s="203">
        <f t="shared" si="37"/>
        <v>0</v>
      </c>
      <c r="AP67" s="203">
        <f t="shared" si="32"/>
        <v>0</v>
      </c>
      <c r="AQ67" s="203">
        <f t="shared" si="33"/>
        <v>0</v>
      </c>
    </row>
    <row r="68" ht="13.5" customHeight="1">
      <c r="A68" s="127"/>
      <c r="B68" s="141" t="s">
        <v>78</v>
      </c>
      <c r="C68" s="223">
        <v>0.5729166666666662</v>
      </c>
      <c r="D68" s="223">
        <v>0.5826388888888884</v>
      </c>
      <c r="E68" s="224">
        <v>4.0</v>
      </c>
      <c r="F68" s="223">
        <v>0.5854166666666661</v>
      </c>
      <c r="G68" s="223">
        <v>0.5916666666666661</v>
      </c>
      <c r="H68" s="223"/>
      <c r="I68" s="223">
        <v>0.5979166666666661</v>
      </c>
      <c r="J68" s="224">
        <v>2.0</v>
      </c>
      <c r="K68" s="223">
        <v>0.599305555555555</v>
      </c>
      <c r="L68" s="223">
        <v>0.6020833333333327</v>
      </c>
      <c r="M68" s="223">
        <v>0.6090277777777772</v>
      </c>
      <c r="N68" s="224">
        <v>5.0</v>
      </c>
      <c r="O68" s="223">
        <v>0.6124999999999994</v>
      </c>
      <c r="P68" s="223">
        <v>0.6173611111111105</v>
      </c>
      <c r="Q68" s="224">
        <v>2.0</v>
      </c>
      <c r="R68" s="223">
        <v>0.6187499999999994</v>
      </c>
      <c r="S68" s="223">
        <v>0.6249999999999993</v>
      </c>
      <c r="T68" s="223">
        <v>0.6347222222222215</v>
      </c>
      <c r="U68" s="224">
        <v>1.0</v>
      </c>
      <c r="V68" s="223">
        <v>0.635416666666666</v>
      </c>
      <c r="W68" s="223">
        <v>0.6430555555555548</v>
      </c>
      <c r="X68" s="223">
        <v>0.6534722222222215</v>
      </c>
      <c r="Y68" s="224">
        <v>0.0</v>
      </c>
      <c r="Z68" s="223">
        <v>0.6534722222222215</v>
      </c>
      <c r="AA68" s="223">
        <v>0.6583333333333325</v>
      </c>
      <c r="AB68" s="224">
        <v>5.0</v>
      </c>
      <c r="AC68" s="223">
        <v>0.6618055555555548</v>
      </c>
      <c r="AD68" s="223">
        <v>0.671527777777777</v>
      </c>
      <c r="AE68" s="224">
        <v>8.0</v>
      </c>
      <c r="AF68" s="223">
        <v>0.6770833333333325</v>
      </c>
      <c r="AG68" s="103">
        <f t="shared" si="28"/>
        <v>123</v>
      </c>
      <c r="AH68" s="103">
        <f t="shared" si="38"/>
        <v>150</v>
      </c>
      <c r="AI68" s="103">
        <f t="shared" si="30"/>
        <v>27</v>
      </c>
      <c r="AJ68" s="104">
        <f t="shared" si="31"/>
        <v>0.2195121951</v>
      </c>
      <c r="AK68" s="142">
        <f t="shared" si="34"/>
        <v>30</v>
      </c>
      <c r="AL68" s="217">
        <v>150.0</v>
      </c>
      <c r="AN68" s="203">
        <f t="shared" si="35"/>
        <v>0</v>
      </c>
      <c r="AO68" s="203">
        <f t="shared" si="37"/>
        <v>0</v>
      </c>
      <c r="AP68" s="203">
        <f t="shared" si="32"/>
        <v>0</v>
      </c>
      <c r="AQ68" s="203">
        <f t="shared" si="33"/>
        <v>0</v>
      </c>
    </row>
    <row r="69" ht="13.5" customHeight="1">
      <c r="A69" s="127"/>
      <c r="B69" s="141" t="s">
        <v>78</v>
      </c>
      <c r="C69" s="223">
        <v>0.5937499999999994</v>
      </c>
      <c r="D69" s="223">
        <v>0.6034722222222216</v>
      </c>
      <c r="E69" s="224">
        <v>4.0</v>
      </c>
      <c r="F69" s="223">
        <v>0.6062499999999994</v>
      </c>
      <c r="G69" s="223">
        <v>0.6124999999999994</v>
      </c>
      <c r="H69" s="223"/>
      <c r="I69" s="223">
        <v>0.6187499999999994</v>
      </c>
      <c r="J69" s="224">
        <v>2.0</v>
      </c>
      <c r="K69" s="223">
        <v>0.6201388888888882</v>
      </c>
      <c r="L69" s="223">
        <v>0.622916666666666</v>
      </c>
      <c r="M69" s="223">
        <v>0.6298611111111104</v>
      </c>
      <c r="N69" s="224">
        <v>5.0</v>
      </c>
      <c r="O69" s="223">
        <v>0.6333333333333326</v>
      </c>
      <c r="P69" s="223">
        <v>0.6381944444444437</v>
      </c>
      <c r="Q69" s="224">
        <v>2.0</v>
      </c>
      <c r="R69" s="223">
        <v>0.6395833333333326</v>
      </c>
      <c r="S69" s="223">
        <v>0.6458333333333326</v>
      </c>
      <c r="T69" s="223">
        <v>0.6555555555555548</v>
      </c>
      <c r="U69" s="224">
        <v>1.0</v>
      </c>
      <c r="V69" s="223">
        <v>0.6562499999999992</v>
      </c>
      <c r="W69" s="223">
        <v>0.6638888888888881</v>
      </c>
      <c r="X69" s="223">
        <v>0.6743055555555547</v>
      </c>
      <c r="Y69" s="224">
        <v>0.0</v>
      </c>
      <c r="Z69" s="223">
        <v>0.6743055555555547</v>
      </c>
      <c r="AA69" s="223">
        <v>0.6791666666666658</v>
      </c>
      <c r="AB69" s="224">
        <v>5.0</v>
      </c>
      <c r="AC69" s="223">
        <v>0.682638888888888</v>
      </c>
      <c r="AD69" s="223">
        <v>0.6923611111111102</v>
      </c>
      <c r="AE69" s="224">
        <v>8.0</v>
      </c>
      <c r="AF69" s="223">
        <v>0.6979166666666657</v>
      </c>
      <c r="AG69" s="103">
        <f t="shared" si="28"/>
        <v>123</v>
      </c>
      <c r="AH69" s="103">
        <f t="shared" si="38"/>
        <v>150</v>
      </c>
      <c r="AI69" s="103">
        <f t="shared" si="30"/>
        <v>27</v>
      </c>
      <c r="AJ69" s="104">
        <f t="shared" si="31"/>
        <v>0.2195121951</v>
      </c>
      <c r="AK69" s="142">
        <f t="shared" si="34"/>
        <v>30</v>
      </c>
      <c r="AL69" s="217">
        <v>150.0</v>
      </c>
      <c r="AN69" s="203">
        <f t="shared" si="35"/>
        <v>0</v>
      </c>
      <c r="AO69" s="203">
        <f t="shared" si="37"/>
        <v>0</v>
      </c>
      <c r="AP69" s="203">
        <f t="shared" si="32"/>
        <v>0</v>
      </c>
      <c r="AQ69" s="203">
        <f t="shared" si="33"/>
        <v>0</v>
      </c>
    </row>
    <row r="70" ht="13.5" customHeight="1">
      <c r="A70" s="127"/>
      <c r="B70" s="141" t="s">
        <v>78</v>
      </c>
      <c r="C70" s="223">
        <v>0.6145833333333327</v>
      </c>
      <c r="D70" s="223">
        <v>0.6243055555555549</v>
      </c>
      <c r="E70" s="224">
        <v>4.0</v>
      </c>
      <c r="F70" s="223">
        <v>0.6270833333333327</v>
      </c>
      <c r="G70" s="223">
        <v>0.6333333333333326</v>
      </c>
      <c r="H70" s="223"/>
      <c r="I70" s="223">
        <v>0.6395833333333326</v>
      </c>
      <c r="J70" s="224">
        <v>2.0</v>
      </c>
      <c r="K70" s="223">
        <v>0.6409722222222215</v>
      </c>
      <c r="L70" s="223">
        <v>0.6437499999999993</v>
      </c>
      <c r="M70" s="223">
        <v>0.6506944444444437</v>
      </c>
      <c r="N70" s="224">
        <v>5.0</v>
      </c>
      <c r="O70" s="223">
        <v>0.6541666666666659</v>
      </c>
      <c r="P70" s="223">
        <v>0.659027777777777</v>
      </c>
      <c r="Q70" s="224">
        <v>2.0</v>
      </c>
      <c r="R70" s="223">
        <v>0.6604166666666659</v>
      </c>
      <c r="S70" s="223">
        <v>0.6666666666666659</v>
      </c>
      <c r="T70" s="223">
        <v>0.676388888888888</v>
      </c>
      <c r="U70" s="224">
        <v>1.0</v>
      </c>
      <c r="V70" s="223">
        <v>0.6770833333333325</v>
      </c>
      <c r="W70" s="223">
        <v>0.6847222222222213</v>
      </c>
      <c r="X70" s="223">
        <v>0.695138888888888</v>
      </c>
      <c r="Y70" s="224">
        <v>2.0</v>
      </c>
      <c r="Z70" s="223">
        <v>0.6965277777777769</v>
      </c>
      <c r="AA70" s="223">
        <v>0.701388888888888</v>
      </c>
      <c r="AB70" s="224">
        <v>5.0</v>
      </c>
      <c r="AC70" s="223">
        <v>0.7048611111111102</v>
      </c>
      <c r="AD70" s="223">
        <v>0.7145833333333323</v>
      </c>
      <c r="AE70" s="224">
        <v>6.0</v>
      </c>
      <c r="AF70" s="223">
        <v>0.718749999999999</v>
      </c>
      <c r="AG70" s="103">
        <f t="shared" si="28"/>
        <v>123</v>
      </c>
      <c r="AH70" s="103">
        <f t="shared" si="38"/>
        <v>150</v>
      </c>
      <c r="AI70" s="103">
        <f t="shared" si="30"/>
        <v>27</v>
      </c>
      <c r="AJ70" s="104">
        <f t="shared" si="31"/>
        <v>0.2195121951</v>
      </c>
      <c r="AK70" s="142">
        <f t="shared" si="34"/>
        <v>30</v>
      </c>
      <c r="AL70" s="217">
        <v>150.0</v>
      </c>
      <c r="AN70" s="203">
        <f t="shared" si="35"/>
        <v>0</v>
      </c>
      <c r="AO70" s="203">
        <f t="shared" si="37"/>
        <v>0</v>
      </c>
      <c r="AP70" s="203">
        <f t="shared" si="32"/>
        <v>0</v>
      </c>
      <c r="AQ70" s="203">
        <f t="shared" si="33"/>
        <v>0</v>
      </c>
    </row>
    <row r="71" ht="13.5" customHeight="1">
      <c r="A71" s="127"/>
      <c r="B71" s="141" t="s">
        <v>78</v>
      </c>
      <c r="C71" s="223">
        <v>0.635416666666666</v>
      </c>
      <c r="D71" s="223">
        <v>0.6451388888888882</v>
      </c>
      <c r="E71" s="224">
        <v>4.0</v>
      </c>
      <c r="F71" s="223">
        <v>0.6479166666666659</v>
      </c>
      <c r="G71" s="223">
        <v>0.6541666666666659</v>
      </c>
      <c r="H71" s="223"/>
      <c r="I71" s="223">
        <v>0.6604166666666659</v>
      </c>
      <c r="J71" s="224">
        <v>2.0</v>
      </c>
      <c r="K71" s="223">
        <v>0.6618055555555548</v>
      </c>
      <c r="L71" s="223">
        <v>0.6645833333333325</v>
      </c>
      <c r="M71" s="223">
        <v>0.671527777777777</v>
      </c>
      <c r="N71" s="224">
        <v>5.0</v>
      </c>
      <c r="O71" s="223">
        <v>0.6749999999999992</v>
      </c>
      <c r="P71" s="223">
        <v>0.6798611111111103</v>
      </c>
      <c r="Q71" s="224">
        <v>2.0</v>
      </c>
      <c r="R71" s="223">
        <v>0.6812499999999991</v>
      </c>
      <c r="S71" s="223">
        <v>0.6874999999999991</v>
      </c>
      <c r="T71" s="223">
        <v>0.6972222222222213</v>
      </c>
      <c r="U71" s="224">
        <v>2.0</v>
      </c>
      <c r="V71" s="223">
        <v>0.6986111111111102</v>
      </c>
      <c r="W71" s="223">
        <v>0.706249999999999</v>
      </c>
      <c r="X71" s="223">
        <v>0.7166666666666657</v>
      </c>
      <c r="Y71" s="224">
        <v>2.0</v>
      </c>
      <c r="Z71" s="223">
        <v>0.7180555555555546</v>
      </c>
      <c r="AA71" s="223">
        <v>0.7229166666666657</v>
      </c>
      <c r="AB71" s="224">
        <v>5.0</v>
      </c>
      <c r="AC71" s="223">
        <v>0.7263888888888879</v>
      </c>
      <c r="AD71" s="223">
        <v>0.73611111111111</v>
      </c>
      <c r="AE71" s="224">
        <v>5.0</v>
      </c>
      <c r="AF71" s="223">
        <v>0.7395833333333323</v>
      </c>
      <c r="AG71" s="103">
        <f t="shared" si="28"/>
        <v>123</v>
      </c>
      <c r="AH71" s="103">
        <f t="shared" si="38"/>
        <v>150</v>
      </c>
      <c r="AI71" s="103">
        <f t="shared" si="30"/>
        <v>27</v>
      </c>
      <c r="AJ71" s="104">
        <f t="shared" si="31"/>
        <v>0.2195121951</v>
      </c>
      <c r="AK71" s="142">
        <f t="shared" si="34"/>
        <v>30</v>
      </c>
      <c r="AL71" s="217">
        <v>150.0</v>
      </c>
      <c r="AN71" s="203">
        <f t="shared" si="35"/>
        <v>0</v>
      </c>
      <c r="AO71" s="203">
        <f t="shared" si="37"/>
        <v>0</v>
      </c>
      <c r="AP71" s="203">
        <f t="shared" si="32"/>
        <v>0</v>
      </c>
      <c r="AQ71" s="203">
        <f t="shared" si="33"/>
        <v>0</v>
      </c>
    </row>
    <row r="72" ht="13.5" customHeight="1">
      <c r="A72" s="127"/>
      <c r="B72" s="141" t="s">
        <v>78</v>
      </c>
      <c r="C72" s="223">
        <v>0.6562499999999992</v>
      </c>
      <c r="D72" s="223">
        <v>0.6659722222222214</v>
      </c>
      <c r="E72" s="224">
        <v>4.0</v>
      </c>
      <c r="F72" s="223">
        <v>0.6687499999999992</v>
      </c>
      <c r="G72" s="223">
        <v>0.6749999999999992</v>
      </c>
      <c r="H72" s="223"/>
      <c r="I72" s="223">
        <v>0.6812499999999991</v>
      </c>
      <c r="J72" s="224">
        <v>2.0</v>
      </c>
      <c r="K72" s="223">
        <v>0.682638888888888</v>
      </c>
      <c r="L72" s="223">
        <v>0.6854166666666658</v>
      </c>
      <c r="M72" s="223">
        <v>0.6923611111111102</v>
      </c>
      <c r="N72" s="224">
        <v>5.0</v>
      </c>
      <c r="O72" s="223">
        <v>0.6958333333333324</v>
      </c>
      <c r="P72" s="223">
        <v>0.7006944444444435</v>
      </c>
      <c r="Q72" s="224">
        <v>2.0</v>
      </c>
      <c r="R72" s="223">
        <v>0.7020833333333324</v>
      </c>
      <c r="S72" s="223">
        <v>0.7083333333333324</v>
      </c>
      <c r="T72" s="223">
        <v>0.7180555555555546</v>
      </c>
      <c r="U72" s="224">
        <v>2.0</v>
      </c>
      <c r="V72" s="223">
        <v>0.7194444444444434</v>
      </c>
      <c r="W72" s="223">
        <v>0.7270833333333323</v>
      </c>
      <c r="X72" s="223">
        <v>0.7374999999999989</v>
      </c>
      <c r="Y72" s="224">
        <v>2.0</v>
      </c>
      <c r="Z72" s="223">
        <v>0.7388888888888878</v>
      </c>
      <c r="AA72" s="223">
        <v>0.7437499999999989</v>
      </c>
      <c r="AB72" s="224">
        <v>5.0</v>
      </c>
      <c r="AC72" s="223">
        <v>0.7472222222222211</v>
      </c>
      <c r="AD72" s="223">
        <v>0.7569444444444433</v>
      </c>
      <c r="AE72" s="224">
        <v>5.0</v>
      </c>
      <c r="AF72" s="223">
        <v>0.7604166666666655</v>
      </c>
      <c r="AG72" s="103">
        <f t="shared" si="28"/>
        <v>123</v>
      </c>
      <c r="AH72" s="103">
        <f t="shared" si="38"/>
        <v>150</v>
      </c>
      <c r="AI72" s="103">
        <f t="shared" si="30"/>
        <v>27</v>
      </c>
      <c r="AJ72" s="104">
        <f t="shared" si="31"/>
        <v>0.2195121951</v>
      </c>
      <c r="AK72" s="142">
        <f t="shared" si="34"/>
        <v>30</v>
      </c>
      <c r="AL72" s="217">
        <v>150.0</v>
      </c>
      <c r="AN72" s="203">
        <f t="shared" si="35"/>
        <v>0</v>
      </c>
      <c r="AO72" s="203">
        <f t="shared" si="37"/>
        <v>0</v>
      </c>
      <c r="AP72" s="203">
        <f t="shared" si="32"/>
        <v>0</v>
      </c>
      <c r="AQ72" s="203">
        <f t="shared" si="33"/>
        <v>0</v>
      </c>
    </row>
    <row r="73" ht="13.5" customHeight="1">
      <c r="A73" s="127"/>
      <c r="B73" s="141" t="s">
        <v>79</v>
      </c>
      <c r="C73" s="223">
        <v>0.6770833333333325</v>
      </c>
      <c r="D73" s="223">
        <v>0.6861111111111102</v>
      </c>
      <c r="E73" s="224">
        <v>4.0</v>
      </c>
      <c r="F73" s="223">
        <v>0.688888888888888</v>
      </c>
      <c r="G73" s="223">
        <v>0.6958333333333324</v>
      </c>
      <c r="H73" s="223"/>
      <c r="I73" s="223">
        <v>0.7020833333333324</v>
      </c>
      <c r="J73" s="224">
        <v>2.0</v>
      </c>
      <c r="K73" s="223">
        <v>0.7034722222222213</v>
      </c>
      <c r="L73" s="223">
        <v>0.706249999999999</v>
      </c>
      <c r="M73" s="223">
        <v>0.7131944444444435</v>
      </c>
      <c r="N73" s="224">
        <v>5.0</v>
      </c>
      <c r="O73" s="223">
        <v>0.7166666666666657</v>
      </c>
      <c r="P73" s="223">
        <v>0.7215277777777768</v>
      </c>
      <c r="Q73" s="224">
        <v>5.0</v>
      </c>
      <c r="R73" s="223">
        <v>0.724999999999999</v>
      </c>
      <c r="S73" s="223">
        <v>0.731249999999999</v>
      </c>
      <c r="T73" s="223">
        <v>0.7402777777777767</v>
      </c>
      <c r="U73" s="224">
        <v>2.0</v>
      </c>
      <c r="V73" s="223">
        <v>0.7416666666666656</v>
      </c>
      <c r="W73" s="223">
        <v>0.74861111111111</v>
      </c>
      <c r="X73" s="223">
        <v>0.7576388888888878</v>
      </c>
      <c r="Y73" s="224">
        <v>2.0</v>
      </c>
      <c r="Z73" s="223">
        <v>0.7590277777777766</v>
      </c>
      <c r="AA73" s="223">
        <v>0.7631944444444433</v>
      </c>
      <c r="AB73" s="224">
        <v>5.0</v>
      </c>
      <c r="AC73" s="223">
        <v>0.7666666666666655</v>
      </c>
      <c r="AD73" s="223">
        <v>0.7763888888888877</v>
      </c>
      <c r="AE73" s="224">
        <v>7.0</v>
      </c>
      <c r="AF73" s="223">
        <v>0.7812499999999988</v>
      </c>
      <c r="AG73" s="103">
        <f t="shared" si="28"/>
        <v>118</v>
      </c>
      <c r="AH73" s="103">
        <f t="shared" si="38"/>
        <v>150</v>
      </c>
      <c r="AI73" s="103">
        <f t="shared" si="30"/>
        <v>32</v>
      </c>
      <c r="AJ73" s="104">
        <f t="shared" si="31"/>
        <v>0.2711864407</v>
      </c>
      <c r="AK73" s="142">
        <f t="shared" si="34"/>
        <v>30</v>
      </c>
      <c r="AL73" s="217">
        <v>150.0</v>
      </c>
      <c r="AN73" s="203">
        <f t="shared" si="35"/>
        <v>0</v>
      </c>
      <c r="AO73" s="203">
        <f t="shared" si="37"/>
        <v>0</v>
      </c>
      <c r="AP73" s="203">
        <f t="shared" si="32"/>
        <v>0</v>
      </c>
      <c r="AQ73" s="203">
        <f t="shared" si="33"/>
        <v>0</v>
      </c>
    </row>
    <row r="74" ht="13.5" customHeight="1">
      <c r="A74" s="127"/>
      <c r="B74" s="141" t="s">
        <v>79</v>
      </c>
      <c r="C74" s="223">
        <v>0.6979166666666657</v>
      </c>
      <c r="D74" s="223">
        <v>0.7069444444444435</v>
      </c>
      <c r="E74" s="224">
        <v>4.0</v>
      </c>
      <c r="F74" s="223">
        <v>0.7097222222222213</v>
      </c>
      <c r="G74" s="223">
        <v>0.7166666666666657</v>
      </c>
      <c r="H74" s="223"/>
      <c r="I74" s="223">
        <v>0.7229166666666657</v>
      </c>
      <c r="J74" s="224">
        <v>2.0</v>
      </c>
      <c r="K74" s="223">
        <v>0.7243055555555545</v>
      </c>
      <c r="L74" s="223">
        <v>0.7270833333333323</v>
      </c>
      <c r="M74" s="223">
        <v>0.7340277777777767</v>
      </c>
      <c r="N74" s="224">
        <v>5.0</v>
      </c>
      <c r="O74" s="223">
        <v>0.7374999999999989</v>
      </c>
      <c r="P74" s="223">
        <v>0.74236111111111</v>
      </c>
      <c r="Q74" s="224">
        <v>5.0</v>
      </c>
      <c r="R74" s="223">
        <v>0.7458333333333322</v>
      </c>
      <c r="S74" s="223">
        <v>0.7520833333333322</v>
      </c>
      <c r="T74" s="223">
        <v>0.76111111111111</v>
      </c>
      <c r="U74" s="224">
        <v>2.0</v>
      </c>
      <c r="V74" s="223">
        <v>0.7624999999999988</v>
      </c>
      <c r="W74" s="223">
        <v>0.7694444444444433</v>
      </c>
      <c r="X74" s="223">
        <v>0.778472222222221</v>
      </c>
      <c r="Y74" s="224">
        <v>2.0</v>
      </c>
      <c r="Z74" s="223">
        <v>0.7798611111111099</v>
      </c>
      <c r="AA74" s="223">
        <v>0.7840277777777765</v>
      </c>
      <c r="AB74" s="224">
        <v>5.0</v>
      </c>
      <c r="AC74" s="223">
        <v>0.7874999999999988</v>
      </c>
      <c r="AD74" s="223">
        <v>0.7972222222222209</v>
      </c>
      <c r="AE74" s="224">
        <v>7.0</v>
      </c>
      <c r="AF74" s="223">
        <v>0.802083333333332</v>
      </c>
      <c r="AG74" s="103">
        <f t="shared" si="28"/>
        <v>118</v>
      </c>
      <c r="AH74" s="103">
        <f t="shared" si="38"/>
        <v>150</v>
      </c>
      <c r="AI74" s="103">
        <f t="shared" si="30"/>
        <v>32</v>
      </c>
      <c r="AJ74" s="104">
        <f t="shared" si="31"/>
        <v>0.2711864407</v>
      </c>
      <c r="AK74" s="142">
        <f t="shared" si="34"/>
        <v>30</v>
      </c>
      <c r="AL74" s="217">
        <v>150.0</v>
      </c>
      <c r="AN74" s="203">
        <f t="shared" si="35"/>
        <v>0</v>
      </c>
      <c r="AO74" s="203">
        <f t="shared" si="37"/>
        <v>0</v>
      </c>
      <c r="AP74" s="203">
        <f t="shared" si="32"/>
        <v>0</v>
      </c>
      <c r="AQ74" s="203">
        <f t="shared" si="33"/>
        <v>0</v>
      </c>
    </row>
    <row r="75" ht="13.5" customHeight="1">
      <c r="A75" s="127"/>
      <c r="B75" s="141" t="s">
        <v>79</v>
      </c>
      <c r="C75" s="223">
        <v>0.718749999999999</v>
      </c>
      <c r="D75" s="223">
        <v>0.7277777777777767</v>
      </c>
      <c r="E75" s="224">
        <v>4.0</v>
      </c>
      <c r="F75" s="223">
        <v>0.7305555555555545</v>
      </c>
      <c r="G75" s="223">
        <v>0.7374999999999989</v>
      </c>
      <c r="H75" s="223"/>
      <c r="I75" s="223">
        <v>0.7437499999999989</v>
      </c>
      <c r="J75" s="224">
        <v>2.0</v>
      </c>
      <c r="K75" s="223">
        <v>0.7451388888888878</v>
      </c>
      <c r="L75" s="223">
        <v>0.7479166666666656</v>
      </c>
      <c r="M75" s="223">
        <v>0.75486111111111</v>
      </c>
      <c r="N75" s="224">
        <v>5.0</v>
      </c>
      <c r="O75" s="223">
        <v>0.7583333333333322</v>
      </c>
      <c r="P75" s="223">
        <v>0.7631944444444433</v>
      </c>
      <c r="Q75" s="224">
        <v>5.0</v>
      </c>
      <c r="R75" s="223">
        <v>0.7666666666666655</v>
      </c>
      <c r="S75" s="223">
        <v>0.7729166666666655</v>
      </c>
      <c r="T75" s="223">
        <v>0.7819444444444432</v>
      </c>
      <c r="U75" s="224">
        <v>2.0</v>
      </c>
      <c r="V75" s="223">
        <v>0.7833333333333321</v>
      </c>
      <c r="W75" s="223">
        <v>0.7902777777777765</v>
      </c>
      <c r="X75" s="223">
        <v>0.7993055555555543</v>
      </c>
      <c r="Y75" s="224">
        <v>2.0</v>
      </c>
      <c r="Z75" s="223">
        <v>0.8006944444444432</v>
      </c>
      <c r="AA75" s="223">
        <v>0.8048611111111098</v>
      </c>
      <c r="AB75" s="224"/>
      <c r="AC75" s="231"/>
      <c r="AD75" s="223"/>
      <c r="AE75" s="224"/>
      <c r="AF75" s="223"/>
      <c r="AG75" s="103">
        <f t="shared" si="28"/>
        <v>104</v>
      </c>
      <c r="AH75" s="103">
        <f>(AA75-C75)*1440</f>
        <v>124</v>
      </c>
      <c r="AI75" s="103">
        <f t="shared" si="30"/>
        <v>20</v>
      </c>
      <c r="AJ75" s="104">
        <f t="shared" si="31"/>
        <v>0.1923076923</v>
      </c>
      <c r="AK75" s="142"/>
      <c r="AL75" s="217">
        <v>150.0</v>
      </c>
      <c r="AN75" s="203">
        <f t="shared" si="35"/>
        <v>0</v>
      </c>
      <c r="AO75" s="203">
        <f t="shared" si="37"/>
        <v>0</v>
      </c>
      <c r="AP75" s="203">
        <f t="shared" si="32"/>
        <v>0</v>
      </c>
      <c r="AQ75" s="203">
        <f t="shared" si="33"/>
        <v>0</v>
      </c>
    </row>
    <row r="76" ht="13.5" customHeight="1">
      <c r="A76" s="127"/>
      <c r="B76" s="141" t="s">
        <v>79</v>
      </c>
      <c r="C76" s="223">
        <v>0.7395833333333323</v>
      </c>
      <c r="D76" s="223">
        <v>0.74861111111111</v>
      </c>
      <c r="E76" s="224">
        <v>4.0</v>
      </c>
      <c r="F76" s="223">
        <v>0.7513888888888878</v>
      </c>
      <c r="G76" s="223">
        <v>0.7583333333333322</v>
      </c>
      <c r="H76" s="223"/>
      <c r="I76" s="223">
        <v>0.7645833333333322</v>
      </c>
      <c r="J76" s="224">
        <v>2.0</v>
      </c>
      <c r="K76" s="223">
        <v>0.765972222222221</v>
      </c>
      <c r="L76" s="223">
        <v>0.7687499999999988</v>
      </c>
      <c r="M76" s="223">
        <v>0.7756944444444432</v>
      </c>
      <c r="N76" s="224">
        <v>5.0</v>
      </c>
      <c r="O76" s="223">
        <v>0.7791666666666655</v>
      </c>
      <c r="P76" s="223">
        <v>0.7840277777777765</v>
      </c>
      <c r="Q76" s="224">
        <v>5.0</v>
      </c>
      <c r="R76" s="223">
        <v>0.7874999999999988</v>
      </c>
      <c r="S76" s="223">
        <v>0.7937499999999987</v>
      </c>
      <c r="T76" s="223">
        <v>0.8027777777777765</v>
      </c>
      <c r="U76" s="224">
        <v>2.0</v>
      </c>
      <c r="V76" s="223">
        <v>0.8041666666666654</v>
      </c>
      <c r="W76" s="223">
        <v>0.8111111111111098</v>
      </c>
      <c r="X76" s="223">
        <v>0.8201388888888875</v>
      </c>
      <c r="Y76" s="224">
        <v>2.0</v>
      </c>
      <c r="Z76" s="223">
        <v>0.8215277777777764</v>
      </c>
      <c r="AA76" s="223">
        <v>0.8256944444444431</v>
      </c>
      <c r="AB76" s="224">
        <v>7.0</v>
      </c>
      <c r="AC76" s="223">
        <v>0.8305555555555542</v>
      </c>
      <c r="AD76" s="223">
        <v>0.8402777777777763</v>
      </c>
      <c r="AE76" s="224">
        <v>8.0</v>
      </c>
      <c r="AF76" s="223">
        <v>0.8458333333333319</v>
      </c>
      <c r="AG76" s="103">
        <f t="shared" si="28"/>
        <v>118</v>
      </c>
      <c r="AH76" s="103">
        <f>(AF76-C76)*1440</f>
        <v>153</v>
      </c>
      <c r="AI76" s="103">
        <f t="shared" si="30"/>
        <v>35</v>
      </c>
      <c r="AJ76" s="104">
        <f t="shared" si="31"/>
        <v>0.2966101695</v>
      </c>
      <c r="AK76" s="142">
        <f>(AF76-AF74)*1440</f>
        <v>63</v>
      </c>
      <c r="AL76" s="217">
        <v>150.0</v>
      </c>
      <c r="AN76" s="203">
        <f t="shared" si="35"/>
        <v>0</v>
      </c>
      <c r="AO76" s="203">
        <f t="shared" si="37"/>
        <v>0</v>
      </c>
      <c r="AP76" s="203">
        <f t="shared" si="32"/>
        <v>0</v>
      </c>
      <c r="AQ76" s="203">
        <f t="shared" si="33"/>
        <v>0</v>
      </c>
    </row>
    <row r="77" ht="13.5" customHeight="1">
      <c r="A77" s="127"/>
      <c r="B77" s="141" t="s">
        <v>79</v>
      </c>
      <c r="C77" s="223">
        <v>0.7604166666666655</v>
      </c>
      <c r="D77" s="223">
        <v>0.7694444444444433</v>
      </c>
      <c r="E77" s="224">
        <v>4.0</v>
      </c>
      <c r="F77" s="223">
        <v>0.772222222222221</v>
      </c>
      <c r="G77" s="223">
        <v>0.7791666666666655</v>
      </c>
      <c r="H77" s="223"/>
      <c r="I77" s="223">
        <v>0.7854166666666654</v>
      </c>
      <c r="J77" s="224">
        <v>2.0</v>
      </c>
      <c r="K77" s="223">
        <v>0.7868055555555543</v>
      </c>
      <c r="L77" s="223">
        <v>0.7895833333333321</v>
      </c>
      <c r="M77" s="223">
        <v>0.7965277777777765</v>
      </c>
      <c r="N77" s="224">
        <v>5.0</v>
      </c>
      <c r="O77" s="223">
        <v>0.7999999999999987</v>
      </c>
      <c r="P77" s="223">
        <v>0.8048611111111098</v>
      </c>
      <c r="Q77" s="224"/>
      <c r="R77" s="231"/>
      <c r="S77" s="223"/>
      <c r="T77" s="223"/>
      <c r="U77" s="224"/>
      <c r="V77" s="223"/>
      <c r="W77" s="223"/>
      <c r="X77" s="223"/>
      <c r="Y77" s="224"/>
      <c r="Z77" s="223"/>
      <c r="AA77" s="223"/>
      <c r="AB77" s="224"/>
      <c r="AC77" s="223"/>
      <c r="AD77" s="223"/>
      <c r="AE77" s="224"/>
      <c r="AF77" s="223"/>
      <c r="AG77" s="103">
        <f t="shared" si="28"/>
        <v>53</v>
      </c>
      <c r="AH77" s="103">
        <f>(P77-C77)*1440</f>
        <v>64</v>
      </c>
      <c r="AI77" s="103">
        <f t="shared" si="30"/>
        <v>11</v>
      </c>
      <c r="AJ77" s="104">
        <f t="shared" si="31"/>
        <v>0.2075471698</v>
      </c>
      <c r="AK77" s="142"/>
      <c r="AL77" s="217">
        <v>150.0</v>
      </c>
      <c r="AN77" s="203">
        <f t="shared" si="35"/>
        <v>0</v>
      </c>
      <c r="AO77" s="203">
        <f t="shared" si="37"/>
        <v>0</v>
      </c>
      <c r="AP77" s="203">
        <f t="shared" si="32"/>
        <v>0</v>
      </c>
      <c r="AQ77" s="203">
        <f t="shared" si="33"/>
        <v>0</v>
      </c>
    </row>
    <row r="78" ht="13.5" customHeight="1">
      <c r="A78" s="127"/>
      <c r="B78" s="141" t="s">
        <v>79</v>
      </c>
      <c r="C78" s="223">
        <v>0.7812499999999988</v>
      </c>
      <c r="D78" s="223">
        <v>0.7902777777777765</v>
      </c>
      <c r="E78" s="224">
        <v>4.0</v>
      </c>
      <c r="F78" s="223">
        <v>0.7930555555555543</v>
      </c>
      <c r="G78" s="223">
        <v>0.7999999999999987</v>
      </c>
      <c r="H78" s="223"/>
      <c r="I78" s="223">
        <v>0.8062499999999987</v>
      </c>
      <c r="J78" s="224">
        <v>2.0</v>
      </c>
      <c r="K78" s="223">
        <v>0.8076388888888876</v>
      </c>
      <c r="L78" s="223">
        <v>0.8104166666666653</v>
      </c>
      <c r="M78" s="223">
        <v>0.8173611111111098</v>
      </c>
      <c r="N78" s="224">
        <v>5.0</v>
      </c>
      <c r="O78" s="223">
        <v>0.820833333333332</v>
      </c>
      <c r="P78" s="223">
        <v>0.8256944444444431</v>
      </c>
      <c r="Q78" s="224">
        <v>2.0</v>
      </c>
      <c r="R78" s="223">
        <v>0.827083333333332</v>
      </c>
      <c r="S78" s="223">
        <v>0.8340277777777764</v>
      </c>
      <c r="T78" s="223">
        <v>0.8388888888888875</v>
      </c>
      <c r="U78" s="224">
        <v>2.0</v>
      </c>
      <c r="V78" s="223">
        <v>0.8402777777777763</v>
      </c>
      <c r="W78" s="223">
        <v>0.8465277777777763</v>
      </c>
      <c r="X78" s="223">
        <v>0.8555555555555541</v>
      </c>
      <c r="Y78" s="224">
        <v>2.0</v>
      </c>
      <c r="Z78" s="223">
        <v>0.856944444444443</v>
      </c>
      <c r="AA78" s="223">
        <v>0.8638888888888874</v>
      </c>
      <c r="AB78" s="224">
        <v>5.0</v>
      </c>
      <c r="AC78" s="223">
        <v>0.8673611111111096</v>
      </c>
      <c r="AD78" s="223">
        <v>0.8763888888888873</v>
      </c>
      <c r="AE78" s="224">
        <v>16.0</v>
      </c>
      <c r="AF78" s="223">
        <v>0.8874999999999984</v>
      </c>
      <c r="AG78" s="103">
        <f t="shared" si="28"/>
        <v>115</v>
      </c>
      <c r="AH78" s="103">
        <f>(AF78-C78)*1440</f>
        <v>153</v>
      </c>
      <c r="AI78" s="103">
        <f t="shared" si="30"/>
        <v>38</v>
      </c>
      <c r="AJ78" s="104">
        <f t="shared" si="31"/>
        <v>0.3304347826</v>
      </c>
      <c r="AK78" s="142">
        <f>(AF78-AF76)*1440</f>
        <v>60</v>
      </c>
      <c r="AL78" s="217">
        <v>150.0</v>
      </c>
      <c r="AN78" s="203">
        <f t="shared" si="35"/>
        <v>0</v>
      </c>
      <c r="AO78" s="203">
        <f t="shared" si="37"/>
        <v>0</v>
      </c>
      <c r="AP78" s="203">
        <f t="shared" si="32"/>
        <v>0</v>
      </c>
      <c r="AQ78" s="203">
        <f t="shared" si="33"/>
        <v>0</v>
      </c>
    </row>
    <row r="79" ht="13.5" customHeight="1">
      <c r="A79" s="127"/>
      <c r="B79" s="141" t="s">
        <v>79</v>
      </c>
      <c r="C79" s="223">
        <v>0.802083333333332</v>
      </c>
      <c r="D79" s="223">
        <v>0.8111111111111098</v>
      </c>
      <c r="E79" s="224">
        <v>4.0</v>
      </c>
      <c r="F79" s="223">
        <v>0.8138888888888876</v>
      </c>
      <c r="G79" s="223">
        <v>0.820833333333332</v>
      </c>
      <c r="H79" s="223"/>
      <c r="I79" s="223">
        <v>0.827083333333332</v>
      </c>
      <c r="J79" s="224">
        <v>2.0</v>
      </c>
      <c r="K79" s="223">
        <v>0.8284722222222208</v>
      </c>
      <c r="L79" s="223">
        <v>0.8312499999999986</v>
      </c>
      <c r="M79" s="223">
        <v>0.838194444444443</v>
      </c>
      <c r="N79" s="224">
        <v>5.0</v>
      </c>
      <c r="O79" s="232">
        <v>0.8624999999999985</v>
      </c>
      <c r="P79" s="223">
        <v>0.8673611111111096</v>
      </c>
      <c r="Q79" s="224">
        <v>2.0</v>
      </c>
      <c r="R79" s="233">
        <v>0.8687499999999985</v>
      </c>
      <c r="S79" s="223">
        <v>0.8756944444444429</v>
      </c>
      <c r="T79" s="223">
        <v>0.880555555555554</v>
      </c>
      <c r="U79" s="224">
        <v>2.0</v>
      </c>
      <c r="V79" s="223">
        <v>0.8819444444444429</v>
      </c>
      <c r="W79" s="223">
        <v>0.8881944444444428</v>
      </c>
      <c r="X79" s="223">
        <v>0.8972222222222206</v>
      </c>
      <c r="Y79" s="224">
        <v>2.0</v>
      </c>
      <c r="Z79" s="223">
        <v>0.8986111111111095</v>
      </c>
      <c r="AA79" s="223">
        <v>0.9055555555555539</v>
      </c>
      <c r="AB79" s="224">
        <v>5.0</v>
      </c>
      <c r="AC79" s="223">
        <v>0.9090277777777761</v>
      </c>
      <c r="AD79" s="223">
        <v>0.9180555555555538</v>
      </c>
      <c r="AE79" s="224">
        <v>16.0</v>
      </c>
      <c r="AF79" s="223">
        <v>0.9291666666666649</v>
      </c>
      <c r="AG79" s="103">
        <f t="shared" si="28"/>
        <v>115</v>
      </c>
      <c r="AH79" s="103">
        <f t="shared" ref="AH79:AH80" si="39">(AF79-O79)*1440+(M79-C79)*1440+N79</f>
        <v>153</v>
      </c>
      <c r="AI79" s="103">
        <f t="shared" si="30"/>
        <v>38</v>
      </c>
      <c r="AJ79" s="104">
        <f t="shared" si="31"/>
        <v>0.3304347826</v>
      </c>
      <c r="AK79" s="142">
        <f t="shared" ref="AK79:AK80" si="40">(AF79-AF78)*1440</f>
        <v>60</v>
      </c>
      <c r="AL79" s="217">
        <v>150.0</v>
      </c>
      <c r="AN79" s="203">
        <f t="shared" si="35"/>
        <v>0</v>
      </c>
      <c r="AO79" s="203">
        <f t="shared" si="37"/>
        <v>0</v>
      </c>
      <c r="AP79" s="203">
        <f t="shared" si="32"/>
        <v>0</v>
      </c>
      <c r="AQ79" s="203">
        <f t="shared" si="33"/>
        <v>0</v>
      </c>
    </row>
    <row r="80" ht="13.5" customHeight="1">
      <c r="A80" s="127"/>
      <c r="B80" s="141" t="s">
        <v>98</v>
      </c>
      <c r="C80" s="223">
        <v>0.8458333333333319</v>
      </c>
      <c r="D80" s="223">
        <v>0.8548611111111096</v>
      </c>
      <c r="E80" s="224">
        <v>4.0</v>
      </c>
      <c r="F80" s="223">
        <v>0.8576388888888874</v>
      </c>
      <c r="G80" s="223">
        <v>0.8631944444444429</v>
      </c>
      <c r="H80" s="223"/>
      <c r="I80" s="223">
        <v>0.8694444444444429</v>
      </c>
      <c r="J80" s="224">
        <v>2.0</v>
      </c>
      <c r="K80" s="223">
        <v>0.8708333333333318</v>
      </c>
      <c r="L80" s="223">
        <v>0.8729166666666651</v>
      </c>
      <c r="M80" s="223">
        <v>0.8798611111111095</v>
      </c>
      <c r="N80" s="224">
        <v>5.0</v>
      </c>
      <c r="O80" s="232">
        <v>0.904166666666665</v>
      </c>
      <c r="P80" s="223">
        <v>0.9083333333333317</v>
      </c>
      <c r="Q80" s="224">
        <v>2.0</v>
      </c>
      <c r="R80" s="223">
        <v>0.9097222222222205</v>
      </c>
      <c r="S80" s="223">
        <v>0.916666666666665</v>
      </c>
      <c r="T80" s="223">
        <v>0.9208333333333316</v>
      </c>
      <c r="U80" s="224">
        <v>2.0</v>
      </c>
      <c r="V80" s="223">
        <v>0.9222222222222205</v>
      </c>
      <c r="W80" s="223">
        <v>0.927777777777776</v>
      </c>
      <c r="X80" s="223">
        <v>0.9368055555555538</v>
      </c>
      <c r="Y80" s="224">
        <v>3.0</v>
      </c>
      <c r="Z80" s="223">
        <v>0.9388888888888871</v>
      </c>
      <c r="AA80" s="223">
        <v>0.9458333333333315</v>
      </c>
      <c r="AB80" s="224">
        <v>5.0</v>
      </c>
      <c r="AC80" s="223">
        <v>0.9493055555555537</v>
      </c>
      <c r="AD80" s="223">
        <v>0.957638888888887</v>
      </c>
      <c r="AE80" s="224">
        <v>19.0</v>
      </c>
      <c r="AF80" s="223">
        <v>0.9708333333333314</v>
      </c>
      <c r="AG80" s="103">
        <f t="shared" si="28"/>
        <v>108</v>
      </c>
      <c r="AH80" s="103">
        <f t="shared" si="39"/>
        <v>150</v>
      </c>
      <c r="AI80" s="103">
        <f t="shared" si="30"/>
        <v>42</v>
      </c>
      <c r="AJ80" s="104">
        <f t="shared" si="31"/>
        <v>0.3888888889</v>
      </c>
      <c r="AK80" s="142">
        <f t="shared" si="40"/>
        <v>60</v>
      </c>
      <c r="AL80" s="217">
        <v>150.0</v>
      </c>
      <c r="AN80" s="203">
        <f t="shared" si="35"/>
        <v>0</v>
      </c>
      <c r="AO80" s="203">
        <f t="shared" si="37"/>
        <v>0</v>
      </c>
      <c r="AP80" s="203">
        <f t="shared" si="32"/>
        <v>0</v>
      </c>
      <c r="AQ80" s="203">
        <f t="shared" si="33"/>
        <v>0</v>
      </c>
    </row>
    <row r="81" ht="13.5" customHeight="1">
      <c r="A81" s="127"/>
      <c r="B81" s="141" t="s">
        <v>98</v>
      </c>
      <c r="C81" s="223">
        <v>0.8874999999999984</v>
      </c>
      <c r="D81" s="223">
        <v>0.8965277777777761</v>
      </c>
      <c r="E81" s="224">
        <v>4.0</v>
      </c>
      <c r="F81" s="223">
        <v>0.8993055555555539</v>
      </c>
      <c r="G81" s="223">
        <v>0.9048611111111095</v>
      </c>
      <c r="H81" s="223"/>
      <c r="I81" s="223">
        <v>0.9111111111111094</v>
      </c>
      <c r="J81" s="224">
        <v>2.0</v>
      </c>
      <c r="K81" s="223">
        <v>0.9124999999999983</v>
      </c>
      <c r="L81" s="223">
        <v>0.9145833333333316</v>
      </c>
      <c r="M81" s="223">
        <v>0.9215277777777761</v>
      </c>
      <c r="N81" s="224">
        <v>5.0</v>
      </c>
      <c r="O81" s="232">
        <v>0.9458333333333315</v>
      </c>
      <c r="P81" s="223">
        <v>0.9499999999999982</v>
      </c>
      <c r="Q81" s="224">
        <v>2.0</v>
      </c>
      <c r="R81" s="223">
        <v>0.9513888888888871</v>
      </c>
      <c r="S81" s="223">
        <v>0.9583333333333315</v>
      </c>
      <c r="T81" s="223">
        <v>0.9624999999999981</v>
      </c>
      <c r="U81" s="224">
        <v>2.0</v>
      </c>
      <c r="V81" s="223">
        <v>0.963888888888887</v>
      </c>
      <c r="W81" s="223">
        <v>0.9694444444444426</v>
      </c>
      <c r="X81" s="223">
        <v>0.9784722222222203</v>
      </c>
      <c r="Y81" s="224">
        <v>3.0</v>
      </c>
      <c r="Z81" s="223">
        <v>0.9805555555555536</v>
      </c>
      <c r="AA81" s="223">
        <v>0.987499999999998</v>
      </c>
      <c r="AB81" s="224"/>
      <c r="AC81" s="231"/>
      <c r="AD81" s="223"/>
      <c r="AE81" s="224"/>
      <c r="AF81" s="223"/>
      <c r="AG81" s="103">
        <f t="shared" si="28"/>
        <v>96</v>
      </c>
      <c r="AH81" s="103">
        <f t="shared" ref="AH81:AH82" si="41">(AA81-O81)*1440+(M81-C81)*1440+N81</f>
        <v>114</v>
      </c>
      <c r="AI81" s="103">
        <f t="shared" si="30"/>
        <v>18</v>
      </c>
      <c r="AJ81" s="104">
        <f t="shared" si="31"/>
        <v>0.1875</v>
      </c>
      <c r="AK81" s="142">
        <f t="shared" ref="AK81:AK82" si="42">(W81-W80)*1440</f>
        <v>60</v>
      </c>
      <c r="AL81" s="217">
        <v>150.0</v>
      </c>
      <c r="AN81" s="203">
        <f t="shared" si="35"/>
        <v>0</v>
      </c>
      <c r="AO81" s="203">
        <f t="shared" si="37"/>
        <v>0</v>
      </c>
      <c r="AP81" s="203">
        <f t="shared" si="32"/>
        <v>0</v>
      </c>
      <c r="AQ81" s="203">
        <f t="shared" si="33"/>
        <v>0</v>
      </c>
    </row>
    <row r="82" ht="13.5" customHeight="1">
      <c r="A82" s="127"/>
      <c r="B82" s="141" t="s">
        <v>98</v>
      </c>
      <c r="C82" s="223">
        <v>0.9291666666666649</v>
      </c>
      <c r="D82" s="223">
        <v>0.9381944444444427</v>
      </c>
      <c r="E82" s="224">
        <v>4.0</v>
      </c>
      <c r="F82" s="223">
        <v>0.9409722222222204</v>
      </c>
      <c r="G82" s="223">
        <v>0.946527777777776</v>
      </c>
      <c r="H82" s="223"/>
      <c r="I82" s="223">
        <v>0.952777777777776</v>
      </c>
      <c r="J82" s="224">
        <v>2.0</v>
      </c>
      <c r="K82" s="223">
        <v>0.9541666666666648</v>
      </c>
      <c r="L82" s="223">
        <v>0.9562499999999982</v>
      </c>
      <c r="M82" s="223">
        <v>0.9631944444444426</v>
      </c>
      <c r="N82" s="224">
        <v>5.0</v>
      </c>
      <c r="O82" s="232">
        <v>0.987499999999998</v>
      </c>
      <c r="P82" s="223">
        <v>0.9916666666666647</v>
      </c>
      <c r="Q82" s="224">
        <v>2.0</v>
      </c>
      <c r="R82" s="223">
        <v>0.9930555555555536</v>
      </c>
      <c r="S82" s="223">
        <v>0.999999999999998</v>
      </c>
      <c r="T82" s="223">
        <v>1.0041666666666647</v>
      </c>
      <c r="U82" s="224">
        <v>2.0</v>
      </c>
      <c r="V82" s="223">
        <v>1.0055555555555535</v>
      </c>
      <c r="W82" s="223">
        <v>1.011111111111109</v>
      </c>
      <c r="X82" s="223">
        <v>1.020138888888887</v>
      </c>
      <c r="Y82" s="224">
        <v>3.0</v>
      </c>
      <c r="Z82" s="223">
        <v>1.0222222222222204</v>
      </c>
      <c r="AA82" s="223">
        <v>1.0291666666666648</v>
      </c>
      <c r="AB82" s="224"/>
      <c r="AC82" s="231"/>
      <c r="AD82" s="223"/>
      <c r="AE82" s="224"/>
      <c r="AF82" s="223"/>
      <c r="AG82" s="103">
        <f t="shared" si="28"/>
        <v>96</v>
      </c>
      <c r="AH82" s="103">
        <f t="shared" si="41"/>
        <v>114</v>
      </c>
      <c r="AI82" s="103">
        <f t="shared" si="30"/>
        <v>18</v>
      </c>
      <c r="AJ82" s="104">
        <f t="shared" si="31"/>
        <v>0.1875</v>
      </c>
      <c r="AK82" s="142">
        <f t="shared" si="42"/>
        <v>60</v>
      </c>
      <c r="AL82" s="217">
        <v>150.0</v>
      </c>
      <c r="AN82" s="203">
        <f t="shared" si="35"/>
        <v>0</v>
      </c>
      <c r="AO82" s="203">
        <f t="shared" si="37"/>
        <v>0</v>
      </c>
      <c r="AP82" s="203">
        <f t="shared" si="32"/>
        <v>0</v>
      </c>
      <c r="AQ82" s="203">
        <f t="shared" si="33"/>
        <v>0</v>
      </c>
    </row>
    <row r="83" ht="13.5" customHeight="1">
      <c r="A83" s="127"/>
      <c r="B83" s="141" t="s">
        <v>98</v>
      </c>
      <c r="C83" s="223">
        <v>0.9708333333333314</v>
      </c>
      <c r="D83" s="223">
        <v>0.9798611111111092</v>
      </c>
      <c r="E83" s="224">
        <v>4.0</v>
      </c>
      <c r="F83" s="223">
        <v>0.982638888888887</v>
      </c>
      <c r="G83" s="223">
        <v>0.9881944444444425</v>
      </c>
      <c r="H83" s="223"/>
      <c r="I83" s="223">
        <v>0.9944444444444425</v>
      </c>
      <c r="J83" s="224">
        <v>2.0</v>
      </c>
      <c r="K83" s="223">
        <v>0.9958333333333313</v>
      </c>
      <c r="L83" s="223">
        <v>0.9979166666666647</v>
      </c>
      <c r="M83" s="223">
        <v>1.0048611111111092</v>
      </c>
      <c r="N83" s="224"/>
      <c r="O83" s="232">
        <v>1.0291666666666648</v>
      </c>
      <c r="P83" s="223">
        <v>1.0333333333333314</v>
      </c>
      <c r="Q83" s="224"/>
      <c r="R83" s="235"/>
      <c r="S83" s="223"/>
      <c r="T83" s="223"/>
      <c r="U83" s="224"/>
      <c r="V83" s="223"/>
      <c r="W83" s="223"/>
      <c r="X83" s="223"/>
      <c r="Y83" s="224"/>
      <c r="Z83" s="223"/>
      <c r="AA83" s="223"/>
      <c r="AB83" s="224"/>
      <c r="AC83" s="223"/>
      <c r="AD83" s="223"/>
      <c r="AE83" s="224"/>
      <c r="AF83" s="223"/>
      <c r="AG83" s="103">
        <f t="shared" si="28"/>
        <v>49</v>
      </c>
      <c r="AH83" s="103">
        <f>(P83-O83)*1440+(M83-C83)*1440+N83</f>
        <v>55</v>
      </c>
      <c r="AI83" s="103">
        <f t="shared" si="30"/>
        <v>6</v>
      </c>
      <c r="AJ83" s="104">
        <f t="shared" si="31"/>
        <v>0.1224489796</v>
      </c>
      <c r="AK83" s="142">
        <f>(M83-M82)*1440</f>
        <v>60</v>
      </c>
      <c r="AL83" s="217">
        <v>151.0</v>
      </c>
      <c r="AO83" s="203">
        <f t="shared" si="37"/>
        <v>0</v>
      </c>
      <c r="AP83" s="203">
        <f t="shared" si="32"/>
        <v>0</v>
      </c>
    </row>
    <row r="84" ht="13.5" customHeight="1">
      <c r="A84" s="156"/>
      <c r="AG84" s="157">
        <f t="shared" ref="AG84:AH84" si="43">SUM(AG50:AG83)/60</f>
        <v>58.6</v>
      </c>
      <c r="AH84" s="164">
        <f t="shared" si="43"/>
        <v>73.48333333</v>
      </c>
      <c r="AI84" s="159">
        <f>SUM(AI51:AI83)/60</f>
        <v>14.78333333</v>
      </c>
      <c r="AJ84" s="104">
        <f t="shared" si="31"/>
        <v>0.2522753129</v>
      </c>
      <c r="AO84" s="203">
        <f t="shared" si="37"/>
        <v>0</v>
      </c>
      <c r="AP84" s="203">
        <f t="shared" si="32"/>
        <v>0</v>
      </c>
    </row>
    <row r="85" ht="13.5" customHeight="1">
      <c r="A85" s="236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  <c r="AB85" s="236"/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O85" s="203">
        <f t="shared" si="37"/>
        <v>0</v>
      </c>
      <c r="AP85" s="203">
        <f t="shared" si="32"/>
        <v>0</v>
      </c>
    </row>
    <row r="86" ht="13.5" customHeight="1">
      <c r="A86" s="209" t="s">
        <v>99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ht="13.5" customHeight="1">
      <c r="A87" s="127"/>
      <c r="C87" s="210" t="s">
        <v>124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11"/>
      <c r="V87" s="212" t="s">
        <v>125</v>
      </c>
      <c r="W87" s="2"/>
      <c r="X87" s="2"/>
      <c r="Y87" s="2"/>
      <c r="Z87" s="2"/>
      <c r="AA87" s="2"/>
      <c r="AB87" s="2"/>
      <c r="AC87" s="2"/>
      <c r="AD87" s="3"/>
      <c r="AE87" s="213" t="s">
        <v>126</v>
      </c>
      <c r="AF87" s="213"/>
    </row>
    <row r="88" ht="13.5" customHeight="1">
      <c r="A88" s="127"/>
      <c r="C88" s="66" t="s">
        <v>62</v>
      </c>
      <c r="D88" s="66" t="s">
        <v>85</v>
      </c>
      <c r="E88" s="214" t="s">
        <v>69</v>
      </c>
      <c r="F88" s="66" t="s">
        <v>62</v>
      </c>
      <c r="G88" s="215"/>
      <c r="H88" s="215"/>
      <c r="I88" s="66" t="s">
        <v>85</v>
      </c>
      <c r="J88" s="214" t="s">
        <v>69</v>
      </c>
      <c r="K88" s="66" t="s">
        <v>62</v>
      </c>
      <c r="L88" s="66"/>
      <c r="M88" s="66" t="s">
        <v>85</v>
      </c>
      <c r="N88" s="214" t="s">
        <v>69</v>
      </c>
      <c r="O88" s="66" t="s">
        <v>62</v>
      </c>
      <c r="P88" s="66" t="s">
        <v>85</v>
      </c>
      <c r="Q88" s="214" t="s">
        <v>69</v>
      </c>
      <c r="R88" s="66" t="s">
        <v>62</v>
      </c>
      <c r="S88" s="66"/>
      <c r="T88" s="66" t="s">
        <v>85</v>
      </c>
      <c r="U88" s="214" t="s">
        <v>69</v>
      </c>
      <c r="V88" s="66" t="s">
        <v>62</v>
      </c>
      <c r="W88" s="216"/>
      <c r="X88" s="66" t="s">
        <v>85</v>
      </c>
      <c r="Y88" s="214" t="s">
        <v>69</v>
      </c>
      <c r="Z88" s="66" t="s">
        <v>62</v>
      </c>
      <c r="AA88" s="66" t="s">
        <v>85</v>
      </c>
      <c r="AB88" s="214" t="s">
        <v>69</v>
      </c>
      <c r="AC88" s="66" t="s">
        <v>62</v>
      </c>
      <c r="AD88" s="66" t="s">
        <v>85</v>
      </c>
      <c r="AE88" s="214" t="s">
        <v>69</v>
      </c>
      <c r="AF88" s="66" t="s">
        <v>62</v>
      </c>
      <c r="AG88" s="217"/>
      <c r="AH88" s="217"/>
      <c r="AI88" s="217"/>
      <c r="AJ88" s="217"/>
      <c r="AK88" s="217"/>
      <c r="AL88" s="217"/>
    </row>
    <row r="89" ht="13.5" customHeight="1">
      <c r="A89" s="127"/>
      <c r="B89" s="89" t="s">
        <v>63</v>
      </c>
      <c r="C89" s="218" t="s">
        <v>127</v>
      </c>
      <c r="D89" s="218" t="s">
        <v>64</v>
      </c>
      <c r="E89" s="200"/>
      <c r="F89" s="218" t="s">
        <v>64</v>
      </c>
      <c r="G89" s="18" t="s">
        <v>128</v>
      </c>
      <c r="H89" s="218" t="s">
        <v>129</v>
      </c>
      <c r="I89" s="18" t="s">
        <v>130</v>
      </c>
      <c r="J89" s="200"/>
      <c r="K89" s="18" t="s">
        <v>130</v>
      </c>
      <c r="L89" s="18" t="s">
        <v>131</v>
      </c>
      <c r="M89" s="66" t="s">
        <v>132</v>
      </c>
      <c r="N89" s="200"/>
      <c r="O89" s="66" t="s">
        <v>132</v>
      </c>
      <c r="P89" s="18" t="s">
        <v>86</v>
      </c>
      <c r="Q89" s="200"/>
      <c r="R89" s="18" t="s">
        <v>86</v>
      </c>
      <c r="S89" s="18" t="s">
        <v>133</v>
      </c>
      <c r="T89" s="66" t="s">
        <v>70</v>
      </c>
      <c r="U89" s="200"/>
      <c r="V89" s="218" t="s">
        <v>70</v>
      </c>
      <c r="W89" s="66" t="s">
        <v>87</v>
      </c>
      <c r="X89" s="18" t="s">
        <v>134</v>
      </c>
      <c r="Y89" s="200"/>
      <c r="Z89" s="18" t="s">
        <v>134</v>
      </c>
      <c r="AA89" s="66" t="s">
        <v>132</v>
      </c>
      <c r="AB89" s="200"/>
      <c r="AC89" s="66" t="s">
        <v>132</v>
      </c>
      <c r="AD89" s="218" t="s">
        <v>127</v>
      </c>
      <c r="AE89" s="200"/>
      <c r="AF89" s="218" t="s">
        <v>127</v>
      </c>
      <c r="AG89" s="217"/>
      <c r="AH89" s="217"/>
      <c r="AI89" s="217"/>
      <c r="AJ89" s="217"/>
      <c r="AK89" s="217"/>
      <c r="AL89" s="217"/>
    </row>
    <row r="90" ht="13.5" customHeight="1">
      <c r="A90" s="127"/>
      <c r="B90" s="93" t="s">
        <v>72</v>
      </c>
      <c r="C90" s="218">
        <v>725.0</v>
      </c>
      <c r="D90" s="218">
        <v>725.0</v>
      </c>
      <c r="E90" s="175"/>
      <c r="F90" s="218">
        <v>777.0</v>
      </c>
      <c r="G90" s="218">
        <v>308.0</v>
      </c>
      <c r="H90" s="218"/>
      <c r="I90" s="18">
        <v>488.0</v>
      </c>
      <c r="J90" s="175"/>
      <c r="K90" s="18">
        <v>488.0</v>
      </c>
      <c r="L90" s="18">
        <v>313.0</v>
      </c>
      <c r="M90" s="66">
        <v>732.0</v>
      </c>
      <c r="N90" s="175"/>
      <c r="O90" s="66">
        <v>732.0</v>
      </c>
      <c r="P90" s="18">
        <v>1.0</v>
      </c>
      <c r="Q90" s="175"/>
      <c r="R90" s="18">
        <v>1.0</v>
      </c>
      <c r="S90" s="18">
        <v>129.0</v>
      </c>
      <c r="T90" s="66">
        <v>330.0</v>
      </c>
      <c r="U90" s="175"/>
      <c r="V90" s="218">
        <v>330.0</v>
      </c>
      <c r="W90" s="66">
        <v>440.0</v>
      </c>
      <c r="X90" s="18" t="s">
        <v>135</v>
      </c>
      <c r="Y90" s="175"/>
      <c r="Z90" s="18" t="s">
        <v>135</v>
      </c>
      <c r="AA90" s="66">
        <v>732.0</v>
      </c>
      <c r="AB90" s="175"/>
      <c r="AC90" s="66">
        <v>732.0</v>
      </c>
      <c r="AD90" s="218">
        <v>725.0</v>
      </c>
      <c r="AE90" s="175"/>
      <c r="AF90" s="218">
        <v>725.0</v>
      </c>
      <c r="AG90" s="139" t="s">
        <v>73</v>
      </c>
      <c r="AH90" s="139" t="s">
        <v>74</v>
      </c>
      <c r="AI90" s="139" t="s">
        <v>69</v>
      </c>
      <c r="AJ90" s="139" t="s">
        <v>121</v>
      </c>
      <c r="AK90" s="140" t="s">
        <v>76</v>
      </c>
      <c r="AL90" s="217" t="s">
        <v>136</v>
      </c>
      <c r="AN90" s="39" t="s">
        <v>142</v>
      </c>
      <c r="AO90" s="39" t="s">
        <v>143</v>
      </c>
      <c r="AP90" s="39" t="s">
        <v>144</v>
      </c>
      <c r="AQ90" s="39" t="s">
        <v>145</v>
      </c>
    </row>
    <row r="91" ht="13.5" customHeight="1">
      <c r="A91" s="127"/>
      <c r="C91" s="237"/>
      <c r="D91" s="237"/>
      <c r="E91" s="224"/>
      <c r="F91" s="237"/>
      <c r="G91" s="237"/>
      <c r="H91" s="237"/>
      <c r="I91" s="238"/>
      <c r="J91" s="224"/>
      <c r="K91" s="238"/>
      <c r="L91" s="238"/>
      <c r="M91" s="237"/>
      <c r="N91" s="224"/>
      <c r="O91" s="66"/>
      <c r="P91" s="238"/>
      <c r="Q91" s="224"/>
      <c r="R91" s="238"/>
      <c r="S91" s="238"/>
      <c r="T91" s="237"/>
      <c r="U91" s="224"/>
      <c r="V91" s="237"/>
      <c r="W91" s="237"/>
      <c r="X91" s="238"/>
      <c r="Y91" s="224"/>
      <c r="Z91" s="237"/>
      <c r="AA91" s="223"/>
      <c r="AB91" s="224"/>
      <c r="AC91" s="225">
        <v>0.3680555555555554</v>
      </c>
      <c r="AD91" s="223">
        <v>0.3770833333333332</v>
      </c>
      <c r="AE91" s="224">
        <v>15.0</v>
      </c>
      <c r="AF91" s="223">
        <v>0.3874999999999999</v>
      </c>
      <c r="AG91" s="103">
        <f t="shared" ref="AG91:AG106" si="44">AH91-AI91</f>
        <v>13</v>
      </c>
      <c r="AH91" s="103">
        <f>(AF91-AC91)*1440+(M91-C91)*1440+N91</f>
        <v>28</v>
      </c>
      <c r="AI91" s="103">
        <f t="shared" ref="AI91:AI106" si="45">E91+AE91+Y91+U91+Q91+J91+AB91+N91</f>
        <v>15</v>
      </c>
      <c r="AJ91" s="104">
        <f t="shared" ref="AJ91:AJ107" si="46">AI91/AG91</f>
        <v>1.153846154</v>
      </c>
      <c r="AK91" s="142"/>
      <c r="AL91" s="217"/>
      <c r="AP91" s="203">
        <f>(AA91-AA54)*1440</f>
        <v>-525</v>
      </c>
      <c r="AQ91" s="203"/>
      <c r="AR91" s="203"/>
      <c r="AS91" s="203"/>
      <c r="AT91" s="203"/>
    </row>
    <row r="92" ht="13.5" customHeight="1">
      <c r="A92" s="127"/>
      <c r="C92" s="237"/>
      <c r="D92" s="237"/>
      <c r="E92" s="224"/>
      <c r="F92" s="237"/>
      <c r="G92" s="237"/>
      <c r="H92" s="237"/>
      <c r="I92" s="238"/>
      <c r="J92" s="224"/>
      <c r="K92" s="238"/>
      <c r="L92" s="238"/>
      <c r="M92" s="237"/>
      <c r="N92" s="224"/>
      <c r="O92" s="239">
        <v>0.3624999999999999</v>
      </c>
      <c r="P92" s="223">
        <v>0.36666666666666653</v>
      </c>
      <c r="Q92" s="224">
        <v>2.0</v>
      </c>
      <c r="R92" s="223">
        <v>0.3680555555555554</v>
      </c>
      <c r="S92" s="223">
        <v>0.37361111111111095</v>
      </c>
      <c r="T92" s="223">
        <v>0.3833333333333332</v>
      </c>
      <c r="U92" s="224">
        <v>2.0</v>
      </c>
      <c r="V92" s="223">
        <v>0.3847222222222221</v>
      </c>
      <c r="W92" s="223">
        <v>0.3916666666666665</v>
      </c>
      <c r="X92" s="223">
        <v>0.4006944444444443</v>
      </c>
      <c r="Y92" s="224">
        <v>2.0</v>
      </c>
      <c r="Z92" s="223">
        <v>0.4020833333333332</v>
      </c>
      <c r="AA92" s="223">
        <v>0.40624999999999983</v>
      </c>
      <c r="AB92" s="224">
        <v>5.0</v>
      </c>
      <c r="AC92" s="223">
        <v>0.40972222222222204</v>
      </c>
      <c r="AD92" s="223">
        <v>0.41874999999999984</v>
      </c>
      <c r="AE92" s="224">
        <v>12.0</v>
      </c>
      <c r="AF92" s="223">
        <v>0.4270833333333332</v>
      </c>
      <c r="AG92" s="103">
        <f t="shared" si="44"/>
        <v>70</v>
      </c>
      <c r="AH92" s="103">
        <f>(AF92-O92)*1440+(M92-C92)*1440+N92</f>
        <v>93</v>
      </c>
      <c r="AI92" s="103">
        <f t="shared" si="45"/>
        <v>23</v>
      </c>
      <c r="AJ92" s="104">
        <f t="shared" si="46"/>
        <v>0.3285714286</v>
      </c>
      <c r="AK92" s="142">
        <f t="shared" ref="AK92:AK103" si="47">(AF92-AF91)*1440</f>
        <v>57</v>
      </c>
      <c r="AL92" s="217"/>
      <c r="AP92" s="203">
        <f>(AA92-AA56)*1440</f>
        <v>0</v>
      </c>
      <c r="AQ92" s="203"/>
      <c r="AR92" s="203"/>
      <c r="AS92" s="203"/>
      <c r="AT92" s="203"/>
    </row>
    <row r="93" ht="13.5" customHeight="1">
      <c r="A93" s="127"/>
      <c r="B93" s="141" t="s">
        <v>77</v>
      </c>
      <c r="C93" s="223"/>
      <c r="D93" s="223"/>
      <c r="E93" s="224"/>
      <c r="F93" s="240">
        <v>0.35833333333333334</v>
      </c>
      <c r="G93" s="223">
        <v>0.3638888888888889</v>
      </c>
      <c r="H93" s="223"/>
      <c r="I93" s="223">
        <v>0.37013888888888885</v>
      </c>
      <c r="J93" s="224">
        <v>2.0</v>
      </c>
      <c r="K93" s="223">
        <v>0.37152777777777773</v>
      </c>
      <c r="L93" s="223">
        <v>0.37361111111111106</v>
      </c>
      <c r="M93" s="223">
        <v>0.37986111111111104</v>
      </c>
      <c r="N93" s="224">
        <v>5.0</v>
      </c>
      <c r="O93" s="241">
        <v>0.40416666666666656</v>
      </c>
      <c r="P93" s="223">
        <v>0.40902777777777766</v>
      </c>
      <c r="Q93" s="224">
        <v>2.0</v>
      </c>
      <c r="R93" s="223">
        <v>0.41041666666666654</v>
      </c>
      <c r="S93" s="223">
        <v>0.4166666666666665</v>
      </c>
      <c r="T93" s="223">
        <v>0.42638888888888876</v>
      </c>
      <c r="U93" s="224">
        <v>2.0</v>
      </c>
      <c r="V93" s="223">
        <v>0.42777777777777765</v>
      </c>
      <c r="W93" s="223">
        <v>0.43472222222222207</v>
      </c>
      <c r="X93" s="223">
        <v>0.4444444444444443</v>
      </c>
      <c r="Y93" s="224">
        <v>1.0</v>
      </c>
      <c r="Z93" s="223">
        <v>0.44513888888888875</v>
      </c>
      <c r="AA93" s="223">
        <v>0.4493055555555554</v>
      </c>
      <c r="AB93" s="224">
        <v>5.0</v>
      </c>
      <c r="AC93" s="223">
        <v>0.4527777777777776</v>
      </c>
      <c r="AD93" s="223">
        <v>0.4618055555555554</v>
      </c>
      <c r="AE93" s="224">
        <v>10.0</v>
      </c>
      <c r="AF93" s="223">
        <v>0.46874999999999983</v>
      </c>
      <c r="AG93" s="103">
        <f t="shared" si="44"/>
        <v>102</v>
      </c>
      <c r="AH93" s="103">
        <f>(AF93-O93)*1440+(M93-F93)*1440+N93</f>
        <v>129</v>
      </c>
      <c r="AI93" s="103">
        <f t="shared" si="45"/>
        <v>27</v>
      </c>
      <c r="AJ93" s="104">
        <f t="shared" si="46"/>
        <v>0.2647058824</v>
      </c>
      <c r="AK93" s="142">
        <f t="shared" si="47"/>
        <v>60</v>
      </c>
      <c r="AL93" s="217">
        <v>150.0</v>
      </c>
      <c r="AN93" s="203">
        <f>(C94-C59)*1440</f>
        <v>0</v>
      </c>
      <c r="AO93" s="203">
        <f>(M93-M57)*1440</f>
        <v>0</v>
      </c>
      <c r="AP93" s="203">
        <f>(AA93-AA58)*1440</f>
        <v>0</v>
      </c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</row>
    <row r="94" ht="13.5" customHeight="1">
      <c r="A94" s="127"/>
      <c r="B94" s="141" t="s">
        <v>77</v>
      </c>
      <c r="C94" s="223">
        <v>0.3874999999999999</v>
      </c>
      <c r="D94" s="223">
        <v>0.39722222222222214</v>
      </c>
      <c r="E94" s="224">
        <v>4.0</v>
      </c>
      <c r="F94" s="223">
        <v>0.3999999999999999</v>
      </c>
      <c r="G94" s="223">
        <v>0.40555555555555545</v>
      </c>
      <c r="H94" s="223"/>
      <c r="I94" s="223">
        <v>0.4118055555555554</v>
      </c>
      <c r="J94" s="224">
        <v>2.0</v>
      </c>
      <c r="K94" s="223">
        <v>0.4131944444444443</v>
      </c>
      <c r="L94" s="223">
        <v>0.41527777777777763</v>
      </c>
      <c r="M94" s="223">
        <v>0.4215277777777776</v>
      </c>
      <c r="N94" s="224">
        <v>5.0</v>
      </c>
      <c r="O94" s="232">
        <v>0.44583333333333314</v>
      </c>
      <c r="P94" s="223">
        <v>0.45069444444444423</v>
      </c>
      <c r="Q94" s="224">
        <v>2.0</v>
      </c>
      <c r="R94" s="223">
        <v>0.4520833333333331</v>
      </c>
      <c r="S94" s="223">
        <v>0.4583333333333331</v>
      </c>
      <c r="T94" s="223">
        <v>0.46805555555555534</v>
      </c>
      <c r="U94" s="224">
        <v>1.0</v>
      </c>
      <c r="V94" s="223">
        <v>0.4687499999999998</v>
      </c>
      <c r="W94" s="223">
        <v>0.4756944444444442</v>
      </c>
      <c r="X94" s="223">
        <v>0.48541666666666644</v>
      </c>
      <c r="Y94" s="224">
        <v>2.0</v>
      </c>
      <c r="Z94" s="223">
        <v>0.4868055555555553</v>
      </c>
      <c r="AA94" s="223">
        <v>0.490972222222222</v>
      </c>
      <c r="AB94" s="224">
        <v>5.0</v>
      </c>
      <c r="AC94" s="223">
        <v>0.4944444444444442</v>
      </c>
      <c r="AD94" s="223">
        <v>0.503472222222222</v>
      </c>
      <c r="AE94" s="224">
        <v>10.0</v>
      </c>
      <c r="AF94" s="223">
        <v>0.5104166666666664</v>
      </c>
      <c r="AG94" s="103">
        <f t="shared" si="44"/>
        <v>116</v>
      </c>
      <c r="AH94" s="103">
        <f t="shared" ref="AH94:AH103" si="48">(AF94-O94)*1440+(M94-C94)*1440+N94</f>
        <v>147</v>
      </c>
      <c r="AI94" s="103">
        <f t="shared" si="45"/>
        <v>31</v>
      </c>
      <c r="AJ94" s="104">
        <f t="shared" si="46"/>
        <v>0.2672413793</v>
      </c>
      <c r="AK94" s="142">
        <f t="shared" si="47"/>
        <v>60</v>
      </c>
      <c r="AL94" s="217">
        <v>150.0</v>
      </c>
      <c r="AN94" s="203">
        <f>(C95-C61)*1440</f>
        <v>0</v>
      </c>
      <c r="AO94" s="203">
        <f>(M94-M59)*1440</f>
        <v>0</v>
      </c>
      <c r="AP94" s="203">
        <f>(AA94-AA60)*1440</f>
        <v>0</v>
      </c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</row>
    <row r="95" ht="13.5" customHeight="1">
      <c r="A95" s="127"/>
      <c r="B95" s="141" t="s">
        <v>78</v>
      </c>
      <c r="C95" s="223">
        <v>0.4270833333333332</v>
      </c>
      <c r="D95" s="223">
        <v>0.43680555555555545</v>
      </c>
      <c r="E95" s="224">
        <v>4.0</v>
      </c>
      <c r="F95" s="223">
        <v>0.4395833333333332</v>
      </c>
      <c r="G95" s="223">
        <v>0.4458333333333332</v>
      </c>
      <c r="H95" s="223"/>
      <c r="I95" s="223">
        <v>0.45208333333333317</v>
      </c>
      <c r="J95" s="224">
        <v>2.0</v>
      </c>
      <c r="K95" s="223">
        <v>0.45347222222222205</v>
      </c>
      <c r="L95" s="223">
        <v>0.4562499999999998</v>
      </c>
      <c r="M95" s="223">
        <v>0.46319444444444424</v>
      </c>
      <c r="N95" s="224">
        <v>5.0</v>
      </c>
      <c r="O95" s="232">
        <v>0.48749999999999977</v>
      </c>
      <c r="P95" s="223">
        <v>0.49236111111111086</v>
      </c>
      <c r="Q95" s="224">
        <v>2.0</v>
      </c>
      <c r="R95" s="223">
        <v>0.49374999999999974</v>
      </c>
      <c r="S95" s="223">
        <v>0.4999999999999997</v>
      </c>
      <c r="T95" s="223">
        <v>0.509722222222222</v>
      </c>
      <c r="U95" s="224">
        <v>1.0</v>
      </c>
      <c r="V95" s="223">
        <v>0.5104166666666664</v>
      </c>
      <c r="W95" s="223">
        <v>0.5180555555555553</v>
      </c>
      <c r="X95" s="223">
        <v>0.5284722222222219</v>
      </c>
      <c r="Y95" s="224">
        <v>0.0</v>
      </c>
      <c r="Z95" s="223">
        <v>0.5284722222222219</v>
      </c>
      <c r="AA95" s="223">
        <v>0.533333333333333</v>
      </c>
      <c r="AB95" s="224">
        <v>5.0</v>
      </c>
      <c r="AC95" s="223">
        <v>0.5368055555555552</v>
      </c>
      <c r="AD95" s="223">
        <v>0.5465277777777774</v>
      </c>
      <c r="AE95" s="224">
        <v>8.0</v>
      </c>
      <c r="AF95" s="223">
        <v>0.5520833333333329</v>
      </c>
      <c r="AG95" s="103">
        <f t="shared" si="44"/>
        <v>123</v>
      </c>
      <c r="AH95" s="103">
        <f t="shared" si="48"/>
        <v>150</v>
      </c>
      <c r="AI95" s="103">
        <f t="shared" si="45"/>
        <v>27</v>
      </c>
      <c r="AJ95" s="104">
        <f t="shared" si="46"/>
        <v>0.2195121951</v>
      </c>
      <c r="AK95" s="142">
        <f t="shared" si="47"/>
        <v>60</v>
      </c>
      <c r="AL95" s="217">
        <v>150.0</v>
      </c>
      <c r="AN95" s="203">
        <f>(C96-C63)*1440</f>
        <v>0</v>
      </c>
      <c r="AO95" s="203">
        <f>(M95-M61)*1440</f>
        <v>0</v>
      </c>
      <c r="AP95" s="203">
        <f>(AA95-AA62)*1440</f>
        <v>0</v>
      </c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</row>
    <row r="96" ht="13.5" customHeight="1">
      <c r="A96" s="127"/>
      <c r="B96" s="141" t="s">
        <v>78</v>
      </c>
      <c r="C96" s="223">
        <v>0.46874999999999983</v>
      </c>
      <c r="D96" s="223">
        <v>0.4784722222222221</v>
      </c>
      <c r="E96" s="224">
        <v>4.0</v>
      </c>
      <c r="F96" s="223">
        <v>0.48124999999999984</v>
      </c>
      <c r="G96" s="223">
        <v>0.4874999999999998</v>
      </c>
      <c r="H96" s="223"/>
      <c r="I96" s="223">
        <v>0.4937499999999998</v>
      </c>
      <c r="J96" s="224">
        <v>2.0</v>
      </c>
      <c r="K96" s="223">
        <v>0.4951388888888887</v>
      </c>
      <c r="L96" s="223">
        <v>0.49791666666666645</v>
      </c>
      <c r="M96" s="223">
        <v>0.5048611111111109</v>
      </c>
      <c r="N96" s="224">
        <v>5.0</v>
      </c>
      <c r="O96" s="232">
        <v>0.5291666666666662</v>
      </c>
      <c r="P96" s="223">
        <v>0.5340277777777773</v>
      </c>
      <c r="Q96" s="224">
        <v>2.0</v>
      </c>
      <c r="R96" s="223">
        <v>0.5354166666666662</v>
      </c>
      <c r="S96" s="223">
        <v>0.5416666666666662</v>
      </c>
      <c r="T96" s="223">
        <v>0.5513888888888884</v>
      </c>
      <c r="U96" s="224">
        <v>1.0</v>
      </c>
      <c r="V96" s="223">
        <v>0.5520833333333328</v>
      </c>
      <c r="W96" s="223">
        <v>0.5597222222222217</v>
      </c>
      <c r="X96" s="223">
        <v>0.5701388888888883</v>
      </c>
      <c r="Y96" s="224">
        <v>0.0</v>
      </c>
      <c r="Z96" s="223">
        <v>0.5701388888888883</v>
      </c>
      <c r="AA96" s="223">
        <v>0.5749999999999994</v>
      </c>
      <c r="AB96" s="224">
        <v>5.0</v>
      </c>
      <c r="AC96" s="223">
        <v>0.5784722222222216</v>
      </c>
      <c r="AD96" s="223">
        <v>0.5881944444444438</v>
      </c>
      <c r="AE96" s="224">
        <v>8.0</v>
      </c>
      <c r="AF96" s="223">
        <v>0.5937499999999993</v>
      </c>
      <c r="AG96" s="103">
        <f t="shared" si="44"/>
        <v>123</v>
      </c>
      <c r="AH96" s="103">
        <f t="shared" si="48"/>
        <v>150</v>
      </c>
      <c r="AI96" s="103">
        <f t="shared" si="45"/>
        <v>27</v>
      </c>
      <c r="AJ96" s="104">
        <f t="shared" si="46"/>
        <v>0.2195121951</v>
      </c>
      <c r="AK96" s="142">
        <f t="shared" si="47"/>
        <v>60</v>
      </c>
      <c r="AL96" s="217">
        <v>150.0</v>
      </c>
      <c r="AN96" s="203">
        <f>(C97-C65)*1440</f>
        <v>0</v>
      </c>
      <c r="AO96" s="203">
        <f>(M96-M63)*1440</f>
        <v>0</v>
      </c>
      <c r="AP96" s="203">
        <f>(AA96-AA64)*1440</f>
        <v>0</v>
      </c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</row>
    <row r="97" ht="13.5" customHeight="1">
      <c r="A97" s="127"/>
      <c r="B97" s="141" t="s">
        <v>78</v>
      </c>
      <c r="C97" s="223">
        <v>0.5104166666666664</v>
      </c>
      <c r="D97" s="223">
        <v>0.5201388888888886</v>
      </c>
      <c r="E97" s="224">
        <v>4.0</v>
      </c>
      <c r="F97" s="223">
        <v>0.5229166666666664</v>
      </c>
      <c r="G97" s="223">
        <v>0.5291666666666663</v>
      </c>
      <c r="H97" s="223"/>
      <c r="I97" s="223">
        <v>0.5354166666666663</v>
      </c>
      <c r="J97" s="224">
        <v>2.0</v>
      </c>
      <c r="K97" s="223">
        <v>0.5368055555555552</v>
      </c>
      <c r="L97" s="223">
        <v>0.539583333333333</v>
      </c>
      <c r="M97" s="223">
        <v>0.5465277777777774</v>
      </c>
      <c r="N97" s="224">
        <v>5.0</v>
      </c>
      <c r="O97" s="232">
        <v>0.5708333333333329</v>
      </c>
      <c r="P97" s="223">
        <v>0.575694444444444</v>
      </c>
      <c r="Q97" s="224">
        <v>2.0</v>
      </c>
      <c r="R97" s="223">
        <v>0.5770833333333328</v>
      </c>
      <c r="S97" s="223">
        <v>0.5833333333333328</v>
      </c>
      <c r="T97" s="223">
        <v>0.593055555555555</v>
      </c>
      <c r="U97" s="224">
        <v>1.0</v>
      </c>
      <c r="V97" s="223">
        <v>0.5937499999999994</v>
      </c>
      <c r="W97" s="223">
        <v>0.6013888888888883</v>
      </c>
      <c r="X97" s="223">
        <v>0.6118055555555549</v>
      </c>
      <c r="Y97" s="224">
        <v>0.0</v>
      </c>
      <c r="Z97" s="223">
        <v>0.6118055555555549</v>
      </c>
      <c r="AA97" s="223">
        <v>0.616666666666666</v>
      </c>
      <c r="AB97" s="224">
        <v>5.0</v>
      </c>
      <c r="AC97" s="223">
        <v>0.6201388888888882</v>
      </c>
      <c r="AD97" s="223">
        <v>0.6298611111111104</v>
      </c>
      <c r="AE97" s="224">
        <v>8.0</v>
      </c>
      <c r="AF97" s="223">
        <v>0.635416666666666</v>
      </c>
      <c r="AG97" s="103">
        <f t="shared" si="44"/>
        <v>123</v>
      </c>
      <c r="AH97" s="103">
        <f t="shared" si="48"/>
        <v>150</v>
      </c>
      <c r="AI97" s="103">
        <f t="shared" si="45"/>
        <v>27</v>
      </c>
      <c r="AJ97" s="104">
        <f t="shared" si="46"/>
        <v>0.2195121951</v>
      </c>
      <c r="AK97" s="142">
        <f t="shared" si="47"/>
        <v>60</v>
      </c>
      <c r="AL97" s="217">
        <v>150.0</v>
      </c>
      <c r="AN97" s="203">
        <f>(C98-C67)*1440</f>
        <v>0</v>
      </c>
      <c r="AO97" s="203">
        <f>(M97-M65)*1440</f>
        <v>0</v>
      </c>
      <c r="AP97" s="203">
        <f>(AA97-AA66)*1440</f>
        <v>0</v>
      </c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</row>
    <row r="98" ht="13.5" customHeight="1">
      <c r="A98" s="127"/>
      <c r="B98" s="141" t="s">
        <v>78</v>
      </c>
      <c r="C98" s="223">
        <v>0.5520833333333329</v>
      </c>
      <c r="D98" s="223">
        <v>0.5618055555555551</v>
      </c>
      <c r="E98" s="224">
        <v>4.0</v>
      </c>
      <c r="F98" s="223">
        <v>0.5645833333333329</v>
      </c>
      <c r="G98" s="223">
        <v>0.5708333333333329</v>
      </c>
      <c r="H98" s="223"/>
      <c r="I98" s="223">
        <v>0.5770833333333328</v>
      </c>
      <c r="J98" s="224">
        <v>2.0</v>
      </c>
      <c r="K98" s="223">
        <v>0.5784722222222217</v>
      </c>
      <c r="L98" s="223">
        <v>0.5812499999999995</v>
      </c>
      <c r="M98" s="223">
        <v>0.5881944444444439</v>
      </c>
      <c r="N98" s="224">
        <v>5.0</v>
      </c>
      <c r="O98" s="232">
        <v>0.6124999999999994</v>
      </c>
      <c r="P98" s="223">
        <v>0.6173611111111105</v>
      </c>
      <c r="Q98" s="224">
        <v>2.0</v>
      </c>
      <c r="R98" s="223">
        <v>0.6187499999999994</v>
      </c>
      <c r="S98" s="223">
        <v>0.6249999999999993</v>
      </c>
      <c r="T98" s="223">
        <v>0.6347222222222215</v>
      </c>
      <c r="U98" s="224">
        <v>1.0</v>
      </c>
      <c r="V98" s="223">
        <v>0.635416666666666</v>
      </c>
      <c r="W98" s="223">
        <v>0.6430555555555548</v>
      </c>
      <c r="X98" s="223">
        <v>0.6534722222222215</v>
      </c>
      <c r="Y98" s="224">
        <v>0.0</v>
      </c>
      <c r="Z98" s="223">
        <v>0.6534722222222215</v>
      </c>
      <c r="AA98" s="223">
        <v>0.6583333333333325</v>
      </c>
      <c r="AB98" s="224">
        <v>5.0</v>
      </c>
      <c r="AC98" s="223">
        <v>0.6618055555555548</v>
      </c>
      <c r="AD98" s="223">
        <v>0.671527777777777</v>
      </c>
      <c r="AE98" s="224">
        <v>8.0</v>
      </c>
      <c r="AF98" s="223">
        <v>0.6770833333333325</v>
      </c>
      <c r="AG98" s="103">
        <f t="shared" si="44"/>
        <v>123</v>
      </c>
      <c r="AH98" s="103">
        <f t="shared" si="48"/>
        <v>150</v>
      </c>
      <c r="AI98" s="103">
        <f t="shared" si="45"/>
        <v>27</v>
      </c>
      <c r="AJ98" s="104">
        <f t="shared" si="46"/>
        <v>0.2195121951</v>
      </c>
      <c r="AK98" s="142">
        <f t="shared" si="47"/>
        <v>60</v>
      </c>
      <c r="AL98" s="217">
        <v>150.0</v>
      </c>
      <c r="AN98" s="203">
        <f>(C99-C69)*1440</f>
        <v>0</v>
      </c>
      <c r="AO98" s="203">
        <f>(M98-M67)*1440</f>
        <v>0</v>
      </c>
      <c r="AP98" s="203">
        <f>(AA98-AA68)*1440</f>
        <v>0</v>
      </c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</row>
    <row r="99" ht="13.5" customHeight="1">
      <c r="A99" s="127"/>
      <c r="B99" s="141" t="s">
        <v>78</v>
      </c>
      <c r="C99" s="223">
        <v>0.5937499999999993</v>
      </c>
      <c r="D99" s="223">
        <v>0.6034722222222215</v>
      </c>
      <c r="E99" s="224">
        <v>4.0</v>
      </c>
      <c r="F99" s="223">
        <v>0.6062499999999993</v>
      </c>
      <c r="G99" s="223">
        <v>0.6124999999999993</v>
      </c>
      <c r="H99" s="223"/>
      <c r="I99" s="223">
        <v>0.6187499999999992</v>
      </c>
      <c r="J99" s="224">
        <v>2.0</v>
      </c>
      <c r="K99" s="223">
        <v>0.6201388888888881</v>
      </c>
      <c r="L99" s="223">
        <v>0.6229166666666659</v>
      </c>
      <c r="M99" s="223">
        <v>0.6298611111111103</v>
      </c>
      <c r="N99" s="224">
        <v>5.0</v>
      </c>
      <c r="O99" s="232">
        <v>0.6541666666666659</v>
      </c>
      <c r="P99" s="223">
        <v>0.659027777777777</v>
      </c>
      <c r="Q99" s="224">
        <v>2.0</v>
      </c>
      <c r="R99" s="223">
        <v>0.6604166666666659</v>
      </c>
      <c r="S99" s="223">
        <v>0.6666666666666659</v>
      </c>
      <c r="T99" s="223">
        <v>0.676388888888888</v>
      </c>
      <c r="U99" s="224">
        <v>1.0</v>
      </c>
      <c r="V99" s="223">
        <v>0.6770833333333325</v>
      </c>
      <c r="W99" s="223">
        <v>0.6847222222222213</v>
      </c>
      <c r="X99" s="223">
        <v>0.695138888888888</v>
      </c>
      <c r="Y99" s="224">
        <v>2.0</v>
      </c>
      <c r="Z99" s="223">
        <v>0.6965277777777769</v>
      </c>
      <c r="AA99" s="223">
        <v>0.701388888888888</v>
      </c>
      <c r="AB99" s="224">
        <v>5.0</v>
      </c>
      <c r="AC99" s="223">
        <v>0.7048611111111102</v>
      </c>
      <c r="AD99" s="223">
        <v>0.7145833333333323</v>
      </c>
      <c r="AE99" s="224">
        <v>6.0</v>
      </c>
      <c r="AF99" s="223">
        <v>0.718749999999999</v>
      </c>
      <c r="AG99" s="103">
        <f t="shared" si="44"/>
        <v>123</v>
      </c>
      <c r="AH99" s="103">
        <f t="shared" si="48"/>
        <v>150</v>
      </c>
      <c r="AI99" s="103">
        <f t="shared" si="45"/>
        <v>27</v>
      </c>
      <c r="AJ99" s="104">
        <f t="shared" si="46"/>
        <v>0.2195121951</v>
      </c>
      <c r="AK99" s="142">
        <f t="shared" si="47"/>
        <v>60</v>
      </c>
      <c r="AL99" s="217">
        <v>150.0</v>
      </c>
      <c r="AN99" s="203">
        <f>(C100-C71)*1440</f>
        <v>0</v>
      </c>
      <c r="AO99" s="203">
        <f>(M99-M69)*1440</f>
        <v>0</v>
      </c>
      <c r="AP99" s="203">
        <f>(AA99-AA70)*1440</f>
        <v>0</v>
      </c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</row>
    <row r="100" ht="13.5" customHeight="1">
      <c r="A100" s="127"/>
      <c r="B100" s="141" t="s">
        <v>78</v>
      </c>
      <c r="C100" s="223">
        <v>0.635416666666666</v>
      </c>
      <c r="D100" s="223">
        <v>0.6451388888888882</v>
      </c>
      <c r="E100" s="224">
        <v>4.0</v>
      </c>
      <c r="F100" s="223">
        <v>0.6479166666666659</v>
      </c>
      <c r="G100" s="223">
        <v>0.6541666666666659</v>
      </c>
      <c r="H100" s="223"/>
      <c r="I100" s="223">
        <v>0.6604166666666659</v>
      </c>
      <c r="J100" s="224">
        <v>2.0</v>
      </c>
      <c r="K100" s="223">
        <v>0.6618055555555548</v>
      </c>
      <c r="L100" s="223">
        <v>0.6645833333333325</v>
      </c>
      <c r="M100" s="223">
        <v>0.671527777777777</v>
      </c>
      <c r="N100" s="224">
        <v>5.0</v>
      </c>
      <c r="O100" s="232">
        <v>0.6958333333333324</v>
      </c>
      <c r="P100" s="223">
        <v>0.7006944444444435</v>
      </c>
      <c r="Q100" s="224">
        <v>2.0</v>
      </c>
      <c r="R100" s="223">
        <v>0.7020833333333324</v>
      </c>
      <c r="S100" s="223">
        <v>0.7083333333333324</v>
      </c>
      <c r="T100" s="223">
        <v>0.7180555555555546</v>
      </c>
      <c r="U100" s="224">
        <v>2.0</v>
      </c>
      <c r="V100" s="223">
        <v>0.7194444444444434</v>
      </c>
      <c r="W100" s="223">
        <v>0.7270833333333323</v>
      </c>
      <c r="X100" s="223">
        <v>0.7374999999999989</v>
      </c>
      <c r="Y100" s="224">
        <v>2.0</v>
      </c>
      <c r="Z100" s="223">
        <v>0.7388888888888878</v>
      </c>
      <c r="AA100" s="223">
        <v>0.7437499999999989</v>
      </c>
      <c r="AB100" s="224">
        <v>5.0</v>
      </c>
      <c r="AC100" s="223">
        <v>0.7472222222222211</v>
      </c>
      <c r="AD100" s="223">
        <v>0.7569444444444433</v>
      </c>
      <c r="AE100" s="224">
        <v>5.0</v>
      </c>
      <c r="AF100" s="223">
        <v>0.7604166666666655</v>
      </c>
      <c r="AG100" s="103">
        <f t="shared" si="44"/>
        <v>123</v>
      </c>
      <c r="AH100" s="103">
        <f t="shared" si="48"/>
        <v>150</v>
      </c>
      <c r="AI100" s="103">
        <f t="shared" si="45"/>
        <v>27</v>
      </c>
      <c r="AJ100" s="104">
        <f t="shared" si="46"/>
        <v>0.2195121951</v>
      </c>
      <c r="AK100" s="142">
        <f t="shared" si="47"/>
        <v>60</v>
      </c>
      <c r="AL100" s="217">
        <v>150.0</v>
      </c>
      <c r="AN100" s="203">
        <f>(C101-C73)*1440</f>
        <v>0</v>
      </c>
      <c r="AO100" s="203">
        <f>(M100-M71)*1440</f>
        <v>0</v>
      </c>
      <c r="AP100" s="203">
        <f>(AA100-AA72)*1440</f>
        <v>0</v>
      </c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</row>
    <row r="101" ht="13.5" customHeight="1">
      <c r="A101" s="127"/>
      <c r="B101" s="141" t="s">
        <v>79</v>
      </c>
      <c r="C101" s="223">
        <v>0.6770833333333325</v>
      </c>
      <c r="D101" s="223">
        <v>0.6861111111111102</v>
      </c>
      <c r="E101" s="224">
        <v>4.0</v>
      </c>
      <c r="F101" s="223">
        <v>0.688888888888888</v>
      </c>
      <c r="G101" s="223">
        <v>0.6958333333333324</v>
      </c>
      <c r="H101" s="223"/>
      <c r="I101" s="223">
        <v>0.7020833333333324</v>
      </c>
      <c r="J101" s="224">
        <v>2.0</v>
      </c>
      <c r="K101" s="223">
        <v>0.7034722222222213</v>
      </c>
      <c r="L101" s="223">
        <v>0.706249999999999</v>
      </c>
      <c r="M101" s="223">
        <v>0.7131944444444435</v>
      </c>
      <c r="N101" s="224">
        <v>5.0</v>
      </c>
      <c r="O101" s="232">
        <v>0.7374999999999988</v>
      </c>
      <c r="P101" s="223">
        <v>0.7423611111111099</v>
      </c>
      <c r="Q101" s="224">
        <v>5.0</v>
      </c>
      <c r="R101" s="223">
        <v>0.7458333333333321</v>
      </c>
      <c r="S101" s="223">
        <v>0.7520833333333321</v>
      </c>
      <c r="T101" s="223">
        <v>0.7611111111111099</v>
      </c>
      <c r="U101" s="224">
        <v>2.0</v>
      </c>
      <c r="V101" s="223">
        <v>0.7624999999999987</v>
      </c>
      <c r="W101" s="223">
        <v>0.7694444444444432</v>
      </c>
      <c r="X101" s="223">
        <v>0.7784722222222209</v>
      </c>
      <c r="Y101" s="224">
        <v>2.0</v>
      </c>
      <c r="Z101" s="223">
        <v>0.7798611111111098</v>
      </c>
      <c r="AA101" s="223">
        <v>0.7840277777777764</v>
      </c>
      <c r="AB101" s="224">
        <v>5.0</v>
      </c>
      <c r="AC101" s="223">
        <v>0.7874999999999986</v>
      </c>
      <c r="AD101" s="223">
        <v>0.7972222222222208</v>
      </c>
      <c r="AE101" s="224">
        <v>7.0</v>
      </c>
      <c r="AF101" s="223">
        <v>0.8020833333333319</v>
      </c>
      <c r="AG101" s="103">
        <f t="shared" si="44"/>
        <v>118</v>
      </c>
      <c r="AH101" s="103">
        <f t="shared" si="48"/>
        <v>150</v>
      </c>
      <c r="AI101" s="103">
        <f t="shared" si="45"/>
        <v>32</v>
      </c>
      <c r="AJ101" s="104">
        <f t="shared" si="46"/>
        <v>0.2711864407</v>
      </c>
      <c r="AK101" s="142">
        <f t="shared" si="47"/>
        <v>60</v>
      </c>
      <c r="AL101" s="217">
        <v>150.0</v>
      </c>
      <c r="AN101" s="203">
        <f>(C102-C75)*1440</f>
        <v>0</v>
      </c>
      <c r="AO101" s="203">
        <f>(M101-M73)*1440</f>
        <v>0</v>
      </c>
      <c r="AP101" s="203">
        <f>(AA101-AA74)*1440</f>
        <v>0</v>
      </c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</row>
    <row r="102" ht="13.5" customHeight="1">
      <c r="A102" s="127"/>
      <c r="B102" s="141" t="s">
        <v>79</v>
      </c>
      <c r="C102" s="223">
        <v>0.718749999999999</v>
      </c>
      <c r="D102" s="223">
        <v>0.7277777777777767</v>
      </c>
      <c r="E102" s="224">
        <v>4.0</v>
      </c>
      <c r="F102" s="223">
        <v>0.7305555555555545</v>
      </c>
      <c r="G102" s="223">
        <v>0.7374999999999989</v>
      </c>
      <c r="H102" s="223"/>
      <c r="I102" s="223">
        <v>0.7437499999999989</v>
      </c>
      <c r="J102" s="224">
        <v>2.0</v>
      </c>
      <c r="K102" s="223">
        <v>0.7451388888888878</v>
      </c>
      <c r="L102" s="223">
        <v>0.7479166666666656</v>
      </c>
      <c r="M102" s="223">
        <v>0.75486111111111</v>
      </c>
      <c r="N102" s="224">
        <v>5.0</v>
      </c>
      <c r="O102" s="232">
        <v>0.7791666666666655</v>
      </c>
      <c r="P102" s="223">
        <v>0.7840277777777765</v>
      </c>
      <c r="Q102" s="224">
        <v>2.0</v>
      </c>
      <c r="R102" s="223">
        <v>0.7854166666666654</v>
      </c>
      <c r="S102" s="223">
        <v>0.7916666666666654</v>
      </c>
      <c r="T102" s="223">
        <v>0.8006944444444432</v>
      </c>
      <c r="U102" s="224">
        <v>2.0</v>
      </c>
      <c r="V102" s="223">
        <v>0.802083333333332</v>
      </c>
      <c r="W102" s="223">
        <v>0.8090277777777765</v>
      </c>
      <c r="X102" s="223">
        <v>0.8180555555555542</v>
      </c>
      <c r="Y102" s="224">
        <v>2.0</v>
      </c>
      <c r="Z102" s="223">
        <v>0.8194444444444431</v>
      </c>
      <c r="AA102" s="223">
        <v>0.8236111111111097</v>
      </c>
      <c r="AB102" s="224">
        <v>5.0</v>
      </c>
      <c r="AC102" s="223">
        <v>0.827083333333332</v>
      </c>
      <c r="AD102" s="223">
        <v>0.8368055555555541</v>
      </c>
      <c r="AE102" s="224">
        <v>13.0</v>
      </c>
      <c r="AF102" s="223">
        <v>0.8458333333333319</v>
      </c>
      <c r="AG102" s="103">
        <f t="shared" si="44"/>
        <v>118</v>
      </c>
      <c r="AH102" s="103">
        <f t="shared" si="48"/>
        <v>153</v>
      </c>
      <c r="AI102" s="103">
        <f t="shared" si="45"/>
        <v>35</v>
      </c>
      <c r="AJ102" s="104">
        <f t="shared" si="46"/>
        <v>0.2966101695</v>
      </c>
      <c r="AK102" s="142">
        <f t="shared" si="47"/>
        <v>63</v>
      </c>
      <c r="AL102" s="217">
        <v>150.0</v>
      </c>
      <c r="AN102" s="203">
        <f>(C103-C77)*1440</f>
        <v>0</v>
      </c>
      <c r="AO102" s="203">
        <f>(M102-M75)*1440</f>
        <v>0</v>
      </c>
      <c r="AP102" s="203">
        <f>(AA102-AA76)*1440</f>
        <v>-3</v>
      </c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</row>
    <row r="103" ht="13.5" customHeight="1">
      <c r="A103" s="127"/>
      <c r="B103" s="141" t="s">
        <v>79</v>
      </c>
      <c r="C103" s="223">
        <v>0.7604166666666655</v>
      </c>
      <c r="D103" s="223">
        <v>0.7694444444444433</v>
      </c>
      <c r="E103" s="224">
        <v>4.0</v>
      </c>
      <c r="F103" s="223">
        <v>0.772222222222221</v>
      </c>
      <c r="G103" s="223">
        <v>0.7791666666666655</v>
      </c>
      <c r="H103" s="223"/>
      <c r="I103" s="223">
        <v>0.7854166666666654</v>
      </c>
      <c r="J103" s="224">
        <v>2.0</v>
      </c>
      <c r="K103" s="223">
        <v>0.7868055555555543</v>
      </c>
      <c r="L103" s="223">
        <v>0.7895833333333321</v>
      </c>
      <c r="M103" s="223">
        <v>0.7965277777777765</v>
      </c>
      <c r="N103" s="224">
        <v>5.0</v>
      </c>
      <c r="O103" s="232">
        <v>0.820833333333332</v>
      </c>
      <c r="P103" s="223">
        <v>0.8256944444444431</v>
      </c>
      <c r="Q103" s="224">
        <v>2.0</v>
      </c>
      <c r="R103" s="223">
        <v>0.827083333333332</v>
      </c>
      <c r="S103" s="223">
        <v>0.8340277777777764</v>
      </c>
      <c r="T103" s="223">
        <v>0.8388888888888875</v>
      </c>
      <c r="U103" s="224">
        <v>2.0</v>
      </c>
      <c r="V103" s="223">
        <v>0.8402777777777763</v>
      </c>
      <c r="W103" s="223">
        <v>0.8465277777777763</v>
      </c>
      <c r="X103" s="223">
        <v>0.8555555555555541</v>
      </c>
      <c r="Y103" s="224">
        <v>2.0</v>
      </c>
      <c r="Z103" s="223">
        <v>0.856944444444443</v>
      </c>
      <c r="AA103" s="223">
        <v>0.8638888888888874</v>
      </c>
      <c r="AB103" s="224">
        <v>5.0</v>
      </c>
      <c r="AC103" s="223">
        <v>0.8673611111111096</v>
      </c>
      <c r="AD103" s="223">
        <v>0.8763888888888873</v>
      </c>
      <c r="AE103" s="224">
        <v>16.0</v>
      </c>
      <c r="AF103" s="223">
        <v>0.8874999999999984</v>
      </c>
      <c r="AG103" s="103">
        <f t="shared" si="44"/>
        <v>115</v>
      </c>
      <c r="AH103" s="103">
        <f t="shared" si="48"/>
        <v>153</v>
      </c>
      <c r="AI103" s="103">
        <f t="shared" si="45"/>
        <v>38</v>
      </c>
      <c r="AJ103" s="104">
        <f t="shared" si="46"/>
        <v>0.3304347826</v>
      </c>
      <c r="AK103" s="142">
        <f t="shared" si="47"/>
        <v>60</v>
      </c>
      <c r="AL103" s="217">
        <v>150.0</v>
      </c>
      <c r="AN103" s="203">
        <f t="shared" ref="AN103:AN105" si="49">(C104-C79)*1440</f>
        <v>0</v>
      </c>
      <c r="AO103" s="203">
        <f>(M103-M77)*1440</f>
        <v>0</v>
      </c>
      <c r="AP103" s="203">
        <f t="shared" ref="AP103:AP104" si="50">(AA103-AA78)*1440</f>
        <v>0</v>
      </c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</row>
    <row r="104" ht="13.5" customHeight="1">
      <c r="A104" s="127"/>
      <c r="B104" s="141" t="s">
        <v>79</v>
      </c>
      <c r="C104" s="223">
        <v>0.8020833333333319</v>
      </c>
      <c r="D104" s="223">
        <v>0.8111111111111097</v>
      </c>
      <c r="E104" s="224">
        <v>4.0</v>
      </c>
      <c r="F104" s="223">
        <v>0.8138888888888874</v>
      </c>
      <c r="G104" s="223">
        <v>0.8208333333333319</v>
      </c>
      <c r="H104" s="223"/>
      <c r="I104" s="223">
        <v>0.8270833333333318</v>
      </c>
      <c r="J104" s="224">
        <v>2.0</v>
      </c>
      <c r="K104" s="223">
        <v>0.8284722222222207</v>
      </c>
      <c r="L104" s="223">
        <v>0.8312499999999985</v>
      </c>
      <c r="M104" s="223">
        <v>0.8381944444444429</v>
      </c>
      <c r="N104" s="224">
        <v>5.0</v>
      </c>
      <c r="O104" s="232">
        <v>0.8624999999999985</v>
      </c>
      <c r="P104" s="223">
        <v>0.8673611111111096</v>
      </c>
      <c r="Q104" s="224">
        <v>2.0</v>
      </c>
      <c r="R104" s="223">
        <v>0.8687499999999985</v>
      </c>
      <c r="S104" s="223">
        <v>0.8756944444444429</v>
      </c>
      <c r="T104" s="223">
        <v>0.880555555555554</v>
      </c>
      <c r="U104" s="224">
        <v>2.0</v>
      </c>
      <c r="V104" s="223">
        <v>0.8819444444444429</v>
      </c>
      <c r="W104" s="223">
        <v>0.8881944444444428</v>
      </c>
      <c r="X104" s="223">
        <v>0.8972222222222206</v>
      </c>
      <c r="Y104" s="224">
        <v>2.0</v>
      </c>
      <c r="Z104" s="223">
        <v>0.8986111111111095</v>
      </c>
      <c r="AA104" s="223">
        <v>0.9055555555555539</v>
      </c>
      <c r="AB104" s="224"/>
      <c r="AC104" s="242"/>
      <c r="AD104" s="223"/>
      <c r="AE104" s="224"/>
      <c r="AF104" s="223"/>
      <c r="AG104" s="103">
        <f t="shared" si="44"/>
        <v>102</v>
      </c>
      <c r="AH104" s="103">
        <f>(AA104-O104)*1440+(M104-C104)*1440+N104</f>
        <v>119</v>
      </c>
      <c r="AI104" s="103">
        <f t="shared" si="45"/>
        <v>17</v>
      </c>
      <c r="AJ104" s="104">
        <f t="shared" si="46"/>
        <v>0.1666666667</v>
      </c>
      <c r="AK104" s="142">
        <f>(AA104-AA103)*1440</f>
        <v>60</v>
      </c>
      <c r="AL104" s="217">
        <v>150.0</v>
      </c>
      <c r="AN104" s="203">
        <f t="shared" si="49"/>
        <v>0</v>
      </c>
      <c r="AO104" s="203">
        <f t="shared" ref="AO104:AO106" si="51">(M104-M79)*1440</f>
        <v>0</v>
      </c>
      <c r="AP104" s="203">
        <f t="shared" si="50"/>
        <v>0</v>
      </c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</row>
    <row r="105" ht="13.5" customHeight="1">
      <c r="A105" s="127"/>
      <c r="B105" s="141" t="s">
        <v>98</v>
      </c>
      <c r="C105" s="223">
        <v>0.8458333333333319</v>
      </c>
      <c r="D105" s="223">
        <v>0.8548611111111096</v>
      </c>
      <c r="E105" s="224">
        <v>4.0</v>
      </c>
      <c r="F105" s="223">
        <v>0.8576388888888874</v>
      </c>
      <c r="G105" s="223">
        <v>0.8631944444444429</v>
      </c>
      <c r="H105" s="223"/>
      <c r="I105" s="223">
        <v>0.8694444444444429</v>
      </c>
      <c r="J105" s="224">
        <v>2.0</v>
      </c>
      <c r="K105" s="223">
        <v>0.8708333333333318</v>
      </c>
      <c r="L105" s="223">
        <v>0.8729166666666651</v>
      </c>
      <c r="M105" s="223">
        <v>0.8798611111111095</v>
      </c>
      <c r="N105" s="224">
        <v>5.0</v>
      </c>
      <c r="O105" s="231"/>
      <c r="P105" s="223"/>
      <c r="Q105" s="224"/>
      <c r="R105" s="223"/>
      <c r="S105" s="223"/>
      <c r="T105" s="223"/>
      <c r="U105" s="224"/>
      <c r="V105" s="223"/>
      <c r="W105" s="223"/>
      <c r="X105" s="223"/>
      <c r="Y105" s="224"/>
      <c r="Z105" s="223"/>
      <c r="AA105" s="223"/>
      <c r="AB105" s="224"/>
      <c r="AC105" s="223"/>
      <c r="AD105" s="223"/>
      <c r="AE105" s="224"/>
      <c r="AF105" s="223"/>
      <c r="AG105" s="103">
        <f t="shared" si="44"/>
        <v>43</v>
      </c>
      <c r="AH105" s="103">
        <f t="shared" ref="AH105:AH106" si="52">(AF105-O105)*1440+(M105-C105)*1440+N105</f>
        <v>54</v>
      </c>
      <c r="AI105" s="103">
        <f t="shared" si="45"/>
        <v>11</v>
      </c>
      <c r="AJ105" s="104">
        <f t="shared" si="46"/>
        <v>0.2558139535</v>
      </c>
      <c r="AK105" s="142">
        <f t="shared" ref="AK105:AK106" si="53">(M105-M104)*1440</f>
        <v>60</v>
      </c>
      <c r="AL105" s="217"/>
      <c r="AN105" s="203">
        <f t="shared" si="49"/>
        <v>0</v>
      </c>
      <c r="AO105" s="203">
        <f t="shared" si="51"/>
        <v>0</v>
      </c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</row>
    <row r="106" ht="13.5" customHeight="1">
      <c r="A106" s="127"/>
      <c r="B106" s="141" t="s">
        <v>98</v>
      </c>
      <c r="C106" s="223">
        <v>0.8874999999999984</v>
      </c>
      <c r="D106" s="223">
        <v>0.8965277777777761</v>
      </c>
      <c r="E106" s="224">
        <v>4.0</v>
      </c>
      <c r="F106" s="223">
        <v>0.8993055555555539</v>
      </c>
      <c r="G106" s="223">
        <v>0.9048611111111095</v>
      </c>
      <c r="H106" s="223"/>
      <c r="I106" s="223">
        <v>0.9111111111111094</v>
      </c>
      <c r="J106" s="224">
        <v>2.0</v>
      </c>
      <c r="K106" s="223">
        <v>0.9124999999999983</v>
      </c>
      <c r="L106" s="223">
        <v>0.9145833333333316</v>
      </c>
      <c r="M106" s="223">
        <v>0.9215277777777761</v>
      </c>
      <c r="N106" s="224"/>
      <c r="O106" s="231"/>
      <c r="P106" s="223"/>
      <c r="Q106" s="224"/>
      <c r="R106" s="223"/>
      <c r="S106" s="223"/>
      <c r="T106" s="223"/>
      <c r="U106" s="224"/>
      <c r="V106" s="223"/>
      <c r="W106" s="223"/>
      <c r="X106" s="223"/>
      <c r="Y106" s="224"/>
      <c r="Z106" s="223"/>
      <c r="AA106" s="223"/>
      <c r="AB106" s="224"/>
      <c r="AC106" s="223"/>
      <c r="AD106" s="223"/>
      <c r="AE106" s="224"/>
      <c r="AF106" s="223"/>
      <c r="AG106" s="103">
        <f t="shared" si="44"/>
        <v>43</v>
      </c>
      <c r="AH106" s="103">
        <f t="shared" si="52"/>
        <v>49</v>
      </c>
      <c r="AI106" s="103">
        <f t="shared" si="45"/>
        <v>6</v>
      </c>
      <c r="AJ106" s="104">
        <f t="shared" si="46"/>
        <v>0.1395348837</v>
      </c>
      <c r="AK106" s="142">
        <f t="shared" si="53"/>
        <v>60</v>
      </c>
      <c r="AL106" s="217"/>
      <c r="AN106" s="203">
        <f>(C107-C85)*1440</f>
        <v>0</v>
      </c>
      <c r="AO106" s="203">
        <f t="shared" si="51"/>
        <v>0</v>
      </c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</row>
    <row r="107" ht="13.5" customHeight="1">
      <c r="A107" s="156"/>
      <c r="B107" s="141" t="s">
        <v>98</v>
      </c>
      <c r="AG107" s="157">
        <f>SUM(AG93:AG106)/60</f>
        <v>24.91666667</v>
      </c>
      <c r="AH107" s="164">
        <f>SUM(AH91:AH106)/60</f>
        <v>32.91666667</v>
      </c>
      <c r="AI107" s="159">
        <f>SUM(AI93:AI106)/60</f>
        <v>5.983333333</v>
      </c>
      <c r="AJ107" s="104">
        <f t="shared" si="46"/>
        <v>0.2401337793</v>
      </c>
      <c r="AO107" s="203">
        <f>(M107-M84)*1440</f>
        <v>0</v>
      </c>
      <c r="AP107" s="203">
        <f>(AA107-AA84)*1440</f>
        <v>0</v>
      </c>
      <c r="AQ107" s="203"/>
      <c r="AR107" s="203"/>
      <c r="AS107" s="203"/>
      <c r="AT107" s="203"/>
      <c r="AU107" s="203"/>
      <c r="AV107" s="203">
        <f t="shared" ref="AV107:BB107" si="54">(T107-T84)*1440</f>
        <v>0</v>
      </c>
      <c r="AW107" s="203">
        <f t="shared" si="54"/>
        <v>0</v>
      </c>
      <c r="AX107" s="203">
        <f t="shared" si="54"/>
        <v>0</v>
      </c>
      <c r="AY107" s="203">
        <f t="shared" si="54"/>
        <v>0</v>
      </c>
      <c r="AZ107" s="203">
        <f t="shared" si="54"/>
        <v>0</v>
      </c>
      <c r="BA107" s="203">
        <f t="shared" si="54"/>
        <v>0</v>
      </c>
      <c r="BB107" s="203">
        <f t="shared" si="54"/>
        <v>0</v>
      </c>
    </row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4">
    <mergeCell ref="U2:U4"/>
    <mergeCell ref="Y2:Y4"/>
    <mergeCell ref="AE2:AE4"/>
    <mergeCell ref="AQ4:AX4"/>
    <mergeCell ref="A1:A43"/>
    <mergeCell ref="A45:A84"/>
    <mergeCell ref="A86:A107"/>
    <mergeCell ref="C1:U1"/>
    <mergeCell ref="V1:AD1"/>
    <mergeCell ref="E2:E4"/>
    <mergeCell ref="J2:J4"/>
    <mergeCell ref="N2:N4"/>
    <mergeCell ref="Q2:Q4"/>
    <mergeCell ref="AB2:AB4"/>
    <mergeCell ref="C46:U46"/>
    <mergeCell ref="V46:AD46"/>
    <mergeCell ref="E47:E49"/>
    <mergeCell ref="J47:J49"/>
    <mergeCell ref="N47:N49"/>
    <mergeCell ref="Q47:Q49"/>
    <mergeCell ref="U47:U49"/>
    <mergeCell ref="AE47:AE49"/>
    <mergeCell ref="Q88:Q90"/>
    <mergeCell ref="U88:U90"/>
    <mergeCell ref="Y88:Y90"/>
    <mergeCell ref="AB88:AB90"/>
    <mergeCell ref="AE88:AE90"/>
    <mergeCell ref="Y47:Y49"/>
    <mergeCell ref="AB47:AB49"/>
    <mergeCell ref="C87:U87"/>
    <mergeCell ref="V87:AD87"/>
    <mergeCell ref="E88:E90"/>
    <mergeCell ref="J88:J90"/>
    <mergeCell ref="N88:N90"/>
  </mergeCells>
  <conditionalFormatting sqref="B4:B42 B49:B83 B90 B93:B107">
    <cfRule type="containsText" dxfId="3" priority="1" operator="containsText" text="Night">
      <formula>NOT(ISERROR(SEARCH(("Night"),(B4))))</formula>
    </cfRule>
  </conditionalFormatting>
  <conditionalFormatting sqref="B4:B42 B49:B83 B90 B93:B107">
    <cfRule type="containsText" dxfId="4" priority="2" operator="containsText" text="Evening">
      <formula>NOT(ISERROR(SEARCH(("Evening"),(B4))))</formula>
    </cfRule>
  </conditionalFormatting>
  <conditionalFormatting sqref="B4:B42 B49:B83 B90 B93:B107">
    <cfRule type="containsText" dxfId="5" priority="3" operator="containsText" text="Peak">
      <formula>NOT(ISERROR(SEARCH(("Peak"),(B4))))</formula>
    </cfRule>
  </conditionalFormatting>
  <conditionalFormatting sqref="B5:B42 B50:B83 B93:B107">
    <cfRule type="containsText" dxfId="1" priority="4" operator="containsText" text="Midday">
      <formula>NOT(ISERROR(SEARCH(("Midday"),(B5))))</formula>
    </cfRule>
  </conditionalFormatting>
  <conditionalFormatting sqref="B4:B42 B49:B83 B90 B93:B107">
    <cfRule type="containsText" dxfId="2" priority="5" operator="containsText" text="Morning">
      <formula>NOT(ISERROR(SEARCH(("Morning"),(B4))))</formula>
    </cfRule>
  </conditionalFormatting>
  <conditionalFormatting sqref="B2 B5:B42 B50:B83 B93:B107">
    <cfRule type="containsText" dxfId="0" priority="6" operator="containsText" text="Early Morning">
      <formula>NOT(ISERROR(SEARCH(("Early Morning"),(B2))))</formula>
    </cfRule>
  </conditionalFormatting>
  <conditionalFormatting sqref="B47">
    <cfRule type="containsText" dxfId="0" priority="7" operator="containsText" text="Early Morning">
      <formula>NOT(ISERROR(SEARCH(("Early Morning"),(B47))))</formula>
    </cfRule>
  </conditionalFormatting>
  <conditionalFormatting sqref="B88">
    <cfRule type="containsText" dxfId="0" priority="8" operator="containsText" text="Early Morning">
      <formula>NOT(ISERROR(SEARCH(("Early Morning"),(B88))))</formula>
    </cfRule>
  </conditionalFormatting>
  <conditionalFormatting sqref="AJ5:AJ43 AJ50:AJ84 AJ91:AJ107">
    <cfRule type="cellIs" dxfId="11" priority="9" operator="lessThanOrEqual">
      <formula>0.1</formula>
    </cfRule>
  </conditionalFormatting>
  <conditionalFormatting sqref="AJ5:AJ43 AJ50:AJ84 AJ91:AJ107">
    <cfRule type="cellIs" dxfId="12" priority="10" operator="lessThan">
      <formula>0.15</formula>
    </cfRule>
  </conditionalFormatting>
  <conditionalFormatting sqref="AJ5:AJ43 AJ50:AJ84 AJ91:AJ107">
    <cfRule type="cellIs" dxfId="13" priority="11" operator="greaterThanOrEqual">
      <formula>0.15</formula>
    </cfRule>
  </conditionalFormatting>
  <conditionalFormatting sqref="AK6:AK42 AK51:AK83 AK91:AK106">
    <cfRule type="containsText" dxfId="3" priority="12" operator="containsText" text="Night">
      <formula>NOT(ISERROR(SEARCH(("Night"),(AK6))))</formula>
    </cfRule>
  </conditionalFormatting>
  <conditionalFormatting sqref="AK6:AK42 AK51:AK83 AK91:AK106">
    <cfRule type="containsText" dxfId="4" priority="13" operator="containsText" text="Evening">
      <formula>NOT(ISERROR(SEARCH(("Evening"),(AK6))))</formula>
    </cfRule>
  </conditionalFormatting>
  <conditionalFormatting sqref="AK6:AK42 AK51:AK83 AK91:AK106">
    <cfRule type="containsText" dxfId="5" priority="14" operator="containsText" text="Peak">
      <formula>NOT(ISERROR(SEARCH(("Peak"),(AK6))))</formula>
    </cfRule>
  </conditionalFormatting>
  <conditionalFormatting sqref="B4 AK6:AK42 B49 AK51:AK83 B90 AK91:AK106">
    <cfRule type="containsText" dxfId="1" priority="15" operator="containsText" text="Afternoon">
      <formula>NOT(ISERROR(SEARCH(("Afternoon"),(B4))))</formula>
    </cfRule>
  </conditionalFormatting>
  <conditionalFormatting sqref="AK6:AK42 AK51:AK83 AK91:AK106">
    <cfRule type="containsText" dxfId="2" priority="16" operator="containsText" text="Morning">
      <formula>NOT(ISERROR(SEARCH(("Morning"),(AK6))))</formula>
    </cfRule>
  </conditionalFormatting>
  <conditionalFormatting sqref="AK6:AK42 AK51:AK83 AK91:AK106">
    <cfRule type="cellIs" dxfId="6" priority="17" operator="lessThan">
      <formula>20</formula>
    </cfRule>
  </conditionalFormatting>
  <conditionalFormatting sqref="AK6:AK42 AK51:AK83 AK91:AK106">
    <cfRule type="cellIs" dxfId="7" priority="18" operator="equal">
      <formula>30</formula>
    </cfRule>
  </conditionalFormatting>
  <conditionalFormatting sqref="AK6:AK42 AK51:AK83 AK91:AK106">
    <cfRule type="cellIs" dxfId="8" priority="19" operator="greaterThan">
      <formula>31</formula>
    </cfRule>
  </conditionalFormatting>
  <conditionalFormatting sqref="AK6:AK42 AK51:AK83 AK91:AK106">
    <cfRule type="cellIs" dxfId="9" priority="20" operator="between">
      <formula>19</formula>
      <formula>29</formula>
    </cfRule>
  </conditionalFormatting>
  <conditionalFormatting sqref="AN9 AN11:AN12">
    <cfRule type="containsText" dxfId="10" priority="21" operator="containsText" text="Early Morning">
      <formula>NOT(ISERROR(SEARCH(("Early Morning"),(AN9))))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10.75"/>
    <col customWidth="1" min="4" max="4" width="11.75"/>
    <col customWidth="1" min="5" max="5" width="2.63"/>
    <col customWidth="1" min="6" max="7" width="11.75"/>
    <col customWidth="1" min="8" max="8" width="1.75"/>
    <col customWidth="1" min="9" max="33" width="11.75"/>
    <col customWidth="1" min="34" max="40" width="8.63"/>
    <col customWidth="1" min="41" max="41" width="17.5"/>
    <col customWidth="1" min="42" max="43" width="9.5"/>
    <col customWidth="1" min="44" max="44" width="6.63"/>
    <col customWidth="1" min="45" max="45" width="11.25"/>
    <col customWidth="1" min="46" max="46" width="9.75"/>
    <col customWidth="1" min="47" max="47" width="9.13"/>
    <col customWidth="1" min="48" max="55" width="8.63"/>
    <col customWidth="1" min="56" max="56" width="8.75"/>
    <col customWidth="1" min="57" max="57" width="8.63"/>
  </cols>
  <sheetData>
    <row r="1" ht="13.5" customHeight="1">
      <c r="A1" s="209" t="s">
        <v>58</v>
      </c>
      <c r="C1" s="243" t="s">
        <v>139</v>
      </c>
      <c r="D1" s="2"/>
      <c r="E1" s="2"/>
      <c r="F1" s="2"/>
      <c r="G1" s="2"/>
      <c r="H1" s="2"/>
      <c r="I1" s="2"/>
      <c r="J1" s="2"/>
      <c r="K1" s="2"/>
      <c r="L1" s="244"/>
      <c r="M1" s="245" t="s">
        <v>141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46"/>
      <c r="AE1" s="246"/>
      <c r="AF1" s="246"/>
      <c r="AG1" s="246"/>
    </row>
    <row r="2" ht="13.5" customHeight="1">
      <c r="A2" s="127"/>
      <c r="C2" s="247" t="s">
        <v>62</v>
      </c>
      <c r="D2" s="247" t="s">
        <v>85</v>
      </c>
      <c r="E2" s="248" t="s">
        <v>69</v>
      </c>
      <c r="F2" s="249" t="s">
        <v>62</v>
      </c>
      <c r="G2" s="247" t="s">
        <v>85</v>
      </c>
      <c r="H2" s="216"/>
      <c r="I2" s="247" t="s">
        <v>62</v>
      </c>
      <c r="J2" s="250"/>
      <c r="K2" s="251" t="s">
        <v>85</v>
      </c>
      <c r="L2" s="252"/>
      <c r="M2" s="247" t="s">
        <v>62</v>
      </c>
      <c r="N2" s="247"/>
      <c r="O2" s="247" t="s">
        <v>85</v>
      </c>
      <c r="P2" s="216"/>
      <c r="Q2" s="247" t="s">
        <v>62</v>
      </c>
      <c r="R2" s="247" t="s">
        <v>85</v>
      </c>
      <c r="S2" s="216"/>
      <c r="T2" s="247" t="s">
        <v>62</v>
      </c>
      <c r="U2" s="253"/>
      <c r="V2" s="247" t="s">
        <v>85</v>
      </c>
      <c r="W2" s="216"/>
      <c r="X2" s="247" t="s">
        <v>62</v>
      </c>
      <c r="Y2" s="254"/>
      <c r="Z2" s="254"/>
      <c r="AA2" s="247" t="s">
        <v>85</v>
      </c>
      <c r="AB2" s="255"/>
      <c r="AC2" s="249" t="s">
        <v>62</v>
      </c>
      <c r="AD2" s="247" t="s">
        <v>85</v>
      </c>
      <c r="AE2" s="248" t="s">
        <v>69</v>
      </c>
      <c r="AF2" s="249" t="s">
        <v>62</v>
      </c>
      <c r="AG2" s="253"/>
    </row>
    <row r="3" ht="13.5" customHeight="1">
      <c r="A3" s="127"/>
      <c r="B3" s="89" t="s">
        <v>63</v>
      </c>
      <c r="C3" s="256" t="str">
        <f t="shared" ref="C3:C4" si="1">AF3</f>
        <v>Barrie South GO</v>
      </c>
      <c r="D3" s="256" t="s">
        <v>132</v>
      </c>
      <c r="E3" s="200"/>
      <c r="F3" s="256" t="s">
        <v>132</v>
      </c>
      <c r="G3" s="257" t="s">
        <v>146</v>
      </c>
      <c r="H3" s="258"/>
      <c r="I3" s="257" t="s">
        <v>146</v>
      </c>
      <c r="J3" s="259" t="s">
        <v>87</v>
      </c>
      <c r="K3" s="260" t="s">
        <v>70</v>
      </c>
      <c r="L3" s="261"/>
      <c r="M3" s="256" t="s">
        <v>70</v>
      </c>
      <c r="N3" s="256" t="s">
        <v>147</v>
      </c>
      <c r="O3" s="257" t="s">
        <v>86</v>
      </c>
      <c r="P3" s="258"/>
      <c r="Q3" s="257" t="s">
        <v>86</v>
      </c>
      <c r="R3" s="256" t="s">
        <v>132</v>
      </c>
      <c r="S3" s="259"/>
      <c r="T3" s="256" t="s">
        <v>132</v>
      </c>
      <c r="U3" s="259" t="s">
        <v>148</v>
      </c>
      <c r="V3" s="262" t="s">
        <v>149</v>
      </c>
      <c r="W3" s="259"/>
      <c r="X3" s="262" t="s">
        <v>149</v>
      </c>
      <c r="Y3" s="256" t="s">
        <v>150</v>
      </c>
      <c r="Z3" s="256" t="s">
        <v>151</v>
      </c>
      <c r="AA3" s="256" t="s">
        <v>64</v>
      </c>
      <c r="AB3" s="263"/>
      <c r="AC3" s="264" t="s">
        <v>64</v>
      </c>
      <c r="AD3" s="256" t="s">
        <v>127</v>
      </c>
      <c r="AE3" s="200"/>
      <c r="AF3" s="264" t="s">
        <v>127</v>
      </c>
      <c r="AG3" s="265"/>
    </row>
    <row r="4" ht="13.5" customHeight="1">
      <c r="A4" s="127"/>
      <c r="B4" s="93" t="s">
        <v>72</v>
      </c>
      <c r="C4" s="266">
        <f t="shared" si="1"/>
        <v>725</v>
      </c>
      <c r="D4" s="267">
        <v>732.0</v>
      </c>
      <c r="E4" s="175"/>
      <c r="F4" s="267">
        <v>732.0</v>
      </c>
      <c r="G4" s="268" t="s">
        <v>135</v>
      </c>
      <c r="H4" s="269" t="s">
        <v>69</v>
      </c>
      <c r="I4" s="268" t="s">
        <v>135</v>
      </c>
      <c r="J4" s="267">
        <v>441.0</v>
      </c>
      <c r="K4" s="267">
        <v>330.0</v>
      </c>
      <c r="L4" s="269" t="s">
        <v>69</v>
      </c>
      <c r="M4" s="267">
        <v>330.0</v>
      </c>
      <c r="N4" s="267">
        <v>959.0</v>
      </c>
      <c r="O4" s="268">
        <v>1.0</v>
      </c>
      <c r="P4" s="269" t="s">
        <v>69</v>
      </c>
      <c r="Q4" s="267">
        <v>1.0</v>
      </c>
      <c r="R4" s="267">
        <v>310.0</v>
      </c>
      <c r="S4" s="269" t="s">
        <v>69</v>
      </c>
      <c r="T4" s="267">
        <v>310.0</v>
      </c>
      <c r="U4" s="267"/>
      <c r="V4" s="267">
        <v>487.0</v>
      </c>
      <c r="W4" s="269" t="s">
        <v>69</v>
      </c>
      <c r="X4" s="267">
        <v>487.0</v>
      </c>
      <c r="Y4" s="267"/>
      <c r="Z4" s="267">
        <v>870.0</v>
      </c>
      <c r="AA4" s="267">
        <v>777.0</v>
      </c>
      <c r="AB4" s="269" t="s">
        <v>69</v>
      </c>
      <c r="AC4" s="270">
        <v>777.0</v>
      </c>
      <c r="AD4" s="267">
        <v>725.0</v>
      </c>
      <c r="AE4" s="175"/>
      <c r="AF4" s="267">
        <v>725.0</v>
      </c>
      <c r="AG4" s="253"/>
      <c r="AH4" s="139" t="s">
        <v>73</v>
      </c>
      <c r="AI4" s="139" t="s">
        <v>74</v>
      </c>
      <c r="AJ4" s="139" t="s">
        <v>69</v>
      </c>
      <c r="AK4" s="139" t="s">
        <v>121</v>
      </c>
      <c r="AL4" s="140" t="s">
        <v>76</v>
      </c>
      <c r="AS4" s="219"/>
      <c r="AT4" s="220" t="s">
        <v>137</v>
      </c>
      <c r="AU4" s="5"/>
      <c r="AV4" s="5"/>
      <c r="AW4" s="5"/>
      <c r="AX4" s="5"/>
      <c r="AY4" s="5"/>
      <c r="AZ4" s="5"/>
      <c r="BA4" s="5"/>
      <c r="BB4" s="71"/>
      <c r="BD4" s="39" t="s">
        <v>74</v>
      </c>
      <c r="BE4" s="39">
        <v>150.0</v>
      </c>
    </row>
    <row r="5" ht="13.5" customHeight="1">
      <c r="A5" s="127"/>
      <c r="B5" s="141" t="s">
        <v>89</v>
      </c>
      <c r="C5" s="223"/>
      <c r="D5" s="223"/>
      <c r="E5" s="271"/>
      <c r="F5" s="223"/>
      <c r="G5" s="223"/>
      <c r="H5" s="271"/>
      <c r="I5" s="223"/>
      <c r="J5" s="223"/>
      <c r="K5" s="223"/>
      <c r="L5" s="271"/>
      <c r="M5" s="223"/>
      <c r="N5" s="223"/>
      <c r="O5" s="223"/>
      <c r="P5" s="271"/>
      <c r="Q5" s="225">
        <v>0.20069444444444445</v>
      </c>
      <c r="R5" s="230">
        <v>0.20416666666666666</v>
      </c>
      <c r="S5" s="271">
        <v>5.0</v>
      </c>
      <c r="T5" s="223">
        <v>0.20763888888888887</v>
      </c>
      <c r="U5" s="223">
        <v>0.21388888888888888</v>
      </c>
      <c r="V5" s="223">
        <v>0.2159722222222222</v>
      </c>
      <c r="W5" s="271">
        <v>2.0</v>
      </c>
      <c r="X5" s="223">
        <v>0.2173611111111111</v>
      </c>
      <c r="Y5" s="223"/>
      <c r="Z5" s="223">
        <v>0.2236111111111111</v>
      </c>
      <c r="AA5" s="223">
        <v>0.22916666666666666</v>
      </c>
      <c r="AB5" s="271">
        <v>5.0</v>
      </c>
      <c r="AC5" s="223">
        <v>0.23263888888888887</v>
      </c>
      <c r="AD5" s="223">
        <v>0.2409722222222222</v>
      </c>
      <c r="AE5" s="271">
        <v>6.0</v>
      </c>
      <c r="AF5" s="223">
        <v>0.24513888888888888</v>
      </c>
      <c r="AG5" s="223"/>
      <c r="AH5" s="103">
        <f t="shared" ref="AH5:AH41" si="2">AI5-AJ5</f>
        <v>46</v>
      </c>
      <c r="AI5" s="103">
        <f t="shared" ref="AI5:AI6" si="3">(AF5-Q5)*1440</f>
        <v>64</v>
      </c>
      <c r="AJ5" s="103">
        <f t="shared" ref="AJ5:AJ41" si="4">AB5+W5+P5+L5+H5+AE5+S5+E5</f>
        <v>18</v>
      </c>
      <c r="AK5" s="104">
        <f t="shared" ref="AK5:AK42" si="5">AJ5/AH5</f>
        <v>0.3913043478</v>
      </c>
      <c r="AL5" s="142"/>
      <c r="AO5" s="143" t="s">
        <v>90</v>
      </c>
      <c r="AS5" s="219"/>
      <c r="AT5" s="227" t="s">
        <v>73</v>
      </c>
      <c r="AU5" s="227" t="s">
        <v>127</v>
      </c>
      <c r="AV5" s="227" t="s">
        <v>132</v>
      </c>
      <c r="AW5" s="227" t="s">
        <v>146</v>
      </c>
      <c r="AX5" s="227" t="s">
        <v>70</v>
      </c>
      <c r="AY5" s="227" t="s">
        <v>86</v>
      </c>
      <c r="AZ5" s="227" t="s">
        <v>132</v>
      </c>
      <c r="BA5" s="227" t="s">
        <v>149</v>
      </c>
      <c r="BB5" s="227" t="s">
        <v>64</v>
      </c>
    </row>
    <row r="6" ht="13.5" customHeight="1">
      <c r="A6" s="127"/>
      <c r="B6" s="141" t="s">
        <v>89</v>
      </c>
      <c r="C6" s="223"/>
      <c r="D6" s="223"/>
      <c r="E6" s="271"/>
      <c r="F6" s="223"/>
      <c r="G6" s="223"/>
      <c r="H6" s="271"/>
      <c r="I6" s="223"/>
      <c r="J6" s="223"/>
      <c r="K6" s="223"/>
      <c r="L6" s="271"/>
      <c r="M6" s="223"/>
      <c r="N6" s="223"/>
      <c r="O6" s="223"/>
      <c r="P6" s="271"/>
      <c r="Q6" s="225">
        <v>0.2423611111111111</v>
      </c>
      <c r="R6" s="223">
        <v>0.24583333333333332</v>
      </c>
      <c r="S6" s="271">
        <v>5.0</v>
      </c>
      <c r="T6" s="223">
        <v>0.24930555555555553</v>
      </c>
      <c r="U6" s="223">
        <v>0.25555555555555554</v>
      </c>
      <c r="V6" s="223">
        <v>0.25763888888888886</v>
      </c>
      <c r="W6" s="271">
        <v>2.0</v>
      </c>
      <c r="X6" s="223">
        <v>0.25902777777777775</v>
      </c>
      <c r="Y6" s="223"/>
      <c r="Z6" s="223">
        <v>0.2652777777777777</v>
      </c>
      <c r="AA6" s="223">
        <v>0.27083333333333326</v>
      </c>
      <c r="AB6" s="271">
        <v>5.0</v>
      </c>
      <c r="AC6" s="223">
        <v>0.27430555555555547</v>
      </c>
      <c r="AD6" s="223">
        <v>0.28263888888888883</v>
      </c>
      <c r="AE6" s="271">
        <v>6.0</v>
      </c>
      <c r="AF6" s="223">
        <v>0.2868055555555555</v>
      </c>
      <c r="AG6" s="223"/>
      <c r="AH6" s="103">
        <f t="shared" si="2"/>
        <v>46</v>
      </c>
      <c r="AI6" s="103">
        <f t="shared" si="3"/>
        <v>64</v>
      </c>
      <c r="AJ6" s="103">
        <f t="shared" si="4"/>
        <v>18</v>
      </c>
      <c r="AK6" s="104">
        <f t="shared" si="5"/>
        <v>0.3913043478</v>
      </c>
      <c r="AL6" s="142">
        <f t="shared" ref="AL6:AL31" si="6">(AF6-AF5)*1440</f>
        <v>60</v>
      </c>
      <c r="AO6" s="146" t="s">
        <v>91</v>
      </c>
      <c r="AS6" s="219" t="s">
        <v>89</v>
      </c>
      <c r="AT6" s="219" t="str">
        <f>'[5]8B Segment'!B91</f>
        <v>#REF!</v>
      </c>
      <c r="AU6" s="199" t="str">
        <f t="shared" ref="AU6:AU11" si="7">$BE$4-SUM(AT6,AV6:BB6)</f>
        <v>#REF!</v>
      </c>
      <c r="AV6" s="199">
        <v>5.0</v>
      </c>
      <c r="AW6" s="199">
        <v>2.0</v>
      </c>
      <c r="AX6" s="199">
        <v>3.0</v>
      </c>
      <c r="AY6" s="199">
        <v>2.0</v>
      </c>
      <c r="AZ6" s="199">
        <v>2.0</v>
      </c>
      <c r="BA6" s="199">
        <v>2.0</v>
      </c>
      <c r="BB6" s="199">
        <v>4.0</v>
      </c>
    </row>
    <row r="7" ht="13.5" customHeight="1">
      <c r="A7" s="127"/>
      <c r="B7" s="141" t="s">
        <v>89</v>
      </c>
      <c r="C7" s="223"/>
      <c r="D7" s="223"/>
      <c r="E7" s="271"/>
      <c r="F7" s="225">
        <v>0.21736111111111112</v>
      </c>
      <c r="G7" s="223">
        <v>0.2215277777777778</v>
      </c>
      <c r="H7" s="271">
        <v>1.0</v>
      </c>
      <c r="I7" s="223">
        <v>0.22222222222222224</v>
      </c>
      <c r="J7" s="223">
        <v>0.23125</v>
      </c>
      <c r="K7" s="223">
        <v>0.23819444444444446</v>
      </c>
      <c r="L7" s="271">
        <v>1.0</v>
      </c>
      <c r="M7" s="223">
        <v>0.2388888888888889</v>
      </c>
      <c r="N7" s="223">
        <v>0.24791666666666667</v>
      </c>
      <c r="O7" s="223">
        <v>0.25416666666666665</v>
      </c>
      <c r="P7" s="271">
        <v>4.0</v>
      </c>
      <c r="Q7" s="223">
        <v>0.2569444444444444</v>
      </c>
      <c r="R7" s="223">
        <v>0.26041666666666663</v>
      </c>
      <c r="S7" s="271">
        <v>5.0</v>
      </c>
      <c r="T7" s="223">
        <v>0.26388888888888884</v>
      </c>
      <c r="U7" s="223">
        <v>0.2701388888888888</v>
      </c>
      <c r="V7" s="223">
        <v>0.27222222222222214</v>
      </c>
      <c r="W7" s="271">
        <v>2.0</v>
      </c>
      <c r="X7" s="223">
        <v>0.273611111111111</v>
      </c>
      <c r="Y7" s="223"/>
      <c r="Z7" s="223">
        <v>0.279861111111111</v>
      </c>
      <c r="AA7" s="223">
        <v>0.28541666666666654</v>
      </c>
      <c r="AB7" s="271">
        <v>5.0</v>
      </c>
      <c r="AC7" s="223">
        <v>0.28888888888888875</v>
      </c>
      <c r="AD7" s="223">
        <v>0.2972222222222221</v>
      </c>
      <c r="AE7" s="271">
        <v>15.0</v>
      </c>
      <c r="AF7" s="223">
        <v>0.3076388888888888</v>
      </c>
      <c r="AG7" s="223"/>
      <c r="AH7" s="103">
        <f t="shared" si="2"/>
        <v>90</v>
      </c>
      <c r="AI7" s="103">
        <f t="shared" ref="AI7:AI8" si="8">(AF7-I7)*1440</f>
        <v>123</v>
      </c>
      <c r="AJ7" s="103">
        <f t="shared" si="4"/>
        <v>33</v>
      </c>
      <c r="AK7" s="104">
        <f t="shared" si="5"/>
        <v>0.3666666667</v>
      </c>
      <c r="AL7" s="142">
        <f t="shared" si="6"/>
        <v>30</v>
      </c>
      <c r="AO7" s="147" t="s">
        <v>92</v>
      </c>
      <c r="AS7" s="219" t="s">
        <v>77</v>
      </c>
      <c r="AT7" s="219" t="str">
        <f>'[5]8B Segment'!C91</f>
        <v>#REF!</v>
      </c>
      <c r="AU7" s="199" t="str">
        <f t="shared" si="7"/>
        <v>#REF!</v>
      </c>
      <c r="AV7" s="199">
        <v>5.0</v>
      </c>
      <c r="AW7" s="199">
        <v>2.0</v>
      </c>
      <c r="AX7" s="199">
        <v>3.0</v>
      </c>
      <c r="AY7" s="199">
        <v>2.0</v>
      </c>
      <c r="AZ7" s="199">
        <v>2.0</v>
      </c>
      <c r="BA7" s="199">
        <v>2.0</v>
      </c>
      <c r="BB7" s="199">
        <v>4.0</v>
      </c>
    </row>
    <row r="8" ht="13.5" customHeight="1">
      <c r="A8" s="127"/>
      <c r="B8" s="141" t="s">
        <v>89</v>
      </c>
      <c r="C8" s="223"/>
      <c r="D8" s="223"/>
      <c r="E8" s="271"/>
      <c r="F8" s="225">
        <v>0.23819444444444446</v>
      </c>
      <c r="G8" s="223">
        <v>0.24236111111111114</v>
      </c>
      <c r="H8" s="271">
        <v>1.0</v>
      </c>
      <c r="I8" s="223">
        <v>0.24305555555555558</v>
      </c>
      <c r="J8" s="223">
        <v>0.2520833333333334</v>
      </c>
      <c r="K8" s="223">
        <v>0.2590277777777778</v>
      </c>
      <c r="L8" s="271">
        <v>1.0</v>
      </c>
      <c r="M8" s="223">
        <v>0.25972222222222224</v>
      </c>
      <c r="N8" s="223">
        <v>0.26875000000000004</v>
      </c>
      <c r="O8" s="223">
        <v>0.275</v>
      </c>
      <c r="P8" s="271">
        <v>4.0</v>
      </c>
      <c r="Q8" s="223">
        <v>0.2777777777777778</v>
      </c>
      <c r="R8" s="230">
        <v>0.28125</v>
      </c>
      <c r="S8" s="271">
        <v>5.0</v>
      </c>
      <c r="T8" s="223">
        <v>0.2847222222222222</v>
      </c>
      <c r="U8" s="223">
        <v>0.2909722222222222</v>
      </c>
      <c r="V8" s="223">
        <v>0.2930555555555555</v>
      </c>
      <c r="W8" s="271">
        <v>2.0</v>
      </c>
      <c r="X8" s="223">
        <v>0.2944444444444444</v>
      </c>
      <c r="Y8" s="223"/>
      <c r="Z8" s="223">
        <v>0.3006944444444444</v>
      </c>
      <c r="AA8" s="223">
        <v>0.3062499999999999</v>
      </c>
      <c r="AB8" s="271">
        <v>5.0</v>
      </c>
      <c r="AC8" s="223">
        <v>0.3097222222222221</v>
      </c>
      <c r="AD8" s="223">
        <v>0.3180555555555555</v>
      </c>
      <c r="AE8" s="271">
        <v>15.0</v>
      </c>
      <c r="AF8" s="223">
        <v>0.32847222222222217</v>
      </c>
      <c r="AG8" s="223"/>
      <c r="AH8" s="103">
        <f t="shared" si="2"/>
        <v>90</v>
      </c>
      <c r="AI8" s="103">
        <f t="shared" si="8"/>
        <v>123</v>
      </c>
      <c r="AJ8" s="103">
        <f t="shared" si="4"/>
        <v>33</v>
      </c>
      <c r="AK8" s="104">
        <f t="shared" si="5"/>
        <v>0.3666666667</v>
      </c>
      <c r="AL8" s="142">
        <f t="shared" si="6"/>
        <v>30</v>
      </c>
      <c r="AO8" s="148" t="s">
        <v>93</v>
      </c>
      <c r="AS8" s="219" t="s">
        <v>78</v>
      </c>
      <c r="AT8" s="219" t="str">
        <f>'[5]8B Segment'!D91</f>
        <v>#REF!</v>
      </c>
      <c r="AU8" s="199" t="str">
        <f t="shared" si="7"/>
        <v>#REF!</v>
      </c>
      <c r="AV8" s="199">
        <v>5.0</v>
      </c>
      <c r="AW8" s="199">
        <v>2.0</v>
      </c>
      <c r="AX8" s="199">
        <v>3.0</v>
      </c>
      <c r="AY8" s="199">
        <v>2.0</v>
      </c>
      <c r="AZ8" s="199">
        <v>2.0</v>
      </c>
      <c r="BA8" s="199">
        <v>2.0</v>
      </c>
      <c r="BB8" s="199">
        <v>4.0</v>
      </c>
    </row>
    <row r="9" ht="13.5" customHeight="1">
      <c r="A9" s="127"/>
      <c r="B9" s="141" t="s">
        <v>89</v>
      </c>
      <c r="C9" s="223">
        <v>0.24513888888888888</v>
      </c>
      <c r="D9" s="230">
        <v>0.2548611111111111</v>
      </c>
      <c r="E9" s="271">
        <v>5.0</v>
      </c>
      <c r="F9" s="223">
        <v>0.2583333333333333</v>
      </c>
      <c r="G9" s="223">
        <v>0.26249999999999996</v>
      </c>
      <c r="H9" s="271">
        <v>2.0</v>
      </c>
      <c r="I9" s="223">
        <v>0.26388888888888884</v>
      </c>
      <c r="J9" s="223">
        <v>0.27291666666666664</v>
      </c>
      <c r="K9" s="223">
        <v>0.27986111111111106</v>
      </c>
      <c r="L9" s="271">
        <v>1.0</v>
      </c>
      <c r="M9" s="223">
        <v>0.2805555555555555</v>
      </c>
      <c r="N9" s="223">
        <v>0.2895833333333333</v>
      </c>
      <c r="O9" s="223">
        <v>0.2958333333333333</v>
      </c>
      <c r="P9" s="271">
        <v>4.0</v>
      </c>
      <c r="Q9" s="223">
        <v>0.29861111111111105</v>
      </c>
      <c r="R9" s="223">
        <v>0.30208333333333326</v>
      </c>
      <c r="S9" s="271">
        <v>5.0</v>
      </c>
      <c r="T9" s="223">
        <v>0.30555555555555547</v>
      </c>
      <c r="U9" s="223">
        <v>0.31180555555555545</v>
      </c>
      <c r="V9" s="223">
        <v>0.3138888888888888</v>
      </c>
      <c r="W9" s="271">
        <v>2.0</v>
      </c>
      <c r="X9" s="223">
        <v>0.31527777777777766</v>
      </c>
      <c r="Y9" s="223">
        <v>0.31874999999999987</v>
      </c>
      <c r="Z9" s="223">
        <v>0.32152777777777763</v>
      </c>
      <c r="AA9" s="223">
        <v>0.32708333333333317</v>
      </c>
      <c r="AB9" s="271">
        <v>5.0</v>
      </c>
      <c r="AC9" s="223">
        <v>0.3305555555555554</v>
      </c>
      <c r="AD9" s="223">
        <v>0.33888888888888874</v>
      </c>
      <c r="AE9" s="271">
        <v>15.0</v>
      </c>
      <c r="AF9" s="223">
        <v>0.3493055555555554</v>
      </c>
      <c r="AG9" s="223"/>
      <c r="AH9" s="103">
        <f t="shared" si="2"/>
        <v>111</v>
      </c>
      <c r="AI9" s="103">
        <f>(AF9-C9)*1440</f>
        <v>150</v>
      </c>
      <c r="AJ9" s="103">
        <f t="shared" si="4"/>
        <v>39</v>
      </c>
      <c r="AK9" s="104">
        <f t="shared" si="5"/>
        <v>0.3513513514</v>
      </c>
      <c r="AL9" s="142">
        <f t="shared" si="6"/>
        <v>30</v>
      </c>
      <c r="AO9" s="149" t="s">
        <v>94</v>
      </c>
      <c r="AS9" s="219" t="s">
        <v>7</v>
      </c>
      <c r="AT9" s="219" t="str">
        <f>'[5]8B Segment'!E91</f>
        <v>#REF!</v>
      </c>
      <c r="AU9" s="199" t="str">
        <f t="shared" si="7"/>
        <v>#REF!</v>
      </c>
      <c r="AV9" s="199">
        <v>5.0</v>
      </c>
      <c r="AW9" s="199">
        <v>2.0</v>
      </c>
      <c r="AX9" s="199">
        <v>3.0</v>
      </c>
      <c r="AY9" s="199">
        <v>2.0</v>
      </c>
      <c r="AZ9" s="199">
        <v>2.0</v>
      </c>
      <c r="BA9" s="199">
        <v>2.0</v>
      </c>
      <c r="BB9" s="199">
        <v>4.0</v>
      </c>
    </row>
    <row r="10" ht="13.5" customHeight="1">
      <c r="A10" s="127"/>
      <c r="B10" s="141" t="s">
        <v>89</v>
      </c>
      <c r="C10" s="223"/>
      <c r="D10" s="223"/>
      <c r="E10" s="271"/>
      <c r="F10" s="225">
        <v>0.2791666666666666</v>
      </c>
      <c r="G10" s="223">
        <v>0.28333333333333327</v>
      </c>
      <c r="H10" s="271">
        <v>2.0</v>
      </c>
      <c r="I10" s="223">
        <v>0.28472222222222215</v>
      </c>
      <c r="J10" s="223">
        <v>0.29374999999999996</v>
      </c>
      <c r="K10" s="223">
        <v>0.3006944444444444</v>
      </c>
      <c r="L10" s="271">
        <v>1.0</v>
      </c>
      <c r="M10" s="223">
        <v>0.3013888888888888</v>
      </c>
      <c r="N10" s="223">
        <v>0.3104166666666666</v>
      </c>
      <c r="O10" s="223">
        <v>0.3166666666666666</v>
      </c>
      <c r="P10" s="271">
        <v>4.0</v>
      </c>
      <c r="Q10" s="223">
        <v>0.31944444444444436</v>
      </c>
      <c r="R10" s="230">
        <v>0.3229166666666666</v>
      </c>
      <c r="S10" s="271">
        <v>5.0</v>
      </c>
      <c r="T10" s="223">
        <v>0.3263888888888888</v>
      </c>
      <c r="U10" s="223">
        <v>0.33263888888888876</v>
      </c>
      <c r="V10" s="223">
        <v>0.3347222222222221</v>
      </c>
      <c r="W10" s="271">
        <v>2.0</v>
      </c>
      <c r="X10" s="223">
        <v>0.33611111111111097</v>
      </c>
      <c r="Y10" s="223"/>
      <c r="Z10" s="223">
        <v>0.34236111111111095</v>
      </c>
      <c r="AA10" s="223">
        <v>0.3479166666666665</v>
      </c>
      <c r="AB10" s="271">
        <v>5.0</v>
      </c>
      <c r="AC10" s="223">
        <v>0.3513888888888887</v>
      </c>
      <c r="AD10" s="223">
        <v>0.35972222222222205</v>
      </c>
      <c r="AE10" s="271">
        <v>14.0</v>
      </c>
      <c r="AF10" s="223">
        <v>0.3694444444444443</v>
      </c>
      <c r="AG10" s="223"/>
      <c r="AH10" s="103">
        <f t="shared" si="2"/>
        <v>89</v>
      </c>
      <c r="AI10" s="103">
        <f>(AF10-I10)*1440</f>
        <v>122</v>
      </c>
      <c r="AJ10" s="103">
        <f t="shared" si="4"/>
        <v>33</v>
      </c>
      <c r="AK10" s="104">
        <f t="shared" si="5"/>
        <v>0.3707865169</v>
      </c>
      <c r="AL10" s="142">
        <f t="shared" si="6"/>
        <v>29</v>
      </c>
      <c r="AO10" s="150" t="s">
        <v>95</v>
      </c>
      <c r="AS10" s="219" t="s">
        <v>79</v>
      </c>
      <c r="AT10" s="219" t="str">
        <f>'[5]8B Segment'!F91</f>
        <v>#REF!</v>
      </c>
      <c r="AU10" s="199" t="str">
        <f t="shared" si="7"/>
        <v>#REF!</v>
      </c>
      <c r="AV10" s="199">
        <v>5.0</v>
      </c>
      <c r="AW10" s="199">
        <v>2.0</v>
      </c>
      <c r="AX10" s="199">
        <v>3.0</v>
      </c>
      <c r="AY10" s="199">
        <v>2.0</v>
      </c>
      <c r="AZ10" s="199">
        <v>2.0</v>
      </c>
      <c r="BA10" s="199">
        <v>2.0</v>
      </c>
      <c r="BB10" s="199">
        <v>4.0</v>
      </c>
    </row>
    <row r="11" ht="13.5" customHeight="1">
      <c r="A11" s="127"/>
      <c r="B11" s="141" t="s">
        <v>77</v>
      </c>
      <c r="C11" s="223">
        <v>0.2868055555555555</v>
      </c>
      <c r="D11" s="223">
        <v>0.2965277777777777</v>
      </c>
      <c r="E11" s="271">
        <v>5.0</v>
      </c>
      <c r="F11" s="223">
        <v>0.29999999999999993</v>
      </c>
      <c r="G11" s="223">
        <v>0.3041666666666666</v>
      </c>
      <c r="H11" s="271">
        <v>1.0</v>
      </c>
      <c r="I11" s="223">
        <v>0.304861111111111</v>
      </c>
      <c r="J11" s="223">
        <v>0.31388888888888883</v>
      </c>
      <c r="K11" s="223">
        <v>0.3215277777777777</v>
      </c>
      <c r="L11" s="271">
        <v>1.0</v>
      </c>
      <c r="M11" s="223">
        <v>0.32222222222222213</v>
      </c>
      <c r="N11" s="223">
        <v>0.33124999999999993</v>
      </c>
      <c r="O11" s="223">
        <v>0.33819444444444435</v>
      </c>
      <c r="P11" s="271">
        <v>2.0</v>
      </c>
      <c r="Q11" s="223">
        <v>0.33958333333333324</v>
      </c>
      <c r="R11" s="223">
        <v>0.3437499999999999</v>
      </c>
      <c r="S11" s="271">
        <v>5.0</v>
      </c>
      <c r="T11" s="223">
        <v>0.3472222222222221</v>
      </c>
      <c r="U11" s="223">
        <v>0.3534722222222221</v>
      </c>
      <c r="V11" s="223">
        <v>0.3555555555555554</v>
      </c>
      <c r="W11" s="271">
        <v>2.0</v>
      </c>
      <c r="X11" s="223">
        <v>0.3569444444444443</v>
      </c>
      <c r="Y11" s="223"/>
      <c r="Z11" s="223">
        <v>0.3638888888888887</v>
      </c>
      <c r="AA11" s="223">
        <v>0.3701388888888887</v>
      </c>
      <c r="AB11" s="271">
        <v>5.0</v>
      </c>
      <c r="AC11" s="223">
        <v>0.3736111111111109</v>
      </c>
      <c r="AD11" s="223">
        <v>0.38333333333333314</v>
      </c>
      <c r="AE11" s="271">
        <v>10.0</v>
      </c>
      <c r="AF11" s="223">
        <v>0.39027777777777756</v>
      </c>
      <c r="AG11" s="223"/>
      <c r="AH11" s="103">
        <f t="shared" si="2"/>
        <v>118</v>
      </c>
      <c r="AI11" s="103">
        <f t="shared" ref="AI11:AI31" si="9">(AF11-C11)*1440</f>
        <v>149</v>
      </c>
      <c r="AJ11" s="103">
        <f t="shared" si="4"/>
        <v>31</v>
      </c>
      <c r="AK11" s="104">
        <f t="shared" si="5"/>
        <v>0.2627118644</v>
      </c>
      <c r="AL11" s="142">
        <f t="shared" si="6"/>
        <v>30</v>
      </c>
      <c r="AO11" s="151" t="s">
        <v>152</v>
      </c>
      <c r="AS11" s="219" t="s">
        <v>98</v>
      </c>
      <c r="AT11" s="219" t="str">
        <f>'[5]8B Segment'!G91</f>
        <v>#REF!</v>
      </c>
      <c r="AU11" s="199" t="str">
        <f t="shared" si="7"/>
        <v>#REF!</v>
      </c>
      <c r="AV11" s="199">
        <v>5.0</v>
      </c>
      <c r="AW11" s="199">
        <v>2.0</v>
      </c>
      <c r="AX11" s="199">
        <v>3.0</v>
      </c>
      <c r="AY11" s="199">
        <v>2.0</v>
      </c>
      <c r="AZ11" s="199">
        <v>2.0</v>
      </c>
      <c r="BA11" s="199">
        <v>2.0</v>
      </c>
      <c r="BB11" s="199">
        <v>4.0</v>
      </c>
    </row>
    <row r="12" ht="13.5" customHeight="1">
      <c r="A12" s="127"/>
      <c r="B12" s="141" t="s">
        <v>77</v>
      </c>
      <c r="C12" s="223">
        <v>0.3076388888888888</v>
      </c>
      <c r="D12" s="223">
        <v>0.31736111111111104</v>
      </c>
      <c r="E12" s="271">
        <v>5.0</v>
      </c>
      <c r="F12" s="223">
        <v>0.32083333333333325</v>
      </c>
      <c r="G12" s="223">
        <v>0.3249999999999999</v>
      </c>
      <c r="H12" s="271">
        <v>1.0</v>
      </c>
      <c r="I12" s="223">
        <v>0.32569444444444434</v>
      </c>
      <c r="J12" s="223">
        <v>0.33472222222222214</v>
      </c>
      <c r="K12" s="223">
        <v>0.342361111111111</v>
      </c>
      <c r="L12" s="271">
        <v>1.0</v>
      </c>
      <c r="M12" s="223">
        <v>0.34305555555555545</v>
      </c>
      <c r="N12" s="223">
        <v>0.35208333333333325</v>
      </c>
      <c r="O12" s="223">
        <v>0.35902777777777767</v>
      </c>
      <c r="P12" s="271">
        <v>2.0</v>
      </c>
      <c r="Q12" s="223">
        <v>0.36041666666666655</v>
      </c>
      <c r="R12" s="230">
        <v>0.3645833333333332</v>
      </c>
      <c r="S12" s="271">
        <v>5.0</v>
      </c>
      <c r="T12" s="223">
        <v>0.3680555555555554</v>
      </c>
      <c r="U12" s="223">
        <v>0.3743055555555554</v>
      </c>
      <c r="V12" s="223">
        <v>0.3763888888888887</v>
      </c>
      <c r="W12" s="271">
        <v>2.0</v>
      </c>
      <c r="X12" s="223">
        <v>0.3777777777777776</v>
      </c>
      <c r="Y12" s="223"/>
      <c r="Z12" s="223">
        <v>0.384722222222222</v>
      </c>
      <c r="AA12" s="223">
        <v>0.390972222222222</v>
      </c>
      <c r="AB12" s="271">
        <v>5.0</v>
      </c>
      <c r="AC12" s="223">
        <v>0.3944444444444442</v>
      </c>
      <c r="AD12" s="223">
        <v>0.40416666666666645</v>
      </c>
      <c r="AE12" s="271">
        <v>10.0</v>
      </c>
      <c r="AF12" s="223">
        <v>0.41111111111111087</v>
      </c>
      <c r="AG12" s="223"/>
      <c r="AH12" s="103">
        <f t="shared" si="2"/>
        <v>118</v>
      </c>
      <c r="AI12" s="103">
        <f t="shared" si="9"/>
        <v>149</v>
      </c>
      <c r="AJ12" s="103">
        <f t="shared" si="4"/>
        <v>31</v>
      </c>
      <c r="AK12" s="104">
        <f t="shared" si="5"/>
        <v>0.2627118644</v>
      </c>
      <c r="AL12" s="142">
        <f t="shared" si="6"/>
        <v>30</v>
      </c>
      <c r="AO12" s="152" t="s">
        <v>153</v>
      </c>
    </row>
    <row r="13" ht="13.5" customHeight="1">
      <c r="A13" s="127"/>
      <c r="B13" s="141" t="s">
        <v>77</v>
      </c>
      <c r="C13" s="223">
        <v>0.32847222222222217</v>
      </c>
      <c r="D13" s="223">
        <v>0.3381944444444444</v>
      </c>
      <c r="E13" s="271">
        <v>5.0</v>
      </c>
      <c r="F13" s="223">
        <v>0.3416666666666666</v>
      </c>
      <c r="G13" s="223">
        <v>0.34583333333333327</v>
      </c>
      <c r="H13" s="271">
        <v>1.0</v>
      </c>
      <c r="I13" s="223">
        <v>0.3465277777777777</v>
      </c>
      <c r="J13" s="223">
        <v>0.3555555555555555</v>
      </c>
      <c r="K13" s="223">
        <v>0.3631944444444444</v>
      </c>
      <c r="L13" s="271">
        <v>1.0</v>
      </c>
      <c r="M13" s="223">
        <v>0.3638888888888888</v>
      </c>
      <c r="N13" s="223">
        <v>0.3729166666666666</v>
      </c>
      <c r="O13" s="223">
        <v>0.37986111111111104</v>
      </c>
      <c r="P13" s="271">
        <v>2.0</v>
      </c>
      <c r="Q13" s="223">
        <v>0.3812499999999999</v>
      </c>
      <c r="R13" s="223">
        <v>0.3854166666666666</v>
      </c>
      <c r="S13" s="271">
        <v>5.0</v>
      </c>
      <c r="T13" s="223">
        <v>0.3888888888888888</v>
      </c>
      <c r="U13" s="223">
        <v>0.39513888888888876</v>
      </c>
      <c r="V13" s="223">
        <v>0.3972222222222221</v>
      </c>
      <c r="W13" s="271">
        <v>0.0</v>
      </c>
      <c r="X13" s="223">
        <v>0.3972222222222221</v>
      </c>
      <c r="Y13" s="223"/>
      <c r="Z13" s="223">
        <v>0.4041666666666665</v>
      </c>
      <c r="AA13" s="223">
        <v>0.4104166666666665</v>
      </c>
      <c r="AB13" s="271">
        <v>5.0</v>
      </c>
      <c r="AC13" s="223">
        <v>0.4138888888888887</v>
      </c>
      <c r="AD13" s="223">
        <v>0.42361111111111094</v>
      </c>
      <c r="AE13" s="271">
        <v>12.0</v>
      </c>
      <c r="AF13" s="223">
        <v>0.4319444444444443</v>
      </c>
      <c r="AG13" s="223"/>
      <c r="AH13" s="103">
        <f t="shared" si="2"/>
        <v>118</v>
      </c>
      <c r="AI13" s="103">
        <f t="shared" si="9"/>
        <v>149</v>
      </c>
      <c r="AJ13" s="103">
        <f t="shared" si="4"/>
        <v>31</v>
      </c>
      <c r="AK13" s="104">
        <f t="shared" si="5"/>
        <v>0.2627118644</v>
      </c>
      <c r="AL13" s="142">
        <f t="shared" si="6"/>
        <v>30</v>
      </c>
    </row>
    <row r="14" ht="13.5" customHeight="1">
      <c r="A14" s="127"/>
      <c r="B14" s="141" t="s">
        <v>77</v>
      </c>
      <c r="C14" s="223">
        <v>0.3493055555555554</v>
      </c>
      <c r="D14" s="223">
        <v>0.35902777777777767</v>
      </c>
      <c r="E14" s="271">
        <v>5.0</v>
      </c>
      <c r="F14" s="223">
        <v>0.3624999999999999</v>
      </c>
      <c r="G14" s="223">
        <v>0.36666666666666653</v>
      </c>
      <c r="H14" s="271">
        <v>1.0</v>
      </c>
      <c r="I14" s="223">
        <v>0.36736111111111097</v>
      </c>
      <c r="J14" s="223">
        <v>0.3763888888888888</v>
      </c>
      <c r="K14" s="223">
        <v>0.38402777777777763</v>
      </c>
      <c r="L14" s="271">
        <v>1.0</v>
      </c>
      <c r="M14" s="223">
        <v>0.3847222222222221</v>
      </c>
      <c r="N14" s="223">
        <v>0.3937499999999999</v>
      </c>
      <c r="O14" s="223">
        <v>0.4006944444444443</v>
      </c>
      <c r="P14" s="271">
        <v>2.0</v>
      </c>
      <c r="Q14" s="223">
        <v>0.4020833333333332</v>
      </c>
      <c r="R14" s="223">
        <v>0.40624999999999983</v>
      </c>
      <c r="S14" s="271">
        <v>5.0</v>
      </c>
      <c r="T14" s="223">
        <v>0.40972222222222204</v>
      </c>
      <c r="U14" s="223">
        <v>0.415972222222222</v>
      </c>
      <c r="V14" s="223">
        <v>0.41805555555555535</v>
      </c>
      <c r="W14" s="271">
        <v>0.0</v>
      </c>
      <c r="X14" s="223">
        <v>0.41805555555555535</v>
      </c>
      <c r="Y14" s="223"/>
      <c r="Z14" s="223">
        <v>0.42499999999999977</v>
      </c>
      <c r="AA14" s="223">
        <v>0.43124999999999974</v>
      </c>
      <c r="AB14" s="271">
        <v>5.0</v>
      </c>
      <c r="AC14" s="223">
        <v>0.43472222222222195</v>
      </c>
      <c r="AD14" s="223">
        <v>0.4444444444444442</v>
      </c>
      <c r="AE14" s="271">
        <v>12.0</v>
      </c>
      <c r="AF14" s="223">
        <v>0.45277777777777756</v>
      </c>
      <c r="AG14" s="223"/>
      <c r="AH14" s="103">
        <f t="shared" si="2"/>
        <v>118</v>
      </c>
      <c r="AI14" s="103">
        <f t="shared" si="9"/>
        <v>149</v>
      </c>
      <c r="AJ14" s="103">
        <f t="shared" si="4"/>
        <v>31</v>
      </c>
      <c r="AK14" s="104">
        <f t="shared" si="5"/>
        <v>0.2627118644</v>
      </c>
      <c r="AL14" s="142">
        <f t="shared" si="6"/>
        <v>30</v>
      </c>
    </row>
    <row r="15" ht="13.5" customHeight="1">
      <c r="A15" s="127"/>
      <c r="B15" s="141" t="s">
        <v>78</v>
      </c>
      <c r="C15" s="223">
        <v>0.3694444444444443</v>
      </c>
      <c r="D15" s="223">
        <v>0.379861111111111</v>
      </c>
      <c r="E15" s="271">
        <v>5.0</v>
      </c>
      <c r="F15" s="223">
        <v>0.3833333333333332</v>
      </c>
      <c r="G15" s="223">
        <v>0.38749999999999984</v>
      </c>
      <c r="H15" s="271">
        <v>1.0</v>
      </c>
      <c r="I15" s="223">
        <v>0.3881944444444443</v>
      </c>
      <c r="J15" s="223">
        <v>0.3972222222222221</v>
      </c>
      <c r="K15" s="223">
        <v>0.40486111111111095</v>
      </c>
      <c r="L15" s="271">
        <v>1.0</v>
      </c>
      <c r="M15" s="223">
        <v>0.4055555555555554</v>
      </c>
      <c r="N15" s="223">
        <v>0.41527777777777763</v>
      </c>
      <c r="O15" s="223">
        <v>0.4229166666666665</v>
      </c>
      <c r="P15" s="271">
        <v>2.0</v>
      </c>
      <c r="Q15" s="223">
        <v>0.4243055555555554</v>
      </c>
      <c r="R15" s="223">
        <v>0.42847222222222203</v>
      </c>
      <c r="S15" s="271">
        <v>5.0</v>
      </c>
      <c r="T15" s="223">
        <v>0.43194444444444424</v>
      </c>
      <c r="U15" s="223">
        <v>0.4381944444444442</v>
      </c>
      <c r="V15" s="223">
        <v>0.44027777777777755</v>
      </c>
      <c r="W15" s="271">
        <v>0.0</v>
      </c>
      <c r="X15" s="223">
        <v>0.44027777777777755</v>
      </c>
      <c r="Y15" s="223"/>
      <c r="Z15" s="223">
        <v>0.4465277777777775</v>
      </c>
      <c r="AA15" s="223">
        <v>0.45347222222222194</v>
      </c>
      <c r="AB15" s="271">
        <v>5.0</v>
      </c>
      <c r="AC15" s="223">
        <v>0.45694444444444415</v>
      </c>
      <c r="AD15" s="223">
        <v>0.46597222222222195</v>
      </c>
      <c r="AE15" s="271">
        <v>11.0</v>
      </c>
      <c r="AF15" s="223">
        <v>0.4736111111111108</v>
      </c>
      <c r="AG15" s="223"/>
      <c r="AH15" s="103">
        <f t="shared" si="2"/>
        <v>120</v>
      </c>
      <c r="AI15" s="103">
        <f t="shared" si="9"/>
        <v>150</v>
      </c>
      <c r="AJ15" s="103">
        <f t="shared" si="4"/>
        <v>30</v>
      </c>
      <c r="AK15" s="104">
        <f t="shared" si="5"/>
        <v>0.25</v>
      </c>
      <c r="AL15" s="142">
        <f t="shared" si="6"/>
        <v>30</v>
      </c>
    </row>
    <row r="16" ht="13.5" customHeight="1">
      <c r="A16" s="127"/>
      <c r="B16" s="141" t="s">
        <v>78</v>
      </c>
      <c r="C16" s="223">
        <v>0.39027777777777756</v>
      </c>
      <c r="D16" s="223">
        <v>0.40069444444444424</v>
      </c>
      <c r="E16" s="271">
        <v>5.0</v>
      </c>
      <c r="F16" s="223">
        <v>0.40416666666666645</v>
      </c>
      <c r="G16" s="223">
        <v>0.4083333333333331</v>
      </c>
      <c r="H16" s="271">
        <v>1.0</v>
      </c>
      <c r="I16" s="223">
        <v>0.40902777777777755</v>
      </c>
      <c r="J16" s="223">
        <v>0.41805555555555535</v>
      </c>
      <c r="K16" s="223">
        <v>0.4256944444444442</v>
      </c>
      <c r="L16" s="271">
        <v>1.0</v>
      </c>
      <c r="M16" s="223">
        <v>0.42638888888888865</v>
      </c>
      <c r="N16" s="223">
        <v>0.4361111111111109</v>
      </c>
      <c r="O16" s="223">
        <v>0.44374999999999976</v>
      </c>
      <c r="P16" s="271">
        <v>2.0</v>
      </c>
      <c r="Q16" s="223">
        <v>0.44513888888888864</v>
      </c>
      <c r="R16" s="223">
        <v>0.4493055555555553</v>
      </c>
      <c r="S16" s="271">
        <v>5.0</v>
      </c>
      <c r="T16" s="223">
        <v>0.4527777777777775</v>
      </c>
      <c r="U16" s="223">
        <v>0.4590277777777775</v>
      </c>
      <c r="V16" s="223">
        <v>0.4611111111111108</v>
      </c>
      <c r="W16" s="271">
        <v>2.0</v>
      </c>
      <c r="X16" s="223">
        <v>0.4624999999999997</v>
      </c>
      <c r="Y16" s="223"/>
      <c r="Z16" s="223">
        <v>0.46874999999999967</v>
      </c>
      <c r="AA16" s="223">
        <v>0.4756944444444441</v>
      </c>
      <c r="AB16" s="271">
        <v>5.0</v>
      </c>
      <c r="AC16" s="223">
        <v>0.4791666666666663</v>
      </c>
      <c r="AD16" s="223">
        <v>0.4881944444444441</v>
      </c>
      <c r="AE16" s="271">
        <v>9.0</v>
      </c>
      <c r="AF16" s="223">
        <v>0.4944444444444441</v>
      </c>
      <c r="AG16" s="223"/>
      <c r="AH16" s="103">
        <f t="shared" si="2"/>
        <v>120</v>
      </c>
      <c r="AI16" s="103">
        <f t="shared" si="9"/>
        <v>150</v>
      </c>
      <c r="AJ16" s="103">
        <f t="shared" si="4"/>
        <v>30</v>
      </c>
      <c r="AK16" s="104">
        <f t="shared" si="5"/>
        <v>0.25</v>
      </c>
      <c r="AL16" s="142">
        <f t="shared" si="6"/>
        <v>30</v>
      </c>
    </row>
    <row r="17" ht="13.5" customHeight="1">
      <c r="A17" s="127"/>
      <c r="B17" s="141" t="s">
        <v>78</v>
      </c>
      <c r="C17" s="223">
        <v>0.41111111111111087</v>
      </c>
      <c r="D17" s="223">
        <v>0.42152777777777756</v>
      </c>
      <c r="E17" s="271">
        <v>5.0</v>
      </c>
      <c r="F17" s="223">
        <v>0.42499999999999977</v>
      </c>
      <c r="G17" s="223">
        <v>0.4291666666666664</v>
      </c>
      <c r="H17" s="271">
        <v>1.0</v>
      </c>
      <c r="I17" s="223">
        <v>0.42986111111111086</v>
      </c>
      <c r="J17" s="223">
        <v>0.43888888888888866</v>
      </c>
      <c r="K17" s="223">
        <v>0.4465277777777775</v>
      </c>
      <c r="L17" s="271">
        <v>1.0</v>
      </c>
      <c r="M17" s="223">
        <v>0.44722222222222197</v>
      </c>
      <c r="N17" s="223">
        <v>0.4569444444444442</v>
      </c>
      <c r="O17" s="223">
        <v>0.46458333333333307</v>
      </c>
      <c r="P17" s="271">
        <v>2.0</v>
      </c>
      <c r="Q17" s="223">
        <v>0.46597222222222195</v>
      </c>
      <c r="R17" s="223">
        <v>0.4701388888888886</v>
      </c>
      <c r="S17" s="271">
        <v>5.0</v>
      </c>
      <c r="T17" s="223">
        <v>0.4736111111111108</v>
      </c>
      <c r="U17" s="223">
        <v>0.4798611111111108</v>
      </c>
      <c r="V17" s="223">
        <v>0.4819444444444441</v>
      </c>
      <c r="W17" s="271">
        <v>2.0</v>
      </c>
      <c r="X17" s="223">
        <v>0.483333333333333</v>
      </c>
      <c r="Y17" s="223"/>
      <c r="Z17" s="223">
        <v>0.489583333333333</v>
      </c>
      <c r="AA17" s="223">
        <v>0.4965277777777774</v>
      </c>
      <c r="AB17" s="271">
        <v>5.0</v>
      </c>
      <c r="AC17" s="223">
        <v>0.4999999999999996</v>
      </c>
      <c r="AD17" s="223">
        <v>0.5090277777777774</v>
      </c>
      <c r="AE17" s="271">
        <v>9.0</v>
      </c>
      <c r="AF17" s="223">
        <v>0.5152777777777774</v>
      </c>
      <c r="AG17" s="223"/>
      <c r="AH17" s="103">
        <f t="shared" si="2"/>
        <v>120</v>
      </c>
      <c r="AI17" s="103">
        <f t="shared" si="9"/>
        <v>150</v>
      </c>
      <c r="AJ17" s="103">
        <f t="shared" si="4"/>
        <v>30</v>
      </c>
      <c r="AK17" s="104">
        <f t="shared" si="5"/>
        <v>0.25</v>
      </c>
      <c r="AL17" s="142">
        <f t="shared" si="6"/>
        <v>30</v>
      </c>
    </row>
    <row r="18" ht="13.5" customHeight="1">
      <c r="A18" s="127"/>
      <c r="B18" s="141" t="s">
        <v>78</v>
      </c>
      <c r="C18" s="223">
        <v>0.4319444444444443</v>
      </c>
      <c r="D18" s="223">
        <v>0.442361111111111</v>
      </c>
      <c r="E18" s="271">
        <v>5.0</v>
      </c>
      <c r="F18" s="223">
        <v>0.4458333333333332</v>
      </c>
      <c r="G18" s="223">
        <v>0.44999999999999984</v>
      </c>
      <c r="H18" s="271">
        <v>1.0</v>
      </c>
      <c r="I18" s="223">
        <v>0.4506944444444443</v>
      </c>
      <c r="J18" s="223">
        <v>0.4597222222222221</v>
      </c>
      <c r="K18" s="223">
        <v>0.46736111111111095</v>
      </c>
      <c r="L18" s="271">
        <v>1.0</v>
      </c>
      <c r="M18" s="223">
        <v>0.4680555555555554</v>
      </c>
      <c r="N18" s="223">
        <v>0.47777777777777763</v>
      </c>
      <c r="O18" s="223">
        <v>0.4854166666666665</v>
      </c>
      <c r="P18" s="271">
        <v>2.0</v>
      </c>
      <c r="Q18" s="223">
        <v>0.4868055555555554</v>
      </c>
      <c r="R18" s="223">
        <v>0.49097222222222203</v>
      </c>
      <c r="S18" s="271">
        <v>5.0</v>
      </c>
      <c r="T18" s="223">
        <v>0.49444444444444424</v>
      </c>
      <c r="U18" s="223">
        <v>0.5006944444444442</v>
      </c>
      <c r="V18" s="223">
        <v>0.5027777777777775</v>
      </c>
      <c r="W18" s="271">
        <v>2.0</v>
      </c>
      <c r="X18" s="223">
        <v>0.5041666666666664</v>
      </c>
      <c r="Y18" s="223"/>
      <c r="Z18" s="223">
        <v>0.5104166666666664</v>
      </c>
      <c r="AA18" s="223">
        <v>0.5173611111111108</v>
      </c>
      <c r="AB18" s="271">
        <v>5.0</v>
      </c>
      <c r="AC18" s="223">
        <v>0.520833333333333</v>
      </c>
      <c r="AD18" s="223">
        <v>0.5298611111111108</v>
      </c>
      <c r="AE18" s="271">
        <v>9.0</v>
      </c>
      <c r="AF18" s="223">
        <v>0.5361111111111108</v>
      </c>
      <c r="AG18" s="223"/>
      <c r="AH18" s="103">
        <f t="shared" si="2"/>
        <v>120</v>
      </c>
      <c r="AI18" s="103">
        <f t="shared" si="9"/>
        <v>150</v>
      </c>
      <c r="AJ18" s="103">
        <f t="shared" si="4"/>
        <v>30</v>
      </c>
      <c r="AK18" s="104">
        <f t="shared" si="5"/>
        <v>0.25</v>
      </c>
      <c r="AL18" s="142">
        <f t="shared" si="6"/>
        <v>30</v>
      </c>
    </row>
    <row r="19" ht="13.5" customHeight="1">
      <c r="A19" s="127"/>
      <c r="B19" s="141" t="s">
        <v>78</v>
      </c>
      <c r="C19" s="223">
        <v>0.45277777777777756</v>
      </c>
      <c r="D19" s="223">
        <v>0.46319444444444424</v>
      </c>
      <c r="E19" s="271">
        <v>5.0</v>
      </c>
      <c r="F19" s="223">
        <v>0.46666666666666645</v>
      </c>
      <c r="G19" s="223">
        <v>0.4708333333333331</v>
      </c>
      <c r="H19" s="271">
        <v>1.0</v>
      </c>
      <c r="I19" s="223">
        <v>0.47152777777777755</v>
      </c>
      <c r="J19" s="223">
        <v>0.48055555555555535</v>
      </c>
      <c r="K19" s="223">
        <v>0.4881944444444442</v>
      </c>
      <c r="L19" s="271">
        <v>1.0</v>
      </c>
      <c r="M19" s="223">
        <v>0.48888888888888865</v>
      </c>
      <c r="N19" s="223">
        <v>0.4986111111111109</v>
      </c>
      <c r="O19" s="223">
        <v>0.5062499999999998</v>
      </c>
      <c r="P19" s="271">
        <v>3.0</v>
      </c>
      <c r="Q19" s="223">
        <v>0.5083333333333331</v>
      </c>
      <c r="R19" s="223">
        <v>0.5124999999999997</v>
      </c>
      <c r="S19" s="271">
        <v>5.0</v>
      </c>
      <c r="T19" s="223">
        <v>0.5159722222222219</v>
      </c>
      <c r="U19" s="223">
        <v>0.5222222222222219</v>
      </c>
      <c r="V19" s="223">
        <v>0.5243055555555552</v>
      </c>
      <c r="W19" s="271">
        <v>2.0</v>
      </c>
      <c r="X19" s="223">
        <v>0.5256944444444441</v>
      </c>
      <c r="Y19" s="223"/>
      <c r="Z19" s="223">
        <v>0.5319444444444441</v>
      </c>
      <c r="AA19" s="223">
        <v>0.5388888888888885</v>
      </c>
      <c r="AB19" s="271">
        <v>5.0</v>
      </c>
      <c r="AC19" s="223">
        <v>0.5423611111111107</v>
      </c>
      <c r="AD19" s="223">
        <v>0.5513888888888885</v>
      </c>
      <c r="AE19" s="271">
        <v>7.0</v>
      </c>
      <c r="AF19" s="223">
        <v>0.5562499999999996</v>
      </c>
      <c r="AG19" s="223"/>
      <c r="AH19" s="103">
        <f t="shared" si="2"/>
        <v>120</v>
      </c>
      <c r="AI19" s="103">
        <f t="shared" si="9"/>
        <v>149</v>
      </c>
      <c r="AJ19" s="103">
        <f t="shared" si="4"/>
        <v>29</v>
      </c>
      <c r="AK19" s="104">
        <f t="shared" si="5"/>
        <v>0.2416666667</v>
      </c>
      <c r="AL19" s="142">
        <f t="shared" si="6"/>
        <v>29</v>
      </c>
    </row>
    <row r="20" ht="13.5" customHeight="1">
      <c r="A20" s="127"/>
      <c r="B20" s="141" t="s">
        <v>78</v>
      </c>
      <c r="C20" s="223">
        <v>0.4736111111111108</v>
      </c>
      <c r="D20" s="223">
        <v>0.4840277777777775</v>
      </c>
      <c r="E20" s="271">
        <v>5.0</v>
      </c>
      <c r="F20" s="230">
        <v>0.4874999999999997</v>
      </c>
      <c r="G20" s="223">
        <v>0.49166666666666636</v>
      </c>
      <c r="H20" s="271">
        <v>1.0</v>
      </c>
      <c r="I20" s="223">
        <v>0.4923611111111108</v>
      </c>
      <c r="J20" s="223">
        <v>0.5013888888888886</v>
      </c>
      <c r="K20" s="223">
        <v>0.5090277777777774</v>
      </c>
      <c r="L20" s="271">
        <v>1.0</v>
      </c>
      <c r="M20" s="223">
        <v>0.5097222222222219</v>
      </c>
      <c r="N20" s="223">
        <v>0.519444444444444</v>
      </c>
      <c r="O20" s="223">
        <v>0.5270833333333329</v>
      </c>
      <c r="P20" s="271">
        <v>3.0</v>
      </c>
      <c r="Q20" s="223">
        <v>0.5291666666666662</v>
      </c>
      <c r="R20" s="223">
        <v>0.5333333333333329</v>
      </c>
      <c r="S20" s="271">
        <v>5.0</v>
      </c>
      <c r="T20" s="223">
        <v>0.5368055555555551</v>
      </c>
      <c r="U20" s="223">
        <v>0.5430555555555551</v>
      </c>
      <c r="V20" s="223">
        <v>0.5451388888888884</v>
      </c>
      <c r="W20" s="271">
        <v>2.0</v>
      </c>
      <c r="X20" s="223">
        <v>0.5465277777777773</v>
      </c>
      <c r="Y20" s="223"/>
      <c r="Z20" s="223">
        <v>0.5527777777777773</v>
      </c>
      <c r="AA20" s="223">
        <v>0.5597222222222217</v>
      </c>
      <c r="AB20" s="271">
        <v>5.0</v>
      </c>
      <c r="AC20" s="223">
        <v>0.5631944444444439</v>
      </c>
      <c r="AD20" s="223">
        <v>0.5722222222222216</v>
      </c>
      <c r="AE20" s="271">
        <v>7.0</v>
      </c>
      <c r="AF20" s="223">
        <v>0.5770833333333327</v>
      </c>
      <c r="AG20" s="223"/>
      <c r="AH20" s="103">
        <f t="shared" si="2"/>
        <v>120</v>
      </c>
      <c r="AI20" s="103">
        <f t="shared" si="9"/>
        <v>149</v>
      </c>
      <c r="AJ20" s="103">
        <f t="shared" si="4"/>
        <v>29</v>
      </c>
      <c r="AK20" s="104">
        <f t="shared" si="5"/>
        <v>0.2416666667</v>
      </c>
      <c r="AL20" s="142">
        <f t="shared" si="6"/>
        <v>30</v>
      </c>
    </row>
    <row r="21" ht="13.5" customHeight="1">
      <c r="A21" s="127"/>
      <c r="B21" s="141" t="s">
        <v>78</v>
      </c>
      <c r="C21" s="223">
        <v>0.4944444444444441</v>
      </c>
      <c r="D21" s="223">
        <v>0.5048611111111108</v>
      </c>
      <c r="E21" s="271">
        <v>5.0</v>
      </c>
      <c r="F21" s="223">
        <v>0.508333333333333</v>
      </c>
      <c r="G21" s="223">
        <v>0.5124999999999996</v>
      </c>
      <c r="H21" s="271">
        <v>1.0</v>
      </c>
      <c r="I21" s="223">
        <v>0.5131944444444441</v>
      </c>
      <c r="J21" s="223">
        <v>0.5222222222222218</v>
      </c>
      <c r="K21" s="223">
        <v>0.5298611111111107</v>
      </c>
      <c r="L21" s="271">
        <v>1.0</v>
      </c>
      <c r="M21" s="223">
        <v>0.5305555555555551</v>
      </c>
      <c r="N21" s="223">
        <v>0.5402777777777773</v>
      </c>
      <c r="O21" s="223">
        <v>0.5479166666666662</v>
      </c>
      <c r="P21" s="271">
        <v>3.0</v>
      </c>
      <c r="Q21" s="223">
        <v>0.5499999999999995</v>
      </c>
      <c r="R21" s="223">
        <v>0.5541666666666661</v>
      </c>
      <c r="S21" s="271">
        <v>5.0</v>
      </c>
      <c r="T21" s="223">
        <v>0.5576388888888884</v>
      </c>
      <c r="U21" s="223">
        <v>0.5638888888888883</v>
      </c>
      <c r="V21" s="223">
        <v>0.5659722222222217</v>
      </c>
      <c r="W21" s="271">
        <v>2.0</v>
      </c>
      <c r="X21" s="223">
        <v>0.5673611111111105</v>
      </c>
      <c r="Y21" s="223"/>
      <c r="Z21" s="223">
        <v>0.5736111111111105</v>
      </c>
      <c r="AA21" s="223">
        <v>0.5805555555555549</v>
      </c>
      <c r="AB21" s="271">
        <v>5.0</v>
      </c>
      <c r="AC21" s="223">
        <v>0.5840277777777771</v>
      </c>
      <c r="AD21" s="223">
        <v>0.5930555555555549</v>
      </c>
      <c r="AE21" s="271">
        <v>7.0</v>
      </c>
      <c r="AF21" s="223">
        <v>0.597916666666666</v>
      </c>
      <c r="AG21" s="223"/>
      <c r="AH21" s="103">
        <f t="shared" si="2"/>
        <v>120</v>
      </c>
      <c r="AI21" s="103">
        <f t="shared" si="9"/>
        <v>149</v>
      </c>
      <c r="AJ21" s="103">
        <f t="shared" si="4"/>
        <v>29</v>
      </c>
      <c r="AK21" s="104">
        <f t="shared" si="5"/>
        <v>0.2416666667</v>
      </c>
      <c r="AL21" s="142">
        <f t="shared" si="6"/>
        <v>30</v>
      </c>
    </row>
    <row r="22" ht="13.5" customHeight="1">
      <c r="A22" s="127"/>
      <c r="B22" s="141" t="s">
        <v>78</v>
      </c>
      <c r="C22" s="223">
        <v>0.5152777777777774</v>
      </c>
      <c r="D22" s="223">
        <v>0.525694444444444</v>
      </c>
      <c r="E22" s="271">
        <v>5.0</v>
      </c>
      <c r="F22" s="223">
        <v>0.5291666666666662</v>
      </c>
      <c r="G22" s="223">
        <v>0.5333333333333329</v>
      </c>
      <c r="H22" s="271">
        <v>1.0</v>
      </c>
      <c r="I22" s="223">
        <v>0.5340277777777773</v>
      </c>
      <c r="J22" s="223">
        <v>0.5430555555555551</v>
      </c>
      <c r="K22" s="223">
        <v>0.5506944444444439</v>
      </c>
      <c r="L22" s="271">
        <v>1.0</v>
      </c>
      <c r="M22" s="223">
        <v>0.5513888888888884</v>
      </c>
      <c r="N22" s="223">
        <v>0.5611111111111106</v>
      </c>
      <c r="O22" s="223">
        <v>0.5687499999999994</v>
      </c>
      <c r="P22" s="271">
        <v>3.0</v>
      </c>
      <c r="Q22" s="223">
        <v>0.5708333333333327</v>
      </c>
      <c r="R22" s="223">
        <v>0.5749999999999994</v>
      </c>
      <c r="S22" s="271">
        <v>5.0</v>
      </c>
      <c r="T22" s="223">
        <v>0.5784722222222216</v>
      </c>
      <c r="U22" s="223">
        <v>0.5847222222222216</v>
      </c>
      <c r="V22" s="223">
        <v>0.5868055555555549</v>
      </c>
      <c r="W22" s="271">
        <v>2.0</v>
      </c>
      <c r="X22" s="223">
        <v>0.5881944444444438</v>
      </c>
      <c r="Y22" s="223"/>
      <c r="Z22" s="223">
        <v>0.5944444444444438</v>
      </c>
      <c r="AA22" s="223">
        <v>0.6013888888888882</v>
      </c>
      <c r="AB22" s="271">
        <v>3.0</v>
      </c>
      <c r="AC22" s="223">
        <v>0.6034722222222215</v>
      </c>
      <c r="AD22" s="223">
        <v>0.6124999999999993</v>
      </c>
      <c r="AE22" s="271">
        <v>9.0</v>
      </c>
      <c r="AF22" s="223">
        <v>0.6187499999999992</v>
      </c>
      <c r="AG22" s="223"/>
      <c r="AH22" s="103">
        <f t="shared" si="2"/>
        <v>120</v>
      </c>
      <c r="AI22" s="103">
        <f t="shared" si="9"/>
        <v>149</v>
      </c>
      <c r="AJ22" s="103">
        <f t="shared" si="4"/>
        <v>29</v>
      </c>
      <c r="AK22" s="104">
        <f t="shared" si="5"/>
        <v>0.2416666667</v>
      </c>
      <c r="AL22" s="142">
        <f t="shared" si="6"/>
        <v>30</v>
      </c>
    </row>
    <row r="23" ht="13.5" customHeight="1">
      <c r="A23" s="127"/>
      <c r="B23" s="141" t="s">
        <v>78</v>
      </c>
      <c r="C23" s="223">
        <v>0.5361111111111108</v>
      </c>
      <c r="D23" s="223">
        <v>0.5465277777777774</v>
      </c>
      <c r="E23" s="271">
        <v>5.0</v>
      </c>
      <c r="F23" s="223">
        <v>0.5499999999999996</v>
      </c>
      <c r="G23" s="223">
        <v>0.5541666666666663</v>
      </c>
      <c r="H23" s="271">
        <v>1.0</v>
      </c>
      <c r="I23" s="223">
        <v>0.5548611111111107</v>
      </c>
      <c r="J23" s="223">
        <v>0.5638888888888884</v>
      </c>
      <c r="K23" s="223">
        <v>0.5715277777777773</v>
      </c>
      <c r="L23" s="271">
        <v>1.0</v>
      </c>
      <c r="M23" s="223">
        <v>0.5722222222222217</v>
      </c>
      <c r="N23" s="223">
        <v>0.5819444444444439</v>
      </c>
      <c r="O23" s="223">
        <v>0.5895833333333328</v>
      </c>
      <c r="P23" s="271">
        <v>3.0</v>
      </c>
      <c r="Q23" s="223">
        <v>0.5916666666666661</v>
      </c>
      <c r="R23" s="223">
        <v>0.5958333333333328</v>
      </c>
      <c r="S23" s="271">
        <v>5.0</v>
      </c>
      <c r="T23" s="223">
        <v>0.599305555555555</v>
      </c>
      <c r="U23" s="223">
        <v>0.605555555555555</v>
      </c>
      <c r="V23" s="223">
        <v>0.6076388888888883</v>
      </c>
      <c r="W23" s="271">
        <v>2.0</v>
      </c>
      <c r="X23" s="223">
        <v>0.6090277777777772</v>
      </c>
      <c r="Y23" s="223">
        <v>0.6124999999999994</v>
      </c>
      <c r="Z23" s="223">
        <v>0.6152777777777771</v>
      </c>
      <c r="AA23" s="223">
        <v>0.6222222222222216</v>
      </c>
      <c r="AB23" s="271">
        <v>3.0</v>
      </c>
      <c r="AC23" s="223">
        <v>0.6243055555555549</v>
      </c>
      <c r="AD23" s="223">
        <v>0.6333333333333326</v>
      </c>
      <c r="AE23" s="271">
        <v>9.0</v>
      </c>
      <c r="AF23" s="223">
        <v>0.6395833333333326</v>
      </c>
      <c r="AG23" s="223"/>
      <c r="AH23" s="103">
        <f t="shared" si="2"/>
        <v>120</v>
      </c>
      <c r="AI23" s="103">
        <f t="shared" si="9"/>
        <v>149</v>
      </c>
      <c r="AJ23" s="103">
        <f t="shared" si="4"/>
        <v>29</v>
      </c>
      <c r="AK23" s="104">
        <f t="shared" si="5"/>
        <v>0.2416666667</v>
      </c>
      <c r="AL23" s="142">
        <f t="shared" si="6"/>
        <v>30</v>
      </c>
    </row>
    <row r="24" ht="13.5" customHeight="1">
      <c r="A24" s="127"/>
      <c r="B24" s="141" t="s">
        <v>7</v>
      </c>
      <c r="C24" s="223">
        <v>0.5562499999999996</v>
      </c>
      <c r="D24" s="223">
        <v>0.5673611111111106</v>
      </c>
      <c r="E24" s="271">
        <v>5.0</v>
      </c>
      <c r="F24" s="223">
        <v>0.5708333333333329</v>
      </c>
      <c r="G24" s="223">
        <v>0.575694444444444</v>
      </c>
      <c r="H24" s="271">
        <v>0.0</v>
      </c>
      <c r="I24" s="223">
        <v>0.575694444444444</v>
      </c>
      <c r="J24" s="223">
        <v>0.5847222222222217</v>
      </c>
      <c r="K24" s="223">
        <v>0.593055555555555</v>
      </c>
      <c r="L24" s="271">
        <v>1.0</v>
      </c>
      <c r="M24" s="223">
        <v>0.5937499999999994</v>
      </c>
      <c r="N24" s="223">
        <v>0.6034722222222216</v>
      </c>
      <c r="O24" s="223">
        <v>0.610416666666666</v>
      </c>
      <c r="P24" s="271">
        <v>2.0</v>
      </c>
      <c r="Q24" s="223">
        <v>0.6118055555555549</v>
      </c>
      <c r="R24" s="223">
        <v>0.616666666666666</v>
      </c>
      <c r="S24" s="271">
        <v>5.0</v>
      </c>
      <c r="T24" s="223">
        <v>0.6201388888888882</v>
      </c>
      <c r="U24" s="223">
        <v>0.6270833333333327</v>
      </c>
      <c r="V24" s="223">
        <v>0.629166666666666</v>
      </c>
      <c r="W24" s="271">
        <v>2.0</v>
      </c>
      <c r="X24" s="223">
        <v>0.6305555555555549</v>
      </c>
      <c r="Y24" s="223"/>
      <c r="Z24" s="223">
        <v>0.6381944444444437</v>
      </c>
      <c r="AA24" s="223">
        <v>0.6451388888888882</v>
      </c>
      <c r="AB24" s="271">
        <v>3.0</v>
      </c>
      <c r="AC24" s="223">
        <v>0.6472222222222215</v>
      </c>
      <c r="AD24" s="223">
        <v>0.6562499999999992</v>
      </c>
      <c r="AE24" s="271">
        <v>6.0</v>
      </c>
      <c r="AF24" s="223">
        <v>0.6604166666666659</v>
      </c>
      <c r="AG24" s="223"/>
      <c r="AH24" s="103">
        <f t="shared" si="2"/>
        <v>126</v>
      </c>
      <c r="AI24" s="103">
        <f t="shared" si="9"/>
        <v>150</v>
      </c>
      <c r="AJ24" s="103">
        <f t="shared" si="4"/>
        <v>24</v>
      </c>
      <c r="AK24" s="104">
        <f t="shared" si="5"/>
        <v>0.1904761905</v>
      </c>
      <c r="AL24" s="142">
        <f t="shared" si="6"/>
        <v>30</v>
      </c>
    </row>
    <row r="25" ht="13.5" customHeight="1">
      <c r="A25" s="127"/>
      <c r="B25" s="141" t="s">
        <v>7</v>
      </c>
      <c r="C25" s="223">
        <v>0.5770833333333327</v>
      </c>
      <c r="D25" s="223">
        <v>0.5881944444444438</v>
      </c>
      <c r="E25" s="271">
        <v>5.0</v>
      </c>
      <c r="F25" s="223">
        <v>0.591666666666666</v>
      </c>
      <c r="G25" s="223">
        <v>0.5965277777777771</v>
      </c>
      <c r="H25" s="271">
        <v>0.0</v>
      </c>
      <c r="I25" s="223">
        <v>0.5965277777777771</v>
      </c>
      <c r="J25" s="223">
        <v>0.6055555555555548</v>
      </c>
      <c r="K25" s="223">
        <v>0.6138888888888882</v>
      </c>
      <c r="L25" s="271">
        <v>1.0</v>
      </c>
      <c r="M25" s="223">
        <v>0.6145833333333326</v>
      </c>
      <c r="N25" s="223">
        <v>0.6243055555555548</v>
      </c>
      <c r="O25" s="223">
        <v>0.6312499999999992</v>
      </c>
      <c r="P25" s="271">
        <v>2.0</v>
      </c>
      <c r="Q25" s="223">
        <v>0.6326388888888881</v>
      </c>
      <c r="R25" s="223">
        <v>0.6374999999999992</v>
      </c>
      <c r="S25" s="271">
        <v>5.0</v>
      </c>
      <c r="T25" s="223">
        <v>0.6409722222222214</v>
      </c>
      <c r="U25" s="223">
        <v>0.6479166666666658</v>
      </c>
      <c r="V25" s="223">
        <v>0.6499999999999991</v>
      </c>
      <c r="W25" s="271">
        <v>2.0</v>
      </c>
      <c r="X25" s="223">
        <v>0.651388888888888</v>
      </c>
      <c r="Y25" s="223"/>
      <c r="Z25" s="223">
        <v>0.6590277777777769</v>
      </c>
      <c r="AA25" s="223">
        <v>0.6659722222222213</v>
      </c>
      <c r="AB25" s="271">
        <v>5.0</v>
      </c>
      <c r="AC25" s="223">
        <v>0.6694444444444435</v>
      </c>
      <c r="AD25" s="223">
        <v>0.6784722222222213</v>
      </c>
      <c r="AE25" s="271">
        <v>6.0</v>
      </c>
      <c r="AF25" s="223">
        <v>0.6826388888888879</v>
      </c>
      <c r="AG25" s="223"/>
      <c r="AH25" s="103">
        <f t="shared" si="2"/>
        <v>126</v>
      </c>
      <c r="AI25" s="103">
        <f t="shared" si="9"/>
        <v>152</v>
      </c>
      <c r="AJ25" s="103">
        <f t="shared" si="4"/>
        <v>26</v>
      </c>
      <c r="AK25" s="104">
        <f t="shared" si="5"/>
        <v>0.2063492063</v>
      </c>
      <c r="AL25" s="142">
        <f t="shared" si="6"/>
        <v>32</v>
      </c>
    </row>
    <row r="26" ht="13.5" customHeight="1">
      <c r="A26" s="127"/>
      <c r="B26" s="141" t="s">
        <v>7</v>
      </c>
      <c r="C26" s="223">
        <v>0.597916666666666</v>
      </c>
      <c r="D26" s="223">
        <v>0.6090277777777771</v>
      </c>
      <c r="E26" s="271">
        <v>5.0</v>
      </c>
      <c r="F26" s="223">
        <v>0.6124999999999993</v>
      </c>
      <c r="G26" s="223">
        <v>0.6173611111111104</v>
      </c>
      <c r="H26" s="271">
        <v>0.0</v>
      </c>
      <c r="I26" s="223">
        <v>0.6173611111111104</v>
      </c>
      <c r="J26" s="223">
        <v>0.6263888888888881</v>
      </c>
      <c r="K26" s="223">
        <v>0.6347222222222214</v>
      </c>
      <c r="L26" s="271">
        <v>1.0</v>
      </c>
      <c r="M26" s="223">
        <v>0.6354166666666659</v>
      </c>
      <c r="N26" s="223">
        <v>0.645138888888888</v>
      </c>
      <c r="O26" s="223">
        <v>0.6520833333333325</v>
      </c>
      <c r="P26" s="271">
        <v>2.0</v>
      </c>
      <c r="Q26" s="223">
        <v>0.6534722222222213</v>
      </c>
      <c r="R26" s="223">
        <v>0.6583333333333324</v>
      </c>
      <c r="S26" s="271">
        <v>5.0</v>
      </c>
      <c r="T26" s="230">
        <v>0.6618055555555546</v>
      </c>
      <c r="U26" s="223">
        <v>0.6687499999999991</v>
      </c>
      <c r="V26" s="223">
        <v>0.6708333333333324</v>
      </c>
      <c r="W26" s="271">
        <v>2.0</v>
      </c>
      <c r="X26" s="223">
        <v>0.6722222222222213</v>
      </c>
      <c r="Y26" s="223"/>
      <c r="Z26" s="223">
        <v>0.6798611111111101</v>
      </c>
      <c r="AA26" s="223">
        <v>0.6868055555555546</v>
      </c>
      <c r="AB26" s="271">
        <v>5.0</v>
      </c>
      <c r="AC26" s="223">
        <v>0.6902777777777768</v>
      </c>
      <c r="AD26" s="223">
        <v>0.6993055555555545</v>
      </c>
      <c r="AE26" s="271">
        <v>6.0</v>
      </c>
      <c r="AF26" s="223">
        <v>0.7034722222222212</v>
      </c>
      <c r="AG26" s="223"/>
      <c r="AH26" s="103">
        <f t="shared" si="2"/>
        <v>126</v>
      </c>
      <c r="AI26" s="103">
        <f t="shared" si="9"/>
        <v>152</v>
      </c>
      <c r="AJ26" s="103">
        <f t="shared" si="4"/>
        <v>26</v>
      </c>
      <c r="AK26" s="104">
        <f t="shared" si="5"/>
        <v>0.2063492063</v>
      </c>
      <c r="AL26" s="142">
        <f t="shared" si="6"/>
        <v>30</v>
      </c>
    </row>
    <row r="27" ht="13.5" customHeight="1">
      <c r="A27" s="127"/>
      <c r="B27" s="141" t="s">
        <v>7</v>
      </c>
      <c r="C27" s="223">
        <v>0.6187499999999992</v>
      </c>
      <c r="D27" s="223">
        <v>0.6298611111111103</v>
      </c>
      <c r="E27" s="271">
        <v>5.0</v>
      </c>
      <c r="F27" s="223">
        <v>0.6333333333333325</v>
      </c>
      <c r="G27" s="223">
        <v>0.6381944444444436</v>
      </c>
      <c r="H27" s="271">
        <v>0.0</v>
      </c>
      <c r="I27" s="223">
        <v>0.6381944444444436</v>
      </c>
      <c r="J27" s="223">
        <v>0.6472222222222214</v>
      </c>
      <c r="K27" s="223">
        <v>0.6555555555555547</v>
      </c>
      <c r="L27" s="271">
        <v>1.0</v>
      </c>
      <c r="M27" s="223">
        <v>0.6562499999999991</v>
      </c>
      <c r="N27" s="223">
        <v>0.6659722222222213</v>
      </c>
      <c r="O27" s="223">
        <v>0.6729166666666657</v>
      </c>
      <c r="P27" s="271">
        <v>2.0</v>
      </c>
      <c r="Q27" s="223">
        <v>0.6743055555555546</v>
      </c>
      <c r="R27" s="223">
        <v>0.6791666666666657</v>
      </c>
      <c r="S27" s="271">
        <v>5.0</v>
      </c>
      <c r="T27" s="223">
        <v>0.6826388888888879</v>
      </c>
      <c r="U27" s="223">
        <v>0.6895833333333323</v>
      </c>
      <c r="V27" s="223">
        <v>0.6916666666666657</v>
      </c>
      <c r="W27" s="271">
        <v>2.0</v>
      </c>
      <c r="X27" s="223">
        <v>0.6930555555555545</v>
      </c>
      <c r="Y27" s="223"/>
      <c r="Z27" s="223">
        <v>0.7006944444444434</v>
      </c>
      <c r="AA27" s="223">
        <v>0.7076388888888878</v>
      </c>
      <c r="AB27" s="271">
        <v>5.0</v>
      </c>
      <c r="AC27" s="223">
        <v>0.71111111111111</v>
      </c>
      <c r="AD27" s="223">
        <v>0.7201388888888878</v>
      </c>
      <c r="AE27" s="271">
        <v>6.0</v>
      </c>
      <c r="AF27" s="223">
        <v>0.7243055555555544</v>
      </c>
      <c r="AG27" s="223"/>
      <c r="AH27" s="103">
        <f t="shared" si="2"/>
        <v>126</v>
      </c>
      <c r="AI27" s="103">
        <f t="shared" si="9"/>
        <v>152</v>
      </c>
      <c r="AJ27" s="103">
        <f t="shared" si="4"/>
        <v>26</v>
      </c>
      <c r="AK27" s="104">
        <f t="shared" si="5"/>
        <v>0.2063492063</v>
      </c>
      <c r="AL27" s="142">
        <f t="shared" si="6"/>
        <v>30</v>
      </c>
    </row>
    <row r="28" ht="13.5" customHeight="1">
      <c r="A28" s="127"/>
      <c r="B28" s="141" t="s">
        <v>7</v>
      </c>
      <c r="C28" s="223">
        <v>0.6395833333333326</v>
      </c>
      <c r="D28" s="223">
        <v>0.6506944444444437</v>
      </c>
      <c r="E28" s="271">
        <v>5.0</v>
      </c>
      <c r="F28" s="223">
        <v>0.6541666666666659</v>
      </c>
      <c r="G28" s="223">
        <v>0.659027777777777</v>
      </c>
      <c r="H28" s="271">
        <v>1.0</v>
      </c>
      <c r="I28" s="223">
        <v>0.6597222222222214</v>
      </c>
      <c r="J28" s="223">
        <v>0.6687499999999992</v>
      </c>
      <c r="K28" s="223">
        <v>0.6770833333333325</v>
      </c>
      <c r="L28" s="271">
        <v>1.0</v>
      </c>
      <c r="M28" s="223">
        <v>0.6777777777777769</v>
      </c>
      <c r="N28" s="223">
        <v>0.6874999999999991</v>
      </c>
      <c r="O28" s="223">
        <v>0.6944444444444435</v>
      </c>
      <c r="P28" s="271">
        <v>3.0</v>
      </c>
      <c r="Q28" s="223">
        <v>0.6965277777777769</v>
      </c>
      <c r="R28" s="223">
        <v>0.701388888888888</v>
      </c>
      <c r="S28" s="271">
        <v>5.0</v>
      </c>
      <c r="T28" s="223">
        <v>0.7048611111111102</v>
      </c>
      <c r="U28" s="223">
        <v>0.7118055555555546</v>
      </c>
      <c r="V28" s="223">
        <v>0.7138888888888879</v>
      </c>
      <c r="W28" s="271">
        <v>1.0</v>
      </c>
      <c r="X28" s="223">
        <v>0.7145833333333323</v>
      </c>
      <c r="Y28" s="223"/>
      <c r="Z28" s="223">
        <v>0.7222222222222212</v>
      </c>
      <c r="AA28" s="223">
        <v>0.7291666666666656</v>
      </c>
      <c r="AB28" s="271">
        <v>5.0</v>
      </c>
      <c r="AC28" s="223">
        <v>0.7326388888888878</v>
      </c>
      <c r="AD28" s="223">
        <v>0.7416666666666656</v>
      </c>
      <c r="AE28" s="271">
        <v>5.0</v>
      </c>
      <c r="AF28" s="223">
        <v>0.7451388888888878</v>
      </c>
      <c r="AG28" s="223"/>
      <c r="AH28" s="103">
        <f t="shared" si="2"/>
        <v>126</v>
      </c>
      <c r="AI28" s="103">
        <f t="shared" si="9"/>
        <v>152</v>
      </c>
      <c r="AJ28" s="103">
        <f t="shared" si="4"/>
        <v>26</v>
      </c>
      <c r="AK28" s="104">
        <f t="shared" si="5"/>
        <v>0.2063492063</v>
      </c>
      <c r="AL28" s="142">
        <f t="shared" si="6"/>
        <v>30</v>
      </c>
    </row>
    <row r="29" ht="13.5" customHeight="1">
      <c r="A29" s="127"/>
      <c r="B29" s="141" t="s">
        <v>7</v>
      </c>
      <c r="C29" s="223">
        <v>0.6604166666666659</v>
      </c>
      <c r="D29" s="223">
        <v>0.671527777777777</v>
      </c>
      <c r="E29" s="271">
        <v>5.0</v>
      </c>
      <c r="F29" s="223">
        <v>0.6749999999999992</v>
      </c>
      <c r="G29" s="223">
        <v>0.6798611111111103</v>
      </c>
      <c r="H29" s="271">
        <v>2.0</v>
      </c>
      <c r="I29" s="223">
        <v>0.6812499999999991</v>
      </c>
      <c r="J29" s="223">
        <v>0.6902777777777769</v>
      </c>
      <c r="K29" s="223">
        <v>0.6986111111111102</v>
      </c>
      <c r="L29" s="271">
        <v>1.0</v>
      </c>
      <c r="M29" s="223">
        <v>0.6993055555555546</v>
      </c>
      <c r="N29" s="223">
        <v>0.7090277777777768</v>
      </c>
      <c r="O29" s="223">
        <v>0.7159722222222212</v>
      </c>
      <c r="P29" s="271">
        <v>3.0</v>
      </c>
      <c r="Q29" s="223">
        <v>0.7180555555555546</v>
      </c>
      <c r="R29" s="223">
        <v>0.7229166666666657</v>
      </c>
      <c r="S29" s="271">
        <v>5.0</v>
      </c>
      <c r="T29" s="223">
        <v>0.7263888888888879</v>
      </c>
      <c r="U29" s="223">
        <v>0.7333333333333323</v>
      </c>
      <c r="V29" s="223">
        <v>0.7354166666666656</v>
      </c>
      <c r="W29" s="271">
        <v>1.0</v>
      </c>
      <c r="X29" s="223">
        <v>0.73611111111111</v>
      </c>
      <c r="Y29" s="223"/>
      <c r="Z29" s="223">
        <v>0.7437499999999989</v>
      </c>
      <c r="AA29" s="223">
        <v>0.7506944444444433</v>
      </c>
      <c r="AB29" s="271">
        <v>5.0</v>
      </c>
      <c r="AC29" s="223">
        <v>0.7541666666666655</v>
      </c>
      <c r="AD29" s="223">
        <v>0.7631944444444433</v>
      </c>
      <c r="AE29" s="271">
        <v>4.0</v>
      </c>
      <c r="AF29" s="230">
        <v>0.765972222222221</v>
      </c>
      <c r="AG29" s="223"/>
      <c r="AH29" s="103">
        <f t="shared" si="2"/>
        <v>126</v>
      </c>
      <c r="AI29" s="103">
        <f t="shared" si="9"/>
        <v>152</v>
      </c>
      <c r="AJ29" s="103">
        <f t="shared" si="4"/>
        <v>26</v>
      </c>
      <c r="AK29" s="104">
        <f t="shared" si="5"/>
        <v>0.2063492063</v>
      </c>
      <c r="AL29" s="142">
        <f t="shared" si="6"/>
        <v>30</v>
      </c>
    </row>
    <row r="30" ht="13.5" customHeight="1">
      <c r="A30" s="127"/>
      <c r="B30" s="141" t="s">
        <v>79</v>
      </c>
      <c r="C30" s="223">
        <v>0.6826388888888879</v>
      </c>
      <c r="D30" s="223">
        <v>0.6923611111111101</v>
      </c>
      <c r="E30" s="271">
        <v>5.0</v>
      </c>
      <c r="F30" s="223">
        <v>0.6958333333333323</v>
      </c>
      <c r="G30" s="223">
        <v>0.699999999999999</v>
      </c>
      <c r="H30" s="271">
        <v>2.0</v>
      </c>
      <c r="I30" s="223">
        <v>0.7013888888888878</v>
      </c>
      <c r="J30" s="223">
        <v>0.7104166666666656</v>
      </c>
      <c r="K30" s="223">
        <v>0.7180555555555544</v>
      </c>
      <c r="L30" s="271">
        <v>2.0</v>
      </c>
      <c r="M30" s="223">
        <v>0.7194444444444433</v>
      </c>
      <c r="N30" s="223">
        <v>0.7284722222222211</v>
      </c>
      <c r="O30" s="223">
        <v>0.734722222222221</v>
      </c>
      <c r="P30" s="271">
        <v>5.0</v>
      </c>
      <c r="Q30" s="223">
        <v>0.7381944444444433</v>
      </c>
      <c r="R30" s="223">
        <v>0.7423611111111099</v>
      </c>
      <c r="S30" s="271">
        <v>7.0</v>
      </c>
      <c r="T30" s="223">
        <v>0.747222222222221</v>
      </c>
      <c r="U30" s="223">
        <v>0.753472222222221</v>
      </c>
      <c r="V30" s="223">
        <v>0.7555555555555543</v>
      </c>
      <c r="W30" s="271">
        <v>2.0</v>
      </c>
      <c r="X30" s="223">
        <v>0.7569444444444432</v>
      </c>
      <c r="Y30" s="223"/>
      <c r="Z30" s="223">
        <v>0.7631944444444432</v>
      </c>
      <c r="AA30" s="223">
        <v>0.7687499999999987</v>
      </c>
      <c r="AB30" s="271">
        <v>5.0</v>
      </c>
      <c r="AC30" s="223">
        <v>0.7722222222222209</v>
      </c>
      <c r="AD30" s="223">
        <v>0.7812499999999987</v>
      </c>
      <c r="AE30" s="271">
        <v>8.0</v>
      </c>
      <c r="AF30" s="230">
        <v>0.7868055555555542</v>
      </c>
      <c r="AG30" s="223"/>
      <c r="AH30" s="103">
        <f t="shared" si="2"/>
        <v>114</v>
      </c>
      <c r="AI30" s="103">
        <f t="shared" si="9"/>
        <v>150</v>
      </c>
      <c r="AJ30" s="103">
        <f t="shared" si="4"/>
        <v>36</v>
      </c>
      <c r="AK30" s="104">
        <f t="shared" si="5"/>
        <v>0.3157894737</v>
      </c>
      <c r="AL30" s="142">
        <f t="shared" si="6"/>
        <v>30</v>
      </c>
    </row>
    <row r="31" ht="13.5" customHeight="1">
      <c r="A31" s="127"/>
      <c r="B31" s="141" t="s">
        <v>79</v>
      </c>
      <c r="C31" s="223">
        <v>0.7034722222222212</v>
      </c>
      <c r="D31" s="223">
        <v>0.7131944444444434</v>
      </c>
      <c r="E31" s="271">
        <v>5.0</v>
      </c>
      <c r="F31" s="223">
        <v>0.7166666666666656</v>
      </c>
      <c r="G31" s="223">
        <v>0.7208333333333322</v>
      </c>
      <c r="H31" s="271">
        <v>2.0</v>
      </c>
      <c r="I31" s="223">
        <v>0.7222222222222211</v>
      </c>
      <c r="J31" s="223">
        <v>0.7312499999999988</v>
      </c>
      <c r="K31" s="223">
        <v>0.7388888888888877</v>
      </c>
      <c r="L31" s="271">
        <v>2.0</v>
      </c>
      <c r="M31" s="223">
        <v>0.7402777777777766</v>
      </c>
      <c r="N31" s="223">
        <v>0.7493055555555543</v>
      </c>
      <c r="O31" s="223">
        <v>0.7555555555555543</v>
      </c>
      <c r="P31" s="271">
        <v>5.0</v>
      </c>
      <c r="Q31" s="223">
        <v>0.7590277777777765</v>
      </c>
      <c r="R31" s="223">
        <v>0.7631944444444432</v>
      </c>
      <c r="S31" s="271">
        <v>5.0</v>
      </c>
      <c r="T31" s="223">
        <v>0.7666666666666654</v>
      </c>
      <c r="U31" s="223">
        <v>0.7729166666666654</v>
      </c>
      <c r="V31" s="223">
        <v>0.7749999999999987</v>
      </c>
      <c r="W31" s="271">
        <v>2.0</v>
      </c>
      <c r="X31" s="223">
        <v>0.7763888888888876</v>
      </c>
      <c r="Y31" s="223"/>
      <c r="Z31" s="223">
        <v>0.7826388888888876</v>
      </c>
      <c r="AA31" s="223">
        <v>0.7881944444444431</v>
      </c>
      <c r="AB31" s="271">
        <v>5.0</v>
      </c>
      <c r="AC31" s="223">
        <v>0.7916666666666653</v>
      </c>
      <c r="AD31" s="223">
        <v>0.800694444444443</v>
      </c>
      <c r="AE31" s="271">
        <v>10.0</v>
      </c>
      <c r="AF31" s="223">
        <v>0.8076388888888875</v>
      </c>
      <c r="AG31" s="223"/>
      <c r="AH31" s="103">
        <f t="shared" si="2"/>
        <v>114</v>
      </c>
      <c r="AI31" s="103">
        <f t="shared" si="9"/>
        <v>150</v>
      </c>
      <c r="AJ31" s="103">
        <f t="shared" si="4"/>
        <v>36</v>
      </c>
      <c r="AK31" s="104">
        <f t="shared" si="5"/>
        <v>0.3157894737</v>
      </c>
      <c r="AL31" s="142">
        <f t="shared" si="6"/>
        <v>30</v>
      </c>
    </row>
    <row r="32" ht="13.5" customHeight="1">
      <c r="A32" s="127"/>
      <c r="B32" s="141" t="s">
        <v>79</v>
      </c>
      <c r="C32" s="223">
        <v>0.7243055555555544</v>
      </c>
      <c r="D32" s="223">
        <v>0.7340277777777766</v>
      </c>
      <c r="E32" s="271">
        <v>5.0</v>
      </c>
      <c r="F32" s="223">
        <v>0.7374999999999988</v>
      </c>
      <c r="G32" s="223">
        <v>0.7416666666666655</v>
      </c>
      <c r="H32" s="271">
        <v>2.0</v>
      </c>
      <c r="I32" s="223">
        <v>0.7430555555555544</v>
      </c>
      <c r="J32" s="223">
        <v>0.7520833333333321</v>
      </c>
      <c r="K32" s="223">
        <v>0.759722222222221</v>
      </c>
      <c r="L32" s="271">
        <v>2.0</v>
      </c>
      <c r="M32" s="223">
        <v>0.7611111111111099</v>
      </c>
      <c r="N32" s="223">
        <v>0.7701388888888876</v>
      </c>
      <c r="O32" s="223">
        <v>0.7763888888888876</v>
      </c>
      <c r="P32" s="271">
        <v>5.0</v>
      </c>
      <c r="Q32" s="223">
        <v>0.7798611111111098</v>
      </c>
      <c r="R32" s="223">
        <v>0.7840277777777764</v>
      </c>
      <c r="S32" s="271"/>
      <c r="T32" s="231"/>
      <c r="U32" s="223"/>
      <c r="V32" s="223"/>
      <c r="W32" s="271"/>
      <c r="X32" s="223"/>
      <c r="Y32" s="223"/>
      <c r="Z32" s="223"/>
      <c r="AA32" s="223"/>
      <c r="AB32" s="271"/>
      <c r="AC32" s="223"/>
      <c r="AD32" s="223"/>
      <c r="AE32" s="271"/>
      <c r="AF32" s="223"/>
      <c r="AG32" s="223"/>
      <c r="AH32" s="103">
        <f t="shared" si="2"/>
        <v>72</v>
      </c>
      <c r="AI32" s="103">
        <f>(R32-C32)*1440</f>
        <v>86</v>
      </c>
      <c r="AJ32" s="103">
        <f t="shared" si="4"/>
        <v>14</v>
      </c>
      <c r="AK32" s="104">
        <f t="shared" si="5"/>
        <v>0.1944444444</v>
      </c>
      <c r="AL32" s="142"/>
    </row>
    <row r="33" ht="13.5" customHeight="1">
      <c r="A33" s="127"/>
      <c r="B33" s="141" t="s">
        <v>79</v>
      </c>
      <c r="C33" s="223">
        <v>0.7451388888888878</v>
      </c>
      <c r="D33" s="223">
        <v>0.75486111111111</v>
      </c>
      <c r="E33" s="271">
        <v>5.0</v>
      </c>
      <c r="F33" s="223">
        <v>0.7583333333333322</v>
      </c>
      <c r="G33" s="223">
        <v>0.7624999999999988</v>
      </c>
      <c r="H33" s="271">
        <v>2.0</v>
      </c>
      <c r="I33" s="223">
        <v>0.7638888888888877</v>
      </c>
      <c r="J33" s="223">
        <v>0.7729166666666655</v>
      </c>
      <c r="K33" s="223">
        <v>0.7805555555555543</v>
      </c>
      <c r="L33" s="271">
        <v>3.0</v>
      </c>
      <c r="M33" s="223">
        <v>0.7826388888888877</v>
      </c>
      <c r="N33" s="223">
        <v>0.7916666666666654</v>
      </c>
      <c r="O33" s="223">
        <v>0.7979166666666654</v>
      </c>
      <c r="P33" s="271">
        <v>5.0</v>
      </c>
      <c r="Q33" s="223">
        <v>0.8013888888888876</v>
      </c>
      <c r="R33" s="223">
        <v>0.8055555555555542</v>
      </c>
      <c r="S33" s="271">
        <v>5.0</v>
      </c>
      <c r="T33" s="223">
        <v>0.8090277777777765</v>
      </c>
      <c r="U33" s="223">
        <v>0.8152777777777764</v>
      </c>
      <c r="V33" s="223">
        <v>0.8173611111111098</v>
      </c>
      <c r="W33" s="271">
        <v>2.0</v>
      </c>
      <c r="X33" s="223">
        <v>0.8187499999999986</v>
      </c>
      <c r="Y33" s="223"/>
      <c r="Z33" s="223">
        <v>0.8249999999999986</v>
      </c>
      <c r="AA33" s="223">
        <v>0.8305555555555542</v>
      </c>
      <c r="AB33" s="271">
        <v>5.0</v>
      </c>
      <c r="AC33" s="223">
        <v>0.8340277777777764</v>
      </c>
      <c r="AD33" s="223">
        <v>0.8430555555555541</v>
      </c>
      <c r="AE33" s="271">
        <v>9.0</v>
      </c>
      <c r="AF33" s="223">
        <v>0.8493055555555541</v>
      </c>
      <c r="AG33" s="223"/>
      <c r="AH33" s="103">
        <f t="shared" si="2"/>
        <v>114</v>
      </c>
      <c r="AI33" s="103">
        <f>(AF33-C33)*1440</f>
        <v>150</v>
      </c>
      <c r="AJ33" s="103">
        <f t="shared" si="4"/>
        <v>36</v>
      </c>
      <c r="AK33" s="104">
        <f t="shared" si="5"/>
        <v>0.3157894737</v>
      </c>
      <c r="AL33" s="142">
        <f>(AF33-AF31)*1440</f>
        <v>60</v>
      </c>
    </row>
    <row r="34" ht="13.5" customHeight="1">
      <c r="A34" s="127"/>
      <c r="B34" s="141" t="s">
        <v>79</v>
      </c>
      <c r="C34" s="223">
        <v>0.765972222222221</v>
      </c>
      <c r="D34" s="223">
        <v>0.7756944444444432</v>
      </c>
      <c r="E34" s="271"/>
      <c r="F34" s="231"/>
      <c r="G34" s="223"/>
      <c r="H34" s="271"/>
      <c r="I34" s="223"/>
      <c r="J34" s="223"/>
      <c r="K34" s="223"/>
      <c r="L34" s="271"/>
      <c r="M34" s="223"/>
      <c r="N34" s="223"/>
      <c r="O34" s="223"/>
      <c r="P34" s="271"/>
      <c r="Q34" s="223"/>
      <c r="R34" s="223"/>
      <c r="S34" s="271"/>
      <c r="T34" s="223"/>
      <c r="U34" s="223"/>
      <c r="V34" s="223"/>
      <c r="W34" s="271"/>
      <c r="X34" s="223"/>
      <c r="Y34" s="223"/>
      <c r="Z34" s="223"/>
      <c r="AA34" s="223"/>
      <c r="AB34" s="271"/>
      <c r="AC34" s="223"/>
      <c r="AD34" s="223"/>
      <c r="AE34" s="271"/>
      <c r="AF34" s="223"/>
      <c r="AG34" s="223"/>
      <c r="AH34" s="103">
        <f t="shared" si="2"/>
        <v>14</v>
      </c>
      <c r="AI34" s="103">
        <f>(D34-C34)*1440</f>
        <v>14</v>
      </c>
      <c r="AJ34" s="103">
        <f t="shared" si="4"/>
        <v>0</v>
      </c>
      <c r="AK34" s="104">
        <f t="shared" si="5"/>
        <v>0</v>
      </c>
      <c r="AL34" s="142"/>
    </row>
    <row r="35" ht="13.5" customHeight="1">
      <c r="A35" s="127"/>
      <c r="B35" s="141" t="s">
        <v>98</v>
      </c>
      <c r="C35" s="223">
        <v>0.7868055555555542</v>
      </c>
      <c r="D35" s="223">
        <v>0.7965277777777764</v>
      </c>
      <c r="E35" s="271">
        <v>9.0</v>
      </c>
      <c r="F35" s="230">
        <v>0.8027777777777764</v>
      </c>
      <c r="G35" s="223">
        <v>0.806944444444443</v>
      </c>
      <c r="H35" s="271">
        <v>0.0</v>
      </c>
      <c r="I35" s="223">
        <v>0.806944444444443</v>
      </c>
      <c r="J35" s="223">
        <v>0.8159722222222208</v>
      </c>
      <c r="K35" s="223">
        <v>0.8229166666666652</v>
      </c>
      <c r="L35" s="271">
        <v>1.0</v>
      </c>
      <c r="M35" s="223">
        <v>0.8236111111111096</v>
      </c>
      <c r="N35" s="223">
        <v>0.8319444444444429</v>
      </c>
      <c r="O35" s="223">
        <v>0.8381944444444429</v>
      </c>
      <c r="P35" s="271">
        <v>5.0</v>
      </c>
      <c r="Q35" s="223">
        <v>0.8416666666666651</v>
      </c>
      <c r="R35" s="223">
        <v>0.8458333333333318</v>
      </c>
      <c r="S35" s="271">
        <v>7.0</v>
      </c>
      <c r="T35" s="223">
        <v>0.8506944444444429</v>
      </c>
      <c r="U35" s="223">
        <v>0.8569444444444428</v>
      </c>
      <c r="V35" s="223">
        <v>0.8590277777777762</v>
      </c>
      <c r="W35" s="271">
        <v>2.0</v>
      </c>
      <c r="X35" s="223">
        <v>0.860416666666665</v>
      </c>
      <c r="Y35" s="223"/>
      <c r="Z35" s="223">
        <v>0.866666666666665</v>
      </c>
      <c r="AA35" s="223">
        <v>0.8722222222222206</v>
      </c>
      <c r="AB35" s="271">
        <v>5.0</v>
      </c>
      <c r="AC35" s="223">
        <v>0.8756944444444428</v>
      </c>
      <c r="AD35" s="223">
        <v>0.8840277777777761</v>
      </c>
      <c r="AE35" s="271">
        <v>10.0</v>
      </c>
      <c r="AF35" s="223">
        <v>0.8909722222222205</v>
      </c>
      <c r="AG35" s="223"/>
      <c r="AH35" s="103">
        <f t="shared" si="2"/>
        <v>111</v>
      </c>
      <c r="AI35" s="103">
        <f>(AF35-C35)*1440</f>
        <v>150</v>
      </c>
      <c r="AJ35" s="103">
        <f t="shared" si="4"/>
        <v>39</v>
      </c>
      <c r="AK35" s="104">
        <f t="shared" si="5"/>
        <v>0.3513513514</v>
      </c>
      <c r="AL35" s="142">
        <f>(AF35-AF33)*1440</f>
        <v>60</v>
      </c>
    </row>
    <row r="36" ht="13.5" customHeight="1">
      <c r="A36" s="127"/>
      <c r="B36" s="141" t="s">
        <v>98</v>
      </c>
      <c r="C36" s="223">
        <v>0.8076388888888875</v>
      </c>
      <c r="D36" s="223">
        <v>0.8173611111111097</v>
      </c>
      <c r="E36" s="271"/>
      <c r="F36" s="231"/>
      <c r="G36" s="223"/>
      <c r="H36" s="271"/>
      <c r="I36" s="223"/>
      <c r="J36" s="223"/>
      <c r="K36" s="223"/>
      <c r="L36" s="271"/>
      <c r="M36" s="223"/>
      <c r="N36" s="223"/>
      <c r="O36" s="223"/>
      <c r="P36" s="271"/>
      <c r="Q36" s="223"/>
      <c r="R36" s="223"/>
      <c r="S36" s="271"/>
      <c r="T36" s="223"/>
      <c r="U36" s="223"/>
      <c r="V36" s="223"/>
      <c r="W36" s="271"/>
      <c r="X36" s="223"/>
      <c r="Y36" s="223"/>
      <c r="Z36" s="223"/>
      <c r="AA36" s="223"/>
      <c r="AB36" s="271"/>
      <c r="AC36" s="223"/>
      <c r="AD36" s="223"/>
      <c r="AE36" s="271"/>
      <c r="AF36" s="223"/>
      <c r="AG36" s="223"/>
      <c r="AH36" s="103">
        <f t="shared" si="2"/>
        <v>14</v>
      </c>
      <c r="AI36" s="103">
        <f>(D36-C36)*1440</f>
        <v>14</v>
      </c>
      <c r="AJ36" s="103">
        <f t="shared" si="4"/>
        <v>0</v>
      </c>
      <c r="AK36" s="104">
        <f t="shared" si="5"/>
        <v>0</v>
      </c>
      <c r="AL36" s="142"/>
    </row>
    <row r="37" ht="13.5" customHeight="1">
      <c r="A37" s="127"/>
      <c r="B37" s="141" t="s">
        <v>98</v>
      </c>
      <c r="C37" s="223">
        <v>0.8493055555555541</v>
      </c>
      <c r="D37" s="223">
        <v>0.8590277777777763</v>
      </c>
      <c r="E37" s="271">
        <v>5.0</v>
      </c>
      <c r="F37" s="232">
        <v>0.8416666666666653</v>
      </c>
      <c r="G37" s="223">
        <v>0.845833333333332</v>
      </c>
      <c r="H37" s="271">
        <v>2.0</v>
      </c>
      <c r="I37" s="223">
        <v>0.8472222222222209</v>
      </c>
      <c r="J37" s="223">
        <v>0.8562499999999986</v>
      </c>
      <c r="K37" s="223">
        <v>0.863194444444443</v>
      </c>
      <c r="L37" s="271">
        <v>3.0</v>
      </c>
      <c r="M37" s="223">
        <v>0.8652777777777764</v>
      </c>
      <c r="N37" s="223">
        <v>0.8736111111111097</v>
      </c>
      <c r="O37" s="223">
        <v>0.8798611111111097</v>
      </c>
      <c r="P37" s="271">
        <v>2.0</v>
      </c>
      <c r="Q37" s="223">
        <v>0.8812499999999985</v>
      </c>
      <c r="R37" s="223">
        <v>0.8854166666666652</v>
      </c>
      <c r="S37" s="271">
        <v>5.0</v>
      </c>
      <c r="T37" s="223">
        <v>0.8888888888888874</v>
      </c>
      <c r="U37" s="223">
        <v>0.8951388888888874</v>
      </c>
      <c r="V37" s="223">
        <v>0.8972222222222207</v>
      </c>
      <c r="W37" s="271">
        <v>2.0</v>
      </c>
      <c r="X37" s="223">
        <v>0.8986111111111096</v>
      </c>
      <c r="Y37" s="223"/>
      <c r="Z37" s="223">
        <v>0.9048611111111096</v>
      </c>
      <c r="AA37" s="223">
        <v>0.9104166666666651</v>
      </c>
      <c r="AB37" s="271">
        <v>5.0</v>
      </c>
      <c r="AC37" s="223">
        <v>0.9138888888888873</v>
      </c>
      <c r="AD37" s="223">
        <v>0.9222222222222206</v>
      </c>
      <c r="AE37" s="271">
        <v>15.0</v>
      </c>
      <c r="AF37" s="223">
        <v>0.9326388888888872</v>
      </c>
      <c r="AG37" s="223"/>
      <c r="AH37" s="103">
        <f t="shared" si="2"/>
        <v>111</v>
      </c>
      <c r="AI37" s="103">
        <f t="shared" ref="AI37:AI39" si="10">(AF37-F37)*1440+(D37-C37)*1440+E37</f>
        <v>150</v>
      </c>
      <c r="AJ37" s="103">
        <f t="shared" si="4"/>
        <v>39</v>
      </c>
      <c r="AK37" s="104">
        <f t="shared" si="5"/>
        <v>0.3513513514</v>
      </c>
      <c r="AL37" s="142">
        <f>(AF37-AF35)*1440</f>
        <v>60</v>
      </c>
    </row>
    <row r="38" ht="13.5" customHeight="1">
      <c r="A38" s="127"/>
      <c r="B38" s="141" t="s">
        <v>98</v>
      </c>
      <c r="C38" s="223">
        <v>0.8909722222222205</v>
      </c>
      <c r="D38" s="223">
        <v>0.9006944444444427</v>
      </c>
      <c r="E38" s="271">
        <v>5.0</v>
      </c>
      <c r="F38" s="232">
        <v>0.8833333333333316</v>
      </c>
      <c r="G38" s="223">
        <v>0.8874999999999983</v>
      </c>
      <c r="H38" s="271">
        <v>2.0</v>
      </c>
      <c r="I38" s="223">
        <v>0.8888888888888872</v>
      </c>
      <c r="J38" s="223">
        <v>0.8979166666666649</v>
      </c>
      <c r="K38" s="223">
        <v>0.9048611111111093</v>
      </c>
      <c r="L38" s="271">
        <v>3.0</v>
      </c>
      <c r="M38" s="223">
        <v>0.9069444444444427</v>
      </c>
      <c r="N38" s="223">
        <v>0.915277777777776</v>
      </c>
      <c r="O38" s="223">
        <v>0.921527777777776</v>
      </c>
      <c r="P38" s="271">
        <v>2.0</v>
      </c>
      <c r="Q38" s="223">
        <v>0.9229166666666648</v>
      </c>
      <c r="R38" s="223">
        <v>0.9270833333333315</v>
      </c>
      <c r="S38" s="271">
        <v>5.0</v>
      </c>
      <c r="T38" s="223">
        <v>0.9305555555555537</v>
      </c>
      <c r="U38" s="223">
        <v>0.9368055555555537</v>
      </c>
      <c r="V38" s="223">
        <v>0.938888888888887</v>
      </c>
      <c r="W38" s="271">
        <v>2.0</v>
      </c>
      <c r="X38" s="223">
        <v>0.9402777777777759</v>
      </c>
      <c r="Y38" s="223"/>
      <c r="Z38" s="223">
        <v>0.9465277777777759</v>
      </c>
      <c r="AA38" s="223">
        <v>0.9520833333333314</v>
      </c>
      <c r="AB38" s="271">
        <v>5.0</v>
      </c>
      <c r="AC38" s="223">
        <v>0.9555555555555536</v>
      </c>
      <c r="AD38" s="223">
        <v>0.9638888888888869</v>
      </c>
      <c r="AE38" s="271">
        <v>15.0</v>
      </c>
      <c r="AF38" s="223">
        <v>0.9743055555555535</v>
      </c>
      <c r="AG38" s="223"/>
      <c r="AH38" s="103">
        <f t="shared" si="2"/>
        <v>111</v>
      </c>
      <c r="AI38" s="103">
        <f t="shared" si="10"/>
        <v>150</v>
      </c>
      <c r="AJ38" s="103">
        <f t="shared" si="4"/>
        <v>39</v>
      </c>
      <c r="AK38" s="104">
        <f t="shared" si="5"/>
        <v>0.3513513514</v>
      </c>
      <c r="AL38" s="142">
        <f t="shared" ref="AL38:AL39" si="11">(AF38-AF37)*1440</f>
        <v>60</v>
      </c>
    </row>
    <row r="39" ht="13.5" customHeight="1">
      <c r="A39" s="127"/>
      <c r="B39" s="141" t="s">
        <v>98</v>
      </c>
      <c r="C39" s="223">
        <v>0.9326388888888872</v>
      </c>
      <c r="D39" s="223">
        <v>0.9423611111111094</v>
      </c>
      <c r="E39" s="271">
        <v>5.0</v>
      </c>
      <c r="F39" s="232">
        <v>0.9249999999999983</v>
      </c>
      <c r="G39" s="223">
        <v>0.9291666666666649</v>
      </c>
      <c r="H39" s="271">
        <v>2.0</v>
      </c>
      <c r="I39" s="223">
        <v>0.9305555555555538</v>
      </c>
      <c r="J39" s="223">
        <v>0.9395833333333315</v>
      </c>
      <c r="K39" s="223">
        <v>0.946527777777776</v>
      </c>
      <c r="L39" s="271">
        <v>3.0</v>
      </c>
      <c r="M39" s="223">
        <v>0.9486111111111093</v>
      </c>
      <c r="N39" s="223">
        <v>0.9569444444444426</v>
      </c>
      <c r="O39" s="223">
        <v>0.9631944444444426</v>
      </c>
      <c r="P39" s="271">
        <v>2.0</v>
      </c>
      <c r="Q39" s="223">
        <v>0.9645833333333315</v>
      </c>
      <c r="R39" s="223">
        <v>0.9687499999999981</v>
      </c>
      <c r="S39" s="271">
        <v>5.0</v>
      </c>
      <c r="T39" s="223">
        <v>0.9722222222222203</v>
      </c>
      <c r="U39" s="223">
        <v>0.9784722222222203</v>
      </c>
      <c r="V39" s="223">
        <v>0.9805555555555536</v>
      </c>
      <c r="W39" s="271">
        <v>2.0</v>
      </c>
      <c r="X39" s="223">
        <v>0.9819444444444425</v>
      </c>
      <c r="Y39" s="223"/>
      <c r="Z39" s="223">
        <v>0.9881944444444425</v>
      </c>
      <c r="AA39" s="223">
        <v>0.993749999999998</v>
      </c>
      <c r="AB39" s="271">
        <v>5.0</v>
      </c>
      <c r="AC39" s="223">
        <v>0.9972222222222202</v>
      </c>
      <c r="AD39" s="223">
        <v>1.0055555555555535</v>
      </c>
      <c r="AE39" s="271">
        <v>15.0</v>
      </c>
      <c r="AF39" s="223">
        <v>1.0159722222222203</v>
      </c>
      <c r="AG39" s="223"/>
      <c r="AH39" s="103">
        <f t="shared" si="2"/>
        <v>111</v>
      </c>
      <c r="AI39" s="103">
        <f t="shared" si="10"/>
        <v>150</v>
      </c>
      <c r="AJ39" s="103">
        <f t="shared" si="4"/>
        <v>39</v>
      </c>
      <c r="AK39" s="104">
        <f t="shared" si="5"/>
        <v>0.3513513514</v>
      </c>
      <c r="AL39" s="142">
        <f t="shared" si="11"/>
        <v>60</v>
      </c>
    </row>
    <row r="40" ht="13.5" customHeight="1">
      <c r="A40" s="127"/>
      <c r="B40" s="141" t="s">
        <v>98</v>
      </c>
      <c r="C40" s="223">
        <v>0.9743055555555535</v>
      </c>
      <c r="D40" s="223">
        <v>0.9840277777777757</v>
      </c>
      <c r="E40" s="271">
        <v>9.0</v>
      </c>
      <c r="F40" s="232">
        <v>0.9666666666666648</v>
      </c>
      <c r="G40" s="223">
        <v>0.9708333333333314</v>
      </c>
      <c r="H40" s="271">
        <v>2.0</v>
      </c>
      <c r="I40" s="223">
        <v>0.9722222222222203</v>
      </c>
      <c r="J40" s="223">
        <v>0.9812499999999981</v>
      </c>
      <c r="K40" s="223">
        <v>0.9881944444444425</v>
      </c>
      <c r="L40" s="271">
        <v>3.0</v>
      </c>
      <c r="M40" s="223">
        <v>0.9902777777777758</v>
      </c>
      <c r="N40" s="223">
        <v>0.9986111111111091</v>
      </c>
      <c r="O40" s="223">
        <v>1.0048611111111092</v>
      </c>
      <c r="P40" s="271">
        <v>2.0</v>
      </c>
      <c r="Q40" s="223">
        <v>1.006249999999998</v>
      </c>
      <c r="R40" s="223">
        <v>1.0104166666666647</v>
      </c>
      <c r="S40" s="271"/>
      <c r="T40" s="231"/>
      <c r="U40" s="223"/>
      <c r="V40" s="223"/>
      <c r="W40" s="271"/>
      <c r="X40" s="223"/>
      <c r="Y40" s="223"/>
      <c r="Z40" s="223"/>
      <c r="AA40" s="223"/>
      <c r="AB40" s="271"/>
      <c r="AC40" s="223"/>
      <c r="AD40" s="223"/>
      <c r="AE40" s="271"/>
      <c r="AF40" s="223"/>
      <c r="AG40" s="223"/>
      <c r="AH40" s="103">
        <f t="shared" si="2"/>
        <v>70</v>
      </c>
      <c r="AI40" s="103">
        <f>(R40-F40)*1440+(D40-C40)*1440+E40</f>
        <v>86</v>
      </c>
      <c r="AJ40" s="103">
        <f t="shared" si="4"/>
        <v>16</v>
      </c>
      <c r="AK40" s="104">
        <f t="shared" si="5"/>
        <v>0.2285714286</v>
      </c>
      <c r="AL40" s="142">
        <f>(R40-R39)*1440</f>
        <v>60</v>
      </c>
    </row>
    <row r="41" ht="13.5" customHeight="1">
      <c r="A41" s="127"/>
      <c r="B41" s="141" t="s">
        <v>98</v>
      </c>
      <c r="C41" s="223">
        <v>1.0159722222222203</v>
      </c>
      <c r="D41" s="223">
        <v>1.0256944444444425</v>
      </c>
      <c r="E41" s="271">
        <v>5.0</v>
      </c>
      <c r="F41" s="272"/>
      <c r="G41" s="223"/>
      <c r="H41" s="271"/>
      <c r="I41" s="223"/>
      <c r="J41" s="223"/>
      <c r="K41" s="223"/>
      <c r="L41" s="271"/>
      <c r="M41" s="223"/>
      <c r="N41" s="223"/>
      <c r="O41" s="223"/>
      <c r="P41" s="271"/>
      <c r="Q41" s="223"/>
      <c r="R41" s="223"/>
      <c r="S41" s="271"/>
      <c r="T41" s="223"/>
      <c r="U41" s="223"/>
      <c r="V41" s="223"/>
      <c r="W41" s="271"/>
      <c r="X41" s="223"/>
      <c r="Y41" s="223"/>
      <c r="Z41" s="223"/>
      <c r="AA41" s="223"/>
      <c r="AB41" s="271"/>
      <c r="AC41" s="223"/>
      <c r="AD41" s="223"/>
      <c r="AE41" s="271"/>
      <c r="AF41" s="223"/>
      <c r="AG41" s="223"/>
      <c r="AH41" s="103">
        <f t="shared" si="2"/>
        <v>14</v>
      </c>
      <c r="AI41" s="103">
        <f>(G41-F41)*1440+(D41-C41)*1440+E41</f>
        <v>19</v>
      </c>
      <c r="AJ41" s="103">
        <f t="shared" si="4"/>
        <v>5</v>
      </c>
      <c r="AK41" s="104">
        <f t="shared" si="5"/>
        <v>0.3571428571</v>
      </c>
      <c r="AL41" s="142">
        <f>(D41-D40)*1440</f>
        <v>60</v>
      </c>
    </row>
    <row r="42" ht="13.5" customHeight="1">
      <c r="A42" s="156"/>
      <c r="Q42" s="273" t="s">
        <v>154</v>
      </c>
      <c r="AA42" s="110" t="s">
        <v>81</v>
      </c>
      <c r="AD42" s="110"/>
      <c r="AE42" s="271">
        <v>10.0</v>
      </c>
      <c r="AF42" s="110"/>
      <c r="AG42" s="110"/>
      <c r="AH42" s="157">
        <f t="shared" ref="AH42:AJ42" si="12">SUM(AH5:AH41)/60</f>
        <v>62.5</v>
      </c>
      <c r="AI42" s="164">
        <f t="shared" si="12"/>
        <v>79.43333333</v>
      </c>
      <c r="AJ42" s="159">
        <f t="shared" si="12"/>
        <v>16.93333333</v>
      </c>
      <c r="AK42" s="104">
        <f t="shared" si="5"/>
        <v>0.2709333333</v>
      </c>
    </row>
    <row r="43" ht="13.5" customHeight="1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</row>
    <row r="44" ht="33.0" customHeight="1">
      <c r="A44" s="209" t="s">
        <v>82</v>
      </c>
    </row>
    <row r="45" ht="21.0" customHeight="1">
      <c r="A45" s="127"/>
      <c r="C45" s="243" t="s">
        <v>139</v>
      </c>
      <c r="D45" s="2"/>
      <c r="E45" s="2"/>
      <c r="F45" s="2"/>
      <c r="G45" s="2"/>
      <c r="H45" s="2"/>
      <c r="I45" s="2"/>
      <c r="J45" s="2"/>
      <c r="K45" s="2"/>
      <c r="L45" s="244"/>
      <c r="M45" s="245" t="s">
        <v>141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246"/>
      <c r="AE45" s="246"/>
      <c r="AF45" s="246"/>
      <c r="AG45" s="246"/>
    </row>
    <row r="46" ht="14.25" customHeight="1">
      <c r="A46" s="127"/>
      <c r="C46" s="247" t="s">
        <v>62</v>
      </c>
      <c r="D46" s="247" t="s">
        <v>85</v>
      </c>
      <c r="E46" s="248" t="s">
        <v>69</v>
      </c>
      <c r="F46" s="249" t="s">
        <v>62</v>
      </c>
      <c r="G46" s="247" t="s">
        <v>85</v>
      </c>
      <c r="H46" s="216"/>
      <c r="I46" s="247" t="s">
        <v>62</v>
      </c>
      <c r="J46" s="250"/>
      <c r="K46" s="251" t="s">
        <v>85</v>
      </c>
      <c r="L46" s="252"/>
      <c r="M46" s="247" t="s">
        <v>62</v>
      </c>
      <c r="N46" s="247"/>
      <c r="O46" s="247" t="s">
        <v>85</v>
      </c>
      <c r="P46" s="216"/>
      <c r="Q46" s="247" t="s">
        <v>62</v>
      </c>
      <c r="R46" s="247" t="s">
        <v>85</v>
      </c>
      <c r="S46" s="216"/>
      <c r="T46" s="247" t="s">
        <v>62</v>
      </c>
      <c r="U46" s="253"/>
      <c r="V46" s="247" t="s">
        <v>85</v>
      </c>
      <c r="W46" s="216"/>
      <c r="X46" s="247" t="s">
        <v>62</v>
      </c>
      <c r="Y46" s="254"/>
      <c r="Z46" s="254"/>
      <c r="AA46" s="247" t="s">
        <v>85</v>
      </c>
      <c r="AB46" s="255"/>
      <c r="AC46" s="249" t="s">
        <v>62</v>
      </c>
      <c r="AD46" s="247" t="s">
        <v>85</v>
      </c>
      <c r="AE46" s="248" t="s">
        <v>69</v>
      </c>
      <c r="AF46" s="249" t="s">
        <v>62</v>
      </c>
      <c r="AG46" s="253"/>
    </row>
    <row r="47" ht="28.5" customHeight="1">
      <c r="A47" s="127"/>
      <c r="B47" s="89" t="s">
        <v>63</v>
      </c>
      <c r="C47" s="256" t="s">
        <v>127</v>
      </c>
      <c r="D47" s="256" t="s">
        <v>132</v>
      </c>
      <c r="E47" s="200"/>
      <c r="F47" s="256" t="s">
        <v>132</v>
      </c>
      <c r="G47" s="257" t="s">
        <v>146</v>
      </c>
      <c r="H47" s="258"/>
      <c r="I47" s="257" t="s">
        <v>146</v>
      </c>
      <c r="J47" s="259" t="s">
        <v>87</v>
      </c>
      <c r="K47" s="260" t="s">
        <v>70</v>
      </c>
      <c r="L47" s="261"/>
      <c r="M47" s="256" t="s">
        <v>70</v>
      </c>
      <c r="N47" s="256" t="s">
        <v>147</v>
      </c>
      <c r="O47" s="257" t="s">
        <v>86</v>
      </c>
      <c r="P47" s="258"/>
      <c r="Q47" s="257" t="s">
        <v>86</v>
      </c>
      <c r="R47" s="256" t="s">
        <v>132</v>
      </c>
      <c r="S47" s="259"/>
      <c r="T47" s="256" t="s">
        <v>132</v>
      </c>
      <c r="U47" s="259" t="s">
        <v>148</v>
      </c>
      <c r="V47" s="262" t="s">
        <v>149</v>
      </c>
      <c r="W47" s="259"/>
      <c r="X47" s="262" t="s">
        <v>149</v>
      </c>
      <c r="Y47" s="256" t="s">
        <v>150</v>
      </c>
      <c r="Z47" s="256" t="s">
        <v>151</v>
      </c>
      <c r="AA47" s="256" t="s">
        <v>64</v>
      </c>
      <c r="AB47" s="263"/>
      <c r="AC47" s="264" t="s">
        <v>64</v>
      </c>
      <c r="AD47" s="256" t="s">
        <v>127</v>
      </c>
      <c r="AE47" s="200"/>
      <c r="AF47" s="264" t="s">
        <v>127</v>
      </c>
      <c r="AG47" s="265"/>
    </row>
    <row r="48" ht="14.25" customHeight="1">
      <c r="A48" s="127"/>
      <c r="B48" s="93" t="s">
        <v>72</v>
      </c>
      <c r="C48" s="266">
        <v>725.0</v>
      </c>
      <c r="D48" s="267">
        <v>732.0</v>
      </c>
      <c r="E48" s="175"/>
      <c r="F48" s="267">
        <v>732.0</v>
      </c>
      <c r="G48" s="268" t="s">
        <v>135</v>
      </c>
      <c r="H48" s="269" t="s">
        <v>69</v>
      </c>
      <c r="I48" s="268" t="s">
        <v>135</v>
      </c>
      <c r="J48" s="267">
        <v>441.0</v>
      </c>
      <c r="K48" s="267">
        <v>330.0</v>
      </c>
      <c r="L48" s="269" t="s">
        <v>69</v>
      </c>
      <c r="M48" s="267">
        <v>330.0</v>
      </c>
      <c r="N48" s="267">
        <v>959.0</v>
      </c>
      <c r="O48" s="268">
        <v>1.0</v>
      </c>
      <c r="P48" s="269" t="s">
        <v>69</v>
      </c>
      <c r="Q48" s="267">
        <v>1.0</v>
      </c>
      <c r="R48" s="267">
        <v>310.0</v>
      </c>
      <c r="S48" s="269" t="s">
        <v>69</v>
      </c>
      <c r="T48" s="267">
        <v>310.0</v>
      </c>
      <c r="U48" s="267"/>
      <c r="V48" s="267">
        <v>487.0</v>
      </c>
      <c r="W48" s="269" t="s">
        <v>69</v>
      </c>
      <c r="X48" s="267">
        <v>487.0</v>
      </c>
      <c r="Y48" s="267"/>
      <c r="Z48" s="267">
        <v>870.0</v>
      </c>
      <c r="AA48" s="267">
        <v>777.0</v>
      </c>
      <c r="AB48" s="269" t="s">
        <v>69</v>
      </c>
      <c r="AC48" s="270">
        <v>777.0</v>
      </c>
      <c r="AD48" s="267">
        <v>725.0</v>
      </c>
      <c r="AE48" s="175"/>
      <c r="AF48" s="267">
        <v>725.0</v>
      </c>
      <c r="AG48" s="253"/>
      <c r="AH48" s="139" t="s">
        <v>73</v>
      </c>
      <c r="AI48" s="139" t="s">
        <v>74</v>
      </c>
      <c r="AJ48" s="139" t="s">
        <v>69</v>
      </c>
      <c r="AK48" s="139" t="s">
        <v>121</v>
      </c>
      <c r="AL48" s="140" t="s">
        <v>76</v>
      </c>
      <c r="AO48" s="39" t="s">
        <v>142</v>
      </c>
      <c r="AP48" s="39" t="s">
        <v>143</v>
      </c>
      <c r="AQ48" s="39" t="s">
        <v>144</v>
      </c>
      <c r="AR48" s="39" t="s">
        <v>145</v>
      </c>
    </row>
    <row r="49" ht="15.0" customHeight="1">
      <c r="A49" s="127"/>
      <c r="B49" s="141" t="s">
        <v>89</v>
      </c>
      <c r="C49" s="223"/>
      <c r="D49" s="223"/>
      <c r="E49" s="271"/>
      <c r="F49" s="223"/>
      <c r="G49" s="223"/>
      <c r="H49" s="271"/>
      <c r="I49" s="223"/>
      <c r="J49" s="223"/>
      <c r="K49" s="223"/>
      <c r="L49" s="271"/>
      <c r="M49" s="223"/>
      <c r="N49" s="223"/>
      <c r="O49" s="223"/>
      <c r="P49" s="271"/>
      <c r="Q49" s="225">
        <v>0.2777777777777778</v>
      </c>
      <c r="R49" s="223">
        <v>0.28125</v>
      </c>
      <c r="S49" s="271">
        <v>5.0</v>
      </c>
      <c r="T49" s="223">
        <v>0.2847222222222222</v>
      </c>
      <c r="U49" s="223">
        <v>0.2909722222222222</v>
      </c>
      <c r="V49" s="223">
        <v>0.2930555555555555</v>
      </c>
      <c r="W49" s="271">
        <v>2.0</v>
      </c>
      <c r="X49" s="223">
        <v>0.2944444444444444</v>
      </c>
      <c r="Y49" s="223"/>
      <c r="Z49" s="223">
        <v>0.3006944444444444</v>
      </c>
      <c r="AA49" s="223">
        <v>0.3062499999999999</v>
      </c>
      <c r="AB49" s="271">
        <v>5.0</v>
      </c>
      <c r="AC49" s="223">
        <v>0.3097222222222221</v>
      </c>
      <c r="AD49" s="223">
        <v>0.3180555555555555</v>
      </c>
      <c r="AE49" s="271">
        <v>15.0</v>
      </c>
      <c r="AF49" s="223">
        <v>0.32847222222222217</v>
      </c>
      <c r="AG49" s="223"/>
      <c r="AH49" s="103">
        <f t="shared" ref="AH49:AH82" si="13">AI49-AJ49</f>
        <v>46</v>
      </c>
      <c r="AI49" s="103">
        <f t="shared" ref="AI49:AI50" si="14">(AF49-Q49)*1440</f>
        <v>73</v>
      </c>
      <c r="AJ49" s="103">
        <f t="shared" ref="AJ49:AJ82" si="15">AB49+W49+P49+L49+H49+AE49+S49+E49</f>
        <v>27</v>
      </c>
      <c r="AK49" s="104">
        <f t="shared" ref="AK49:AK83" si="16">AJ49/AH49</f>
        <v>0.5869565217</v>
      </c>
      <c r="AL49" s="142"/>
      <c r="AO49" s="203"/>
      <c r="AP49" s="203">
        <f t="shared" ref="AP49:AP52" si="17">(D49-D5)*1440</f>
        <v>0</v>
      </c>
      <c r="AQ49" s="203">
        <f t="shared" ref="AQ49:AQ82" si="18">(R49-R8)*1440</f>
        <v>0</v>
      </c>
      <c r="AR49" s="203">
        <f t="shared" ref="AR49:AR84" si="19">(AF49-AF8)*1440</f>
        <v>0</v>
      </c>
    </row>
    <row r="50" ht="15.0" customHeight="1">
      <c r="A50" s="127"/>
      <c r="B50" s="141" t="s">
        <v>89</v>
      </c>
      <c r="C50" s="223"/>
      <c r="D50" s="223"/>
      <c r="E50" s="271"/>
      <c r="F50" s="223"/>
      <c r="G50" s="223"/>
      <c r="H50" s="271"/>
      <c r="I50" s="223"/>
      <c r="J50" s="223"/>
      <c r="K50" s="223"/>
      <c r="L50" s="271"/>
      <c r="M50" s="223"/>
      <c r="N50" s="223"/>
      <c r="O50" s="223"/>
      <c r="P50" s="271"/>
      <c r="Q50" s="225">
        <v>0.2986111111111111</v>
      </c>
      <c r="R50" s="223">
        <v>0.3020833333333333</v>
      </c>
      <c r="S50" s="271">
        <v>5.0</v>
      </c>
      <c r="T50" s="223">
        <v>0.3055555555555555</v>
      </c>
      <c r="U50" s="223">
        <v>0.3118055555555555</v>
      </c>
      <c r="V50" s="223">
        <v>0.31388888888888883</v>
      </c>
      <c r="W50" s="271">
        <v>2.0</v>
      </c>
      <c r="X50" s="223">
        <v>0.3152777777777777</v>
      </c>
      <c r="Y50" s="223">
        <v>0.3187499999999999</v>
      </c>
      <c r="Z50" s="223">
        <v>0.3215277777777777</v>
      </c>
      <c r="AA50" s="223">
        <v>0.3270833333333332</v>
      </c>
      <c r="AB50" s="271">
        <v>5.0</v>
      </c>
      <c r="AC50" s="223">
        <v>0.33055555555555544</v>
      </c>
      <c r="AD50" s="223">
        <v>0.3388888888888888</v>
      </c>
      <c r="AE50" s="271">
        <v>15.0</v>
      </c>
      <c r="AF50" s="223">
        <v>0.3493055555555555</v>
      </c>
      <c r="AG50" s="223"/>
      <c r="AH50" s="103">
        <f t="shared" si="13"/>
        <v>46</v>
      </c>
      <c r="AI50" s="103">
        <f t="shared" si="14"/>
        <v>73</v>
      </c>
      <c r="AJ50" s="103">
        <f t="shared" si="15"/>
        <v>27</v>
      </c>
      <c r="AK50" s="104">
        <f t="shared" si="16"/>
        <v>0.5869565217</v>
      </c>
      <c r="AL50" s="142">
        <f t="shared" ref="AL50:AL72" si="20">(AF50-AF49)*1440</f>
        <v>30</v>
      </c>
      <c r="AO50" s="203"/>
      <c r="AP50" s="203">
        <f t="shared" si="17"/>
        <v>0</v>
      </c>
      <c r="AQ50" s="203">
        <f t="shared" si="18"/>
        <v>0</v>
      </c>
      <c r="AR50" s="203">
        <f t="shared" si="19"/>
        <v>0</v>
      </c>
    </row>
    <row r="51" ht="15.0" customHeight="1">
      <c r="A51" s="127"/>
      <c r="B51" s="141" t="s">
        <v>89</v>
      </c>
      <c r="C51" s="223"/>
      <c r="D51" s="223"/>
      <c r="E51" s="271"/>
      <c r="F51" s="225">
        <v>0.2791666666666667</v>
      </c>
      <c r="G51" s="223">
        <v>0.2833333333333333</v>
      </c>
      <c r="H51" s="271">
        <v>2.0</v>
      </c>
      <c r="I51" s="223">
        <v>0.2847222222222222</v>
      </c>
      <c r="J51" s="223">
        <v>0.29375</v>
      </c>
      <c r="K51" s="223">
        <v>0.30069444444444443</v>
      </c>
      <c r="L51" s="271">
        <v>1.0</v>
      </c>
      <c r="M51" s="223">
        <v>0.3013888888888889</v>
      </c>
      <c r="N51" s="223">
        <v>0.3104166666666667</v>
      </c>
      <c r="O51" s="223">
        <v>0.31666666666666665</v>
      </c>
      <c r="P51" s="271">
        <v>4.0</v>
      </c>
      <c r="Q51" s="223">
        <v>0.3194444444444444</v>
      </c>
      <c r="R51" s="223">
        <v>0.32291666666666663</v>
      </c>
      <c r="S51" s="271">
        <v>5.0</v>
      </c>
      <c r="T51" s="223">
        <v>0.32638888888888884</v>
      </c>
      <c r="U51" s="223">
        <v>0.3326388888888888</v>
      </c>
      <c r="V51" s="223">
        <v>0.33472222222222214</v>
      </c>
      <c r="W51" s="271">
        <v>2.0</v>
      </c>
      <c r="X51" s="223">
        <v>0.336111111111111</v>
      </c>
      <c r="Y51" s="223"/>
      <c r="Z51" s="223">
        <v>0.342361111111111</v>
      </c>
      <c r="AA51" s="223">
        <v>0.34791666666666654</v>
      </c>
      <c r="AB51" s="271">
        <v>5.0</v>
      </c>
      <c r="AC51" s="223">
        <v>0.35138888888888875</v>
      </c>
      <c r="AD51" s="223">
        <v>0.3597222222222221</v>
      </c>
      <c r="AE51" s="271">
        <v>14.0</v>
      </c>
      <c r="AF51" s="223">
        <v>0.36944444444444435</v>
      </c>
      <c r="AG51" s="223"/>
      <c r="AH51" s="103">
        <f t="shared" si="13"/>
        <v>89</v>
      </c>
      <c r="AI51" s="103">
        <f t="shared" ref="AI51:AI54" si="21">(AF51-I51)*1440</f>
        <v>122</v>
      </c>
      <c r="AJ51" s="103">
        <f t="shared" si="15"/>
        <v>33</v>
      </c>
      <c r="AK51" s="104">
        <f t="shared" si="16"/>
        <v>0.3707865169</v>
      </c>
      <c r="AL51" s="142">
        <f t="shared" si="20"/>
        <v>29</v>
      </c>
      <c r="AO51" s="203"/>
      <c r="AP51" s="203">
        <f t="shared" si="17"/>
        <v>0</v>
      </c>
      <c r="AQ51" s="203">
        <f t="shared" si="18"/>
        <v>0</v>
      </c>
      <c r="AR51" s="203">
        <f t="shared" si="19"/>
        <v>0</v>
      </c>
    </row>
    <row r="52" ht="15.0" customHeight="1">
      <c r="A52" s="127"/>
      <c r="B52" s="141" t="s">
        <v>77</v>
      </c>
      <c r="C52" s="223"/>
      <c r="D52" s="223"/>
      <c r="E52" s="271"/>
      <c r="F52" s="225">
        <v>0.3</v>
      </c>
      <c r="G52" s="223">
        <v>0.30416666666666664</v>
      </c>
      <c r="H52" s="271">
        <v>1.0</v>
      </c>
      <c r="I52" s="223">
        <v>0.3048611111111111</v>
      </c>
      <c r="J52" s="223">
        <v>0.3138888888888889</v>
      </c>
      <c r="K52" s="223">
        <v>0.32152777777777775</v>
      </c>
      <c r="L52" s="271">
        <v>1.0</v>
      </c>
      <c r="M52" s="223">
        <v>0.3222222222222222</v>
      </c>
      <c r="N52" s="223">
        <v>0.33125</v>
      </c>
      <c r="O52" s="223">
        <v>0.3381944444444444</v>
      </c>
      <c r="P52" s="271">
        <v>2.0</v>
      </c>
      <c r="Q52" s="223">
        <v>0.3395833333333333</v>
      </c>
      <c r="R52" s="223">
        <v>0.34374999999999994</v>
      </c>
      <c r="S52" s="271">
        <v>5.0</v>
      </c>
      <c r="T52" s="223">
        <v>0.34722222222222215</v>
      </c>
      <c r="U52" s="223">
        <v>0.35347222222222213</v>
      </c>
      <c r="V52" s="223">
        <v>0.35555555555555546</v>
      </c>
      <c r="W52" s="271">
        <v>2.0</v>
      </c>
      <c r="X52" s="223">
        <v>0.35694444444444434</v>
      </c>
      <c r="Y52" s="223">
        <v>0.36041666666666655</v>
      </c>
      <c r="Z52" s="223">
        <v>0.36388888888888876</v>
      </c>
      <c r="AA52" s="223">
        <v>0.37013888888888874</v>
      </c>
      <c r="AB52" s="271">
        <v>5.0</v>
      </c>
      <c r="AC52" s="223">
        <v>0.37361111111111095</v>
      </c>
      <c r="AD52" s="223">
        <v>0.3833333333333332</v>
      </c>
      <c r="AE52" s="271">
        <v>10.0</v>
      </c>
      <c r="AF52" s="223">
        <v>0.3902777777777776</v>
      </c>
      <c r="AG52" s="223"/>
      <c r="AH52" s="103">
        <f t="shared" si="13"/>
        <v>97</v>
      </c>
      <c r="AI52" s="103">
        <f t="shared" si="21"/>
        <v>123</v>
      </c>
      <c r="AJ52" s="103">
        <f t="shared" si="15"/>
        <v>26</v>
      </c>
      <c r="AK52" s="104">
        <f t="shared" si="16"/>
        <v>0.2680412371</v>
      </c>
      <c r="AL52" s="142">
        <f t="shared" si="20"/>
        <v>30</v>
      </c>
      <c r="AO52" s="203"/>
      <c r="AP52" s="203">
        <f t="shared" si="17"/>
        <v>0</v>
      </c>
      <c r="AQ52" s="203">
        <f t="shared" si="18"/>
        <v>0</v>
      </c>
      <c r="AR52" s="203">
        <f t="shared" si="19"/>
        <v>0</v>
      </c>
    </row>
    <row r="53" ht="15.0" customHeight="1">
      <c r="A53" s="127"/>
      <c r="B53" s="141" t="s">
        <v>77</v>
      </c>
      <c r="C53" s="223"/>
      <c r="D53" s="223"/>
      <c r="E53" s="271"/>
      <c r="F53" s="225">
        <v>0.3208333333333333</v>
      </c>
      <c r="G53" s="223">
        <v>0.32499999999999996</v>
      </c>
      <c r="H53" s="271">
        <v>1.0</v>
      </c>
      <c r="I53" s="223">
        <v>0.3256944444444444</v>
      </c>
      <c r="J53" s="223">
        <v>0.3347222222222222</v>
      </c>
      <c r="K53" s="223">
        <v>0.34236111111111106</v>
      </c>
      <c r="L53" s="271">
        <v>1.0</v>
      </c>
      <c r="M53" s="223">
        <v>0.3430555555555555</v>
      </c>
      <c r="N53" s="223">
        <v>0.3520833333333333</v>
      </c>
      <c r="O53" s="223">
        <v>0.3590277777777777</v>
      </c>
      <c r="P53" s="271">
        <v>2.0</v>
      </c>
      <c r="Q53" s="223">
        <v>0.3604166666666666</v>
      </c>
      <c r="R53" s="223">
        <v>0.36458333333333326</v>
      </c>
      <c r="S53" s="271">
        <v>5.0</v>
      </c>
      <c r="T53" s="223">
        <v>0.36805555555555547</v>
      </c>
      <c r="U53" s="223">
        <v>0.37430555555555545</v>
      </c>
      <c r="V53" s="223">
        <v>0.3763888888888888</v>
      </c>
      <c r="W53" s="271">
        <v>2.0</v>
      </c>
      <c r="X53" s="223">
        <v>0.37777777777777766</v>
      </c>
      <c r="Y53" s="223"/>
      <c r="Z53" s="223">
        <v>0.3847222222222221</v>
      </c>
      <c r="AA53" s="223">
        <v>0.39097222222222205</v>
      </c>
      <c r="AB53" s="271">
        <v>5.0</v>
      </c>
      <c r="AC53" s="223">
        <v>0.39444444444444426</v>
      </c>
      <c r="AD53" s="223">
        <v>0.4041666666666665</v>
      </c>
      <c r="AE53" s="271">
        <v>10.0</v>
      </c>
      <c r="AF53" s="223">
        <v>0.4111111111111109</v>
      </c>
      <c r="AG53" s="223"/>
      <c r="AH53" s="103">
        <f t="shared" si="13"/>
        <v>97</v>
      </c>
      <c r="AI53" s="103">
        <f t="shared" si="21"/>
        <v>123</v>
      </c>
      <c r="AJ53" s="103">
        <f t="shared" si="15"/>
        <v>26</v>
      </c>
      <c r="AK53" s="104">
        <f t="shared" si="16"/>
        <v>0.2680412371</v>
      </c>
      <c r="AL53" s="142">
        <f t="shared" si="20"/>
        <v>30</v>
      </c>
      <c r="AO53" s="203"/>
      <c r="AP53" s="203"/>
      <c r="AQ53" s="203">
        <f t="shared" si="18"/>
        <v>0</v>
      </c>
      <c r="AR53" s="203">
        <f t="shared" si="19"/>
        <v>0</v>
      </c>
    </row>
    <row r="54" ht="15.0" customHeight="1">
      <c r="A54" s="127"/>
      <c r="B54" s="141" t="s">
        <v>77</v>
      </c>
      <c r="C54" s="223">
        <v>0.32847222222222217</v>
      </c>
      <c r="D54" s="223">
        <v>0.3381944444444444</v>
      </c>
      <c r="E54" s="271">
        <v>5.0</v>
      </c>
      <c r="F54" s="223">
        <v>0.3416666666666666</v>
      </c>
      <c r="G54" s="223">
        <v>0.34583333333333327</v>
      </c>
      <c r="H54" s="271">
        <v>1.0</v>
      </c>
      <c r="I54" s="223">
        <v>0.3465277777777777</v>
      </c>
      <c r="J54" s="223">
        <v>0.3555555555555555</v>
      </c>
      <c r="K54" s="223">
        <v>0.3631944444444444</v>
      </c>
      <c r="L54" s="271">
        <v>1.0</v>
      </c>
      <c r="M54" s="223">
        <v>0.3638888888888888</v>
      </c>
      <c r="N54" s="223">
        <v>0.3729166666666666</v>
      </c>
      <c r="O54" s="223">
        <v>0.37986111111111104</v>
      </c>
      <c r="P54" s="271">
        <v>2.0</v>
      </c>
      <c r="Q54" s="223">
        <v>0.3812499999999999</v>
      </c>
      <c r="R54" s="223">
        <v>0.3854166666666666</v>
      </c>
      <c r="S54" s="271">
        <v>5.0</v>
      </c>
      <c r="T54" s="223">
        <v>0.3888888888888888</v>
      </c>
      <c r="U54" s="223">
        <v>0.39513888888888876</v>
      </c>
      <c r="V54" s="223">
        <v>0.3972222222222221</v>
      </c>
      <c r="W54" s="271">
        <v>0.0</v>
      </c>
      <c r="X54" s="223">
        <v>0.3972222222222221</v>
      </c>
      <c r="Y54" s="223">
        <v>0.4006944444444443</v>
      </c>
      <c r="Z54" s="223">
        <v>0.4041666666666665</v>
      </c>
      <c r="AA54" s="223">
        <v>0.4104166666666665</v>
      </c>
      <c r="AB54" s="271">
        <v>5.0</v>
      </c>
      <c r="AC54" s="223">
        <v>0.4138888888888887</v>
      </c>
      <c r="AD54" s="223">
        <v>0.42361111111111094</v>
      </c>
      <c r="AE54" s="271">
        <v>12.0</v>
      </c>
      <c r="AF54" s="223">
        <v>0.4319444444444443</v>
      </c>
      <c r="AG54" s="223"/>
      <c r="AH54" s="103">
        <f t="shared" si="13"/>
        <v>92</v>
      </c>
      <c r="AI54" s="103">
        <f t="shared" si="21"/>
        <v>123</v>
      </c>
      <c r="AJ54" s="103">
        <f t="shared" si="15"/>
        <v>31</v>
      </c>
      <c r="AK54" s="104">
        <f t="shared" si="16"/>
        <v>0.3369565217</v>
      </c>
      <c r="AL54" s="142">
        <f t="shared" si="20"/>
        <v>30</v>
      </c>
      <c r="AO54" s="203">
        <f t="shared" ref="AO54:AP54" si="22">(C54-C13)*1440</f>
        <v>0</v>
      </c>
      <c r="AP54" s="203">
        <f t="shared" si="22"/>
        <v>0</v>
      </c>
      <c r="AQ54" s="203">
        <f t="shared" si="18"/>
        <v>0</v>
      </c>
      <c r="AR54" s="203">
        <f t="shared" si="19"/>
        <v>0</v>
      </c>
    </row>
    <row r="55" ht="15.0" customHeight="1">
      <c r="A55" s="127"/>
      <c r="B55" s="141" t="s">
        <v>77</v>
      </c>
      <c r="C55" s="223">
        <v>0.3493055555555555</v>
      </c>
      <c r="D55" s="223">
        <v>0.3590277777777777</v>
      </c>
      <c r="E55" s="271">
        <v>5.0</v>
      </c>
      <c r="F55" s="223">
        <v>0.36249999999999993</v>
      </c>
      <c r="G55" s="223">
        <v>0.3666666666666666</v>
      </c>
      <c r="H55" s="271">
        <v>1.0</v>
      </c>
      <c r="I55" s="223">
        <v>0.367361111111111</v>
      </c>
      <c r="J55" s="223">
        <v>0.37638888888888883</v>
      </c>
      <c r="K55" s="223">
        <v>0.3840277777777777</v>
      </c>
      <c r="L55" s="271">
        <v>1.0</v>
      </c>
      <c r="M55" s="223">
        <v>0.38472222222222213</v>
      </c>
      <c r="N55" s="223">
        <v>0.39374999999999993</v>
      </c>
      <c r="O55" s="223">
        <v>0.40069444444444435</v>
      </c>
      <c r="P55" s="271">
        <v>2.0</v>
      </c>
      <c r="Q55" s="223">
        <v>0.40208333333333324</v>
      </c>
      <c r="R55" s="223">
        <v>0.4062499999999999</v>
      </c>
      <c r="S55" s="271">
        <v>5.0</v>
      </c>
      <c r="T55" s="223">
        <v>0.4097222222222221</v>
      </c>
      <c r="U55" s="223">
        <v>0.4159722222222221</v>
      </c>
      <c r="V55" s="223">
        <v>0.4180555555555554</v>
      </c>
      <c r="W55" s="271">
        <v>0.0</v>
      </c>
      <c r="X55" s="223">
        <v>0.4180555555555554</v>
      </c>
      <c r="Y55" s="223">
        <v>0.4215277777777776</v>
      </c>
      <c r="Z55" s="223">
        <v>0.4249999999999998</v>
      </c>
      <c r="AA55" s="223">
        <v>0.4312499999999998</v>
      </c>
      <c r="AB55" s="271">
        <v>5.0</v>
      </c>
      <c r="AC55" s="223">
        <v>0.434722222222222</v>
      </c>
      <c r="AD55" s="223">
        <v>0.44444444444444425</v>
      </c>
      <c r="AE55" s="271">
        <v>12.0</v>
      </c>
      <c r="AF55" s="223">
        <v>0.4527777777777776</v>
      </c>
      <c r="AG55" s="223"/>
      <c r="AH55" s="103">
        <f t="shared" si="13"/>
        <v>118</v>
      </c>
      <c r="AI55" s="103">
        <f t="shared" ref="AI55:AI72" si="24">(AF55-C55)*1440</f>
        <v>149</v>
      </c>
      <c r="AJ55" s="103">
        <f t="shared" si="15"/>
        <v>31</v>
      </c>
      <c r="AK55" s="104">
        <f t="shared" si="16"/>
        <v>0.2627118644</v>
      </c>
      <c r="AL55" s="142">
        <f t="shared" si="20"/>
        <v>30</v>
      </c>
      <c r="AO55" s="203">
        <f t="shared" ref="AO55:AP55" si="23">(C55-C14)*1440</f>
        <v>0</v>
      </c>
      <c r="AP55" s="203">
        <f t="shared" si="23"/>
        <v>0</v>
      </c>
      <c r="AQ55" s="203">
        <f t="shared" si="18"/>
        <v>0</v>
      </c>
      <c r="AR55" s="203">
        <f t="shared" si="19"/>
        <v>0</v>
      </c>
    </row>
    <row r="56" ht="15.0" customHeight="1">
      <c r="A56" s="127"/>
      <c r="B56" s="141" t="s">
        <v>78</v>
      </c>
      <c r="C56" s="223">
        <v>0.36944444444444435</v>
      </c>
      <c r="D56" s="223">
        <v>0.37986111111111104</v>
      </c>
      <c r="E56" s="271">
        <v>5.0</v>
      </c>
      <c r="F56" s="223">
        <v>0.38333333333333325</v>
      </c>
      <c r="G56" s="223">
        <v>0.3874999999999999</v>
      </c>
      <c r="H56" s="271">
        <v>1.0</v>
      </c>
      <c r="I56" s="223">
        <v>0.38819444444444434</v>
      </c>
      <c r="J56" s="223">
        <v>0.39722222222222214</v>
      </c>
      <c r="K56" s="223">
        <v>0.404861111111111</v>
      </c>
      <c r="L56" s="271">
        <v>1.0</v>
      </c>
      <c r="M56" s="223">
        <v>0.40555555555555545</v>
      </c>
      <c r="N56" s="223">
        <v>0.4152777777777777</v>
      </c>
      <c r="O56" s="223">
        <v>0.42291666666666655</v>
      </c>
      <c r="P56" s="271">
        <v>2.0</v>
      </c>
      <c r="Q56" s="223">
        <v>0.42430555555555544</v>
      </c>
      <c r="R56" s="223">
        <v>0.4284722222222221</v>
      </c>
      <c r="S56" s="271">
        <v>5.0</v>
      </c>
      <c r="T56" s="223">
        <v>0.4319444444444443</v>
      </c>
      <c r="U56" s="223">
        <v>0.4381944444444443</v>
      </c>
      <c r="V56" s="223">
        <v>0.4402777777777776</v>
      </c>
      <c r="W56" s="271">
        <v>2.0</v>
      </c>
      <c r="X56" s="223">
        <v>0.4416666666666665</v>
      </c>
      <c r="Y56" s="223"/>
      <c r="Z56" s="223">
        <v>0.44791666666666646</v>
      </c>
      <c r="AA56" s="223">
        <v>0.4548611111111109</v>
      </c>
      <c r="AB56" s="271">
        <v>5.0</v>
      </c>
      <c r="AC56" s="223">
        <v>0.4583333333333331</v>
      </c>
      <c r="AD56" s="223">
        <v>0.4673611111111109</v>
      </c>
      <c r="AE56" s="271">
        <v>9.0</v>
      </c>
      <c r="AF56" s="223">
        <v>0.47361111111111087</v>
      </c>
      <c r="AG56" s="223"/>
      <c r="AH56" s="103">
        <f t="shared" si="13"/>
        <v>120</v>
      </c>
      <c r="AI56" s="103">
        <f t="shared" si="24"/>
        <v>150</v>
      </c>
      <c r="AJ56" s="103">
        <f t="shared" si="15"/>
        <v>30</v>
      </c>
      <c r="AK56" s="104">
        <f t="shared" si="16"/>
        <v>0.25</v>
      </c>
      <c r="AL56" s="142">
        <f t="shared" si="20"/>
        <v>30</v>
      </c>
      <c r="AO56" s="203">
        <f t="shared" ref="AO56:AP56" si="25">(C56-C15)*1440</f>
        <v>0</v>
      </c>
      <c r="AP56" s="203">
        <f t="shared" si="25"/>
        <v>0</v>
      </c>
      <c r="AQ56" s="203">
        <f t="shared" si="18"/>
        <v>0</v>
      </c>
      <c r="AR56" s="203">
        <f t="shared" si="19"/>
        <v>0</v>
      </c>
    </row>
    <row r="57" ht="15.0" customHeight="1">
      <c r="A57" s="127"/>
      <c r="B57" s="141" t="s">
        <v>78</v>
      </c>
      <c r="C57" s="223">
        <v>0.3902777777777776</v>
      </c>
      <c r="D57" s="223">
        <v>0.4006944444444443</v>
      </c>
      <c r="E57" s="271">
        <v>5.0</v>
      </c>
      <c r="F57" s="223">
        <v>0.4041666666666665</v>
      </c>
      <c r="G57" s="223">
        <v>0.40833333333333316</v>
      </c>
      <c r="H57" s="271">
        <v>1.0</v>
      </c>
      <c r="I57" s="223">
        <v>0.4090277777777776</v>
      </c>
      <c r="J57" s="223">
        <v>0.4180555555555554</v>
      </c>
      <c r="K57" s="223">
        <v>0.42569444444444426</v>
      </c>
      <c r="L57" s="271">
        <v>1.0</v>
      </c>
      <c r="M57" s="223">
        <v>0.4263888888888887</v>
      </c>
      <c r="N57" s="223">
        <v>0.43611111111111095</v>
      </c>
      <c r="O57" s="223">
        <v>0.4437499999999998</v>
      </c>
      <c r="P57" s="271">
        <v>2.0</v>
      </c>
      <c r="Q57" s="223">
        <v>0.4451388888888887</v>
      </c>
      <c r="R57" s="223">
        <v>0.44930555555555535</v>
      </c>
      <c r="S57" s="271">
        <v>5.0</v>
      </c>
      <c r="T57" s="223">
        <v>0.45277777777777756</v>
      </c>
      <c r="U57" s="223">
        <v>0.45902777777777753</v>
      </c>
      <c r="V57" s="223">
        <v>0.46111111111111086</v>
      </c>
      <c r="W57" s="271">
        <v>2.0</v>
      </c>
      <c r="X57" s="223">
        <v>0.46249999999999974</v>
      </c>
      <c r="Y57" s="223"/>
      <c r="Z57" s="223">
        <v>0.4687499999999997</v>
      </c>
      <c r="AA57" s="223">
        <v>0.47569444444444414</v>
      </c>
      <c r="AB57" s="271">
        <v>5.0</v>
      </c>
      <c r="AC57" s="223">
        <v>0.47916666666666635</v>
      </c>
      <c r="AD57" s="223">
        <v>0.48819444444444415</v>
      </c>
      <c r="AE57" s="271">
        <v>9.0</v>
      </c>
      <c r="AF57" s="223">
        <v>0.49444444444444413</v>
      </c>
      <c r="AG57" s="223"/>
      <c r="AH57" s="103">
        <f t="shared" si="13"/>
        <v>120</v>
      </c>
      <c r="AI57" s="103">
        <f t="shared" si="24"/>
        <v>150</v>
      </c>
      <c r="AJ57" s="103">
        <f t="shared" si="15"/>
        <v>30</v>
      </c>
      <c r="AK57" s="104">
        <f t="shared" si="16"/>
        <v>0.25</v>
      </c>
      <c r="AL57" s="142">
        <f t="shared" si="20"/>
        <v>30</v>
      </c>
      <c r="AO57" s="203">
        <f t="shared" ref="AO57:AP57" si="26">(C57-C16)*1440</f>
        <v>0</v>
      </c>
      <c r="AP57" s="203">
        <f t="shared" si="26"/>
        <v>0</v>
      </c>
      <c r="AQ57" s="203">
        <f t="shared" si="18"/>
        <v>0</v>
      </c>
      <c r="AR57" s="203">
        <f t="shared" si="19"/>
        <v>0</v>
      </c>
    </row>
    <row r="58" ht="15.0" customHeight="1">
      <c r="A58" s="127"/>
      <c r="B58" s="141" t="s">
        <v>78</v>
      </c>
      <c r="C58" s="223">
        <v>0.4111111111111109</v>
      </c>
      <c r="D58" s="223">
        <v>0.4215277777777776</v>
      </c>
      <c r="E58" s="271">
        <v>5.0</v>
      </c>
      <c r="F58" s="223">
        <v>0.4249999999999998</v>
      </c>
      <c r="G58" s="223">
        <v>0.4291666666666665</v>
      </c>
      <c r="H58" s="271">
        <v>1.0</v>
      </c>
      <c r="I58" s="223">
        <v>0.4298611111111109</v>
      </c>
      <c r="J58" s="223">
        <v>0.4388888888888887</v>
      </c>
      <c r="K58" s="223">
        <v>0.4465277777777776</v>
      </c>
      <c r="L58" s="271">
        <v>1.0</v>
      </c>
      <c r="M58" s="223">
        <v>0.447222222222222</v>
      </c>
      <c r="N58" s="223">
        <v>0.45694444444444426</v>
      </c>
      <c r="O58" s="223">
        <v>0.4645833333333331</v>
      </c>
      <c r="P58" s="271">
        <v>2.0</v>
      </c>
      <c r="Q58" s="223">
        <v>0.465972222222222</v>
      </c>
      <c r="R58" s="223">
        <v>0.47013888888888866</v>
      </c>
      <c r="S58" s="271">
        <v>5.0</v>
      </c>
      <c r="T58" s="223">
        <v>0.47361111111111087</v>
      </c>
      <c r="U58" s="223">
        <v>0.47986111111111085</v>
      </c>
      <c r="V58" s="223">
        <v>0.4819444444444442</v>
      </c>
      <c r="W58" s="271">
        <v>2.0</v>
      </c>
      <c r="X58" s="223">
        <v>0.48333333333333306</v>
      </c>
      <c r="Y58" s="223"/>
      <c r="Z58" s="223">
        <v>0.48958333333333304</v>
      </c>
      <c r="AA58" s="223">
        <v>0.49652777777777746</v>
      </c>
      <c r="AB58" s="271">
        <v>5.0</v>
      </c>
      <c r="AC58" s="223">
        <v>0.49999999999999967</v>
      </c>
      <c r="AD58" s="223">
        <v>0.5090277777777774</v>
      </c>
      <c r="AE58" s="271">
        <v>9.0</v>
      </c>
      <c r="AF58" s="223">
        <v>0.5152777777777774</v>
      </c>
      <c r="AG58" s="223"/>
      <c r="AH58" s="103">
        <f t="shared" si="13"/>
        <v>120</v>
      </c>
      <c r="AI58" s="103">
        <f t="shared" si="24"/>
        <v>150</v>
      </c>
      <c r="AJ58" s="103">
        <f t="shared" si="15"/>
        <v>30</v>
      </c>
      <c r="AK58" s="104">
        <f t="shared" si="16"/>
        <v>0.25</v>
      </c>
      <c r="AL58" s="142">
        <f t="shared" si="20"/>
        <v>30</v>
      </c>
      <c r="AO58" s="203">
        <f t="shared" ref="AO58:AP58" si="27">(C58-C17)*1440</f>
        <v>0</v>
      </c>
      <c r="AP58" s="203">
        <f t="shared" si="27"/>
        <v>0</v>
      </c>
      <c r="AQ58" s="203">
        <f t="shared" si="18"/>
        <v>0</v>
      </c>
      <c r="AR58" s="203">
        <f t="shared" si="19"/>
        <v>0</v>
      </c>
    </row>
    <row r="59" ht="15.0" customHeight="1">
      <c r="A59" s="127"/>
      <c r="B59" s="141" t="s">
        <v>78</v>
      </c>
      <c r="C59" s="223">
        <v>0.4319444444444443</v>
      </c>
      <c r="D59" s="223">
        <v>0.442361111111111</v>
      </c>
      <c r="E59" s="271">
        <v>5.0</v>
      </c>
      <c r="F59" s="223">
        <v>0.4458333333333332</v>
      </c>
      <c r="G59" s="223">
        <v>0.44999999999999984</v>
      </c>
      <c r="H59" s="271">
        <v>1.0</v>
      </c>
      <c r="I59" s="223">
        <v>0.4506944444444443</v>
      </c>
      <c r="J59" s="223">
        <v>0.4597222222222221</v>
      </c>
      <c r="K59" s="223">
        <v>0.46736111111111095</v>
      </c>
      <c r="L59" s="271">
        <v>1.0</v>
      </c>
      <c r="M59" s="223">
        <v>0.4680555555555554</v>
      </c>
      <c r="N59" s="223">
        <v>0.47777777777777763</v>
      </c>
      <c r="O59" s="223">
        <v>0.4854166666666665</v>
      </c>
      <c r="P59" s="271">
        <v>2.0</v>
      </c>
      <c r="Q59" s="223">
        <v>0.4868055555555554</v>
      </c>
      <c r="R59" s="223">
        <v>0.49097222222222203</v>
      </c>
      <c r="S59" s="271">
        <v>5.0</v>
      </c>
      <c r="T59" s="223">
        <v>0.49444444444444424</v>
      </c>
      <c r="U59" s="223">
        <v>0.5006944444444442</v>
      </c>
      <c r="V59" s="223">
        <v>0.5027777777777775</v>
      </c>
      <c r="W59" s="271">
        <v>2.0</v>
      </c>
      <c r="X59" s="223">
        <v>0.5041666666666664</v>
      </c>
      <c r="Y59" s="223"/>
      <c r="Z59" s="223">
        <v>0.5104166666666664</v>
      </c>
      <c r="AA59" s="223">
        <v>0.5173611111111108</v>
      </c>
      <c r="AB59" s="271">
        <v>5.0</v>
      </c>
      <c r="AC59" s="223">
        <v>0.520833333333333</v>
      </c>
      <c r="AD59" s="223">
        <v>0.5298611111111108</v>
      </c>
      <c r="AE59" s="271">
        <v>9.0</v>
      </c>
      <c r="AF59" s="223">
        <v>0.5361111111111108</v>
      </c>
      <c r="AG59" s="223"/>
      <c r="AH59" s="103">
        <f t="shared" si="13"/>
        <v>120</v>
      </c>
      <c r="AI59" s="103">
        <f t="shared" si="24"/>
        <v>150</v>
      </c>
      <c r="AJ59" s="103">
        <f t="shared" si="15"/>
        <v>30</v>
      </c>
      <c r="AK59" s="104">
        <f t="shared" si="16"/>
        <v>0.25</v>
      </c>
      <c r="AL59" s="142">
        <f t="shared" si="20"/>
        <v>30</v>
      </c>
      <c r="AO59" s="203">
        <f t="shared" ref="AO59:AP59" si="28">(C59-C18)*1440</f>
        <v>0</v>
      </c>
      <c r="AP59" s="203">
        <f t="shared" si="28"/>
        <v>0</v>
      </c>
      <c r="AQ59" s="203">
        <f t="shared" si="18"/>
        <v>0</v>
      </c>
      <c r="AR59" s="203">
        <f t="shared" si="19"/>
        <v>0</v>
      </c>
    </row>
    <row r="60" ht="15.0" customHeight="1">
      <c r="A60" s="127"/>
      <c r="B60" s="141" t="s">
        <v>78</v>
      </c>
      <c r="C60" s="223">
        <v>0.4527777777777776</v>
      </c>
      <c r="D60" s="223">
        <v>0.4631944444444443</v>
      </c>
      <c r="E60" s="271">
        <v>5.0</v>
      </c>
      <c r="F60" s="223">
        <v>0.4666666666666665</v>
      </c>
      <c r="G60" s="223">
        <v>0.47083333333333316</v>
      </c>
      <c r="H60" s="271">
        <v>1.0</v>
      </c>
      <c r="I60" s="223">
        <v>0.4715277777777776</v>
      </c>
      <c r="J60" s="223">
        <v>0.4805555555555554</v>
      </c>
      <c r="K60" s="223">
        <v>0.48819444444444426</v>
      </c>
      <c r="L60" s="271">
        <v>1.0</v>
      </c>
      <c r="M60" s="223">
        <v>0.4888888888888887</v>
      </c>
      <c r="N60" s="223">
        <v>0.49861111111111095</v>
      </c>
      <c r="O60" s="223">
        <v>0.5062499999999999</v>
      </c>
      <c r="P60" s="271">
        <v>3.0</v>
      </c>
      <c r="Q60" s="223">
        <v>0.5083333333333332</v>
      </c>
      <c r="R60" s="223">
        <v>0.5124999999999998</v>
      </c>
      <c r="S60" s="271">
        <v>5.0</v>
      </c>
      <c r="T60" s="223">
        <v>0.515972222222222</v>
      </c>
      <c r="U60" s="223">
        <v>0.522222222222222</v>
      </c>
      <c r="V60" s="223">
        <v>0.5243055555555554</v>
      </c>
      <c r="W60" s="271">
        <v>2.0</v>
      </c>
      <c r="X60" s="223">
        <v>0.5256944444444442</v>
      </c>
      <c r="Y60" s="223"/>
      <c r="Z60" s="223">
        <v>0.5319444444444442</v>
      </c>
      <c r="AA60" s="223">
        <v>0.5388888888888886</v>
      </c>
      <c r="AB60" s="271">
        <v>5.0</v>
      </c>
      <c r="AC60" s="223">
        <v>0.5423611111111108</v>
      </c>
      <c r="AD60" s="223">
        <v>0.5513888888888886</v>
      </c>
      <c r="AE60" s="271">
        <v>8.0</v>
      </c>
      <c r="AF60" s="223">
        <v>0.5569444444444441</v>
      </c>
      <c r="AG60" s="223"/>
      <c r="AH60" s="103">
        <f t="shared" si="13"/>
        <v>120</v>
      </c>
      <c r="AI60" s="103">
        <f t="shared" si="24"/>
        <v>150</v>
      </c>
      <c r="AJ60" s="103">
        <f t="shared" si="15"/>
        <v>30</v>
      </c>
      <c r="AK60" s="104">
        <f t="shared" si="16"/>
        <v>0.25</v>
      </c>
      <c r="AL60" s="142">
        <f t="shared" si="20"/>
        <v>30</v>
      </c>
      <c r="AO60" s="203">
        <f t="shared" ref="AO60:AP60" si="29">(C60-C19)*1440</f>
        <v>0</v>
      </c>
      <c r="AP60" s="203">
        <f t="shared" si="29"/>
        <v>0</v>
      </c>
      <c r="AQ60" s="203">
        <f t="shared" si="18"/>
        <v>0</v>
      </c>
      <c r="AR60" s="203">
        <f t="shared" si="19"/>
        <v>1</v>
      </c>
    </row>
    <row r="61" ht="15.0" customHeight="1">
      <c r="A61" s="127"/>
      <c r="B61" s="141" t="s">
        <v>78</v>
      </c>
      <c r="C61" s="223">
        <v>0.47361111111111087</v>
      </c>
      <c r="D61" s="223">
        <v>0.48402777777777756</v>
      </c>
      <c r="E61" s="271">
        <v>5.0</v>
      </c>
      <c r="F61" s="223">
        <v>0.48749999999999977</v>
      </c>
      <c r="G61" s="223">
        <v>0.4916666666666664</v>
      </c>
      <c r="H61" s="271">
        <v>1.0</v>
      </c>
      <c r="I61" s="223">
        <v>0.49236111111111086</v>
      </c>
      <c r="J61" s="223">
        <v>0.5013888888888887</v>
      </c>
      <c r="K61" s="223">
        <v>0.5090277777777775</v>
      </c>
      <c r="L61" s="271">
        <v>1.0</v>
      </c>
      <c r="M61" s="223">
        <v>0.509722222222222</v>
      </c>
      <c r="N61" s="223">
        <v>0.5194444444444442</v>
      </c>
      <c r="O61" s="223">
        <v>0.527083333333333</v>
      </c>
      <c r="P61" s="271">
        <v>3.0</v>
      </c>
      <c r="Q61" s="223">
        <v>0.5291666666666663</v>
      </c>
      <c r="R61" s="223">
        <v>0.533333333333333</v>
      </c>
      <c r="S61" s="271">
        <v>5.0</v>
      </c>
      <c r="T61" s="223">
        <v>0.5368055555555552</v>
      </c>
      <c r="U61" s="223">
        <v>0.5430555555555552</v>
      </c>
      <c r="V61" s="223">
        <v>0.5451388888888885</v>
      </c>
      <c r="W61" s="271">
        <v>2.0</v>
      </c>
      <c r="X61" s="223">
        <v>0.5465277777777774</v>
      </c>
      <c r="Y61" s="223"/>
      <c r="Z61" s="223">
        <v>0.5527777777777774</v>
      </c>
      <c r="AA61" s="223">
        <v>0.5597222222222218</v>
      </c>
      <c r="AB61" s="271">
        <v>5.0</v>
      </c>
      <c r="AC61" s="223">
        <v>0.563194444444444</v>
      </c>
      <c r="AD61" s="223">
        <v>0.5722222222222217</v>
      </c>
      <c r="AE61" s="271">
        <v>8.0</v>
      </c>
      <c r="AF61" s="223">
        <v>0.5777777777777773</v>
      </c>
      <c r="AG61" s="223"/>
      <c r="AH61" s="103">
        <f t="shared" si="13"/>
        <v>120</v>
      </c>
      <c r="AI61" s="103">
        <f t="shared" si="24"/>
        <v>150</v>
      </c>
      <c r="AJ61" s="103">
        <f t="shared" si="15"/>
        <v>30</v>
      </c>
      <c r="AK61" s="104">
        <f t="shared" si="16"/>
        <v>0.25</v>
      </c>
      <c r="AL61" s="142">
        <f t="shared" si="20"/>
        <v>30</v>
      </c>
      <c r="AO61" s="203">
        <f t="shared" ref="AO61:AP61" si="30">(C61-C20)*1440</f>
        <v>0</v>
      </c>
      <c r="AP61" s="203">
        <f t="shared" si="30"/>
        <v>0</v>
      </c>
      <c r="AQ61" s="203">
        <f t="shared" si="18"/>
        <v>0</v>
      </c>
      <c r="AR61" s="203">
        <f t="shared" si="19"/>
        <v>1</v>
      </c>
    </row>
    <row r="62" ht="15.0" customHeight="1">
      <c r="A62" s="127"/>
      <c r="B62" s="141" t="s">
        <v>78</v>
      </c>
      <c r="C62" s="223">
        <v>0.49444444444444413</v>
      </c>
      <c r="D62" s="223">
        <v>0.5048611111111108</v>
      </c>
      <c r="E62" s="271">
        <v>5.0</v>
      </c>
      <c r="F62" s="223">
        <v>0.508333333333333</v>
      </c>
      <c r="G62" s="223">
        <v>0.5124999999999996</v>
      </c>
      <c r="H62" s="271">
        <v>1.0</v>
      </c>
      <c r="I62" s="223">
        <v>0.5131944444444441</v>
      </c>
      <c r="J62" s="223">
        <v>0.5222222222222218</v>
      </c>
      <c r="K62" s="223">
        <v>0.5298611111111107</v>
      </c>
      <c r="L62" s="271">
        <v>1.0</v>
      </c>
      <c r="M62" s="223">
        <v>0.5305555555555551</v>
      </c>
      <c r="N62" s="223">
        <v>0.5402777777777773</v>
      </c>
      <c r="O62" s="223">
        <v>0.5479166666666662</v>
      </c>
      <c r="P62" s="271">
        <v>3.0</v>
      </c>
      <c r="Q62" s="223">
        <v>0.5499999999999995</v>
      </c>
      <c r="R62" s="223">
        <v>0.5541666666666661</v>
      </c>
      <c r="S62" s="271">
        <v>5.0</v>
      </c>
      <c r="T62" s="223">
        <v>0.5576388888888884</v>
      </c>
      <c r="U62" s="223">
        <v>0.5638888888888883</v>
      </c>
      <c r="V62" s="223">
        <v>0.5659722222222217</v>
      </c>
      <c r="W62" s="271">
        <v>2.0</v>
      </c>
      <c r="X62" s="223">
        <v>0.5673611111111105</v>
      </c>
      <c r="Y62" s="223"/>
      <c r="Z62" s="223">
        <v>0.5736111111111105</v>
      </c>
      <c r="AA62" s="223">
        <v>0.5805555555555549</v>
      </c>
      <c r="AB62" s="271">
        <v>5.0</v>
      </c>
      <c r="AC62" s="223">
        <v>0.5840277777777771</v>
      </c>
      <c r="AD62" s="223">
        <v>0.5930555555555549</v>
      </c>
      <c r="AE62" s="271">
        <v>8.0</v>
      </c>
      <c r="AF62" s="223">
        <v>0.5986111111111104</v>
      </c>
      <c r="AG62" s="223"/>
      <c r="AH62" s="103">
        <f t="shared" si="13"/>
        <v>120</v>
      </c>
      <c r="AI62" s="103">
        <f t="shared" si="24"/>
        <v>150</v>
      </c>
      <c r="AJ62" s="103">
        <f t="shared" si="15"/>
        <v>30</v>
      </c>
      <c r="AK62" s="104">
        <f t="shared" si="16"/>
        <v>0.25</v>
      </c>
      <c r="AL62" s="142">
        <f t="shared" si="20"/>
        <v>30</v>
      </c>
      <c r="AO62" s="203">
        <f t="shared" ref="AO62:AP62" si="31">(C62-C21)*1440</f>
        <v>0</v>
      </c>
      <c r="AP62" s="203">
        <f t="shared" si="31"/>
        <v>0</v>
      </c>
      <c r="AQ62" s="203">
        <f t="shared" si="18"/>
        <v>0</v>
      </c>
      <c r="AR62" s="203">
        <f t="shared" si="19"/>
        <v>1</v>
      </c>
    </row>
    <row r="63" ht="15.0" customHeight="1">
      <c r="A63" s="127"/>
      <c r="B63" s="141" t="s">
        <v>78</v>
      </c>
      <c r="C63" s="223">
        <v>0.5152777777777774</v>
      </c>
      <c r="D63" s="223">
        <v>0.525694444444444</v>
      </c>
      <c r="E63" s="271">
        <v>5.0</v>
      </c>
      <c r="F63" s="223">
        <v>0.5291666666666662</v>
      </c>
      <c r="G63" s="223">
        <v>0.5333333333333329</v>
      </c>
      <c r="H63" s="271">
        <v>1.0</v>
      </c>
      <c r="I63" s="223">
        <v>0.5340277777777773</v>
      </c>
      <c r="J63" s="223">
        <v>0.5430555555555551</v>
      </c>
      <c r="K63" s="223">
        <v>0.5506944444444439</v>
      </c>
      <c r="L63" s="271">
        <v>1.0</v>
      </c>
      <c r="M63" s="223">
        <v>0.5513888888888884</v>
      </c>
      <c r="N63" s="223">
        <v>0.5611111111111106</v>
      </c>
      <c r="O63" s="223">
        <v>0.5687499999999994</v>
      </c>
      <c r="P63" s="271">
        <v>3.0</v>
      </c>
      <c r="Q63" s="223">
        <v>0.5708333333333327</v>
      </c>
      <c r="R63" s="223">
        <v>0.5749999999999994</v>
      </c>
      <c r="S63" s="271">
        <v>5.0</v>
      </c>
      <c r="T63" s="223">
        <v>0.5784722222222216</v>
      </c>
      <c r="U63" s="223">
        <v>0.5847222222222216</v>
      </c>
      <c r="V63" s="223">
        <v>0.5868055555555549</v>
      </c>
      <c r="W63" s="271">
        <v>2.0</v>
      </c>
      <c r="X63" s="223">
        <v>0.5881944444444438</v>
      </c>
      <c r="Y63" s="223"/>
      <c r="Z63" s="223">
        <v>0.5944444444444438</v>
      </c>
      <c r="AA63" s="223">
        <v>0.6013888888888882</v>
      </c>
      <c r="AB63" s="271">
        <v>5.0</v>
      </c>
      <c r="AC63" s="223">
        <v>0.6048611111111104</v>
      </c>
      <c r="AD63" s="223">
        <v>0.6138888888888882</v>
      </c>
      <c r="AE63" s="271">
        <v>8.0</v>
      </c>
      <c r="AF63" s="223">
        <v>0.6194444444444437</v>
      </c>
      <c r="AG63" s="223"/>
      <c r="AH63" s="103">
        <f t="shared" si="13"/>
        <v>120</v>
      </c>
      <c r="AI63" s="103">
        <f t="shared" si="24"/>
        <v>150</v>
      </c>
      <c r="AJ63" s="103">
        <f t="shared" si="15"/>
        <v>30</v>
      </c>
      <c r="AK63" s="104">
        <f t="shared" si="16"/>
        <v>0.25</v>
      </c>
      <c r="AL63" s="142">
        <f t="shared" si="20"/>
        <v>30</v>
      </c>
      <c r="AO63" s="203">
        <f t="shared" ref="AO63:AP63" si="32">(C63-C22)*1440</f>
        <v>0</v>
      </c>
      <c r="AP63" s="203">
        <f t="shared" si="32"/>
        <v>0</v>
      </c>
      <c r="AQ63" s="203">
        <f t="shared" si="18"/>
        <v>0</v>
      </c>
      <c r="AR63" s="203">
        <f t="shared" si="19"/>
        <v>1</v>
      </c>
    </row>
    <row r="64" ht="15.0" customHeight="1">
      <c r="A64" s="127"/>
      <c r="B64" s="141" t="s">
        <v>78</v>
      </c>
      <c r="C64" s="223">
        <v>0.5361111111111108</v>
      </c>
      <c r="D64" s="223">
        <v>0.5465277777777774</v>
      </c>
      <c r="E64" s="271">
        <v>5.0</v>
      </c>
      <c r="F64" s="223">
        <v>0.5499999999999996</v>
      </c>
      <c r="G64" s="223">
        <v>0.5541666666666663</v>
      </c>
      <c r="H64" s="271">
        <v>1.0</v>
      </c>
      <c r="I64" s="223">
        <v>0.5548611111111107</v>
      </c>
      <c r="J64" s="223">
        <v>0.5638888888888884</v>
      </c>
      <c r="K64" s="223">
        <v>0.5715277777777773</v>
      </c>
      <c r="L64" s="271">
        <v>1.0</v>
      </c>
      <c r="M64" s="223">
        <v>0.5722222222222217</v>
      </c>
      <c r="N64" s="223">
        <v>0.5819444444444439</v>
      </c>
      <c r="O64" s="223">
        <v>0.5895833333333328</v>
      </c>
      <c r="P64" s="271">
        <v>3.0</v>
      </c>
      <c r="Q64" s="223">
        <v>0.5916666666666661</v>
      </c>
      <c r="R64" s="223">
        <v>0.5958333333333328</v>
      </c>
      <c r="S64" s="271">
        <v>5.0</v>
      </c>
      <c r="T64" s="223">
        <v>0.599305555555555</v>
      </c>
      <c r="U64" s="223">
        <v>0.605555555555555</v>
      </c>
      <c r="V64" s="223">
        <v>0.6076388888888883</v>
      </c>
      <c r="W64" s="271">
        <v>2.0</v>
      </c>
      <c r="X64" s="223">
        <v>0.6090277777777772</v>
      </c>
      <c r="Y64" s="223"/>
      <c r="Z64" s="223">
        <v>0.6152777777777771</v>
      </c>
      <c r="AA64" s="223">
        <v>0.6222222222222216</v>
      </c>
      <c r="AB64" s="271">
        <v>5.0</v>
      </c>
      <c r="AC64" s="223">
        <v>0.6256944444444438</v>
      </c>
      <c r="AD64" s="223">
        <v>0.6347222222222215</v>
      </c>
      <c r="AE64" s="271">
        <v>8.0</v>
      </c>
      <c r="AF64" s="223">
        <v>0.6402777777777771</v>
      </c>
      <c r="AG64" s="223"/>
      <c r="AH64" s="103">
        <f t="shared" si="13"/>
        <v>120</v>
      </c>
      <c r="AI64" s="103">
        <f t="shared" si="24"/>
        <v>150</v>
      </c>
      <c r="AJ64" s="103">
        <f t="shared" si="15"/>
        <v>30</v>
      </c>
      <c r="AK64" s="104">
        <f t="shared" si="16"/>
        <v>0.25</v>
      </c>
      <c r="AL64" s="142">
        <f t="shared" si="20"/>
        <v>30</v>
      </c>
      <c r="AO64" s="203">
        <f t="shared" ref="AO64:AP64" si="33">(C64-C23)*1440</f>
        <v>0</v>
      </c>
      <c r="AP64" s="203">
        <f t="shared" si="33"/>
        <v>0</v>
      </c>
      <c r="AQ64" s="203">
        <f t="shared" si="18"/>
        <v>0</v>
      </c>
      <c r="AR64" s="203">
        <f t="shared" si="19"/>
        <v>1</v>
      </c>
    </row>
    <row r="65" ht="15.0" customHeight="1">
      <c r="A65" s="127"/>
      <c r="B65" s="141" t="s">
        <v>78</v>
      </c>
      <c r="C65" s="223">
        <v>0.5569444444444441</v>
      </c>
      <c r="D65" s="223">
        <v>0.5673611111111108</v>
      </c>
      <c r="E65" s="271">
        <v>5.0</v>
      </c>
      <c r="F65" s="223">
        <v>0.570833333333333</v>
      </c>
      <c r="G65" s="223">
        <v>0.5749999999999996</v>
      </c>
      <c r="H65" s="271">
        <v>1.0</v>
      </c>
      <c r="I65" s="223">
        <v>0.5756944444444441</v>
      </c>
      <c r="J65" s="223">
        <v>0.5847222222222218</v>
      </c>
      <c r="K65" s="223">
        <v>0.5923611111111107</v>
      </c>
      <c r="L65" s="271">
        <v>1.0</v>
      </c>
      <c r="M65" s="223">
        <v>0.5930555555555551</v>
      </c>
      <c r="N65" s="223">
        <v>0.6027777777777773</v>
      </c>
      <c r="O65" s="223">
        <v>0.6104166666666662</v>
      </c>
      <c r="P65" s="271">
        <v>3.0</v>
      </c>
      <c r="Q65" s="223">
        <v>0.6124999999999995</v>
      </c>
      <c r="R65" s="223">
        <v>0.6166666666666661</v>
      </c>
      <c r="S65" s="271">
        <v>5.0</v>
      </c>
      <c r="T65" s="223">
        <v>0.6201388888888884</v>
      </c>
      <c r="U65" s="223">
        <v>0.6263888888888883</v>
      </c>
      <c r="V65" s="223">
        <v>0.6284722222222217</v>
      </c>
      <c r="W65" s="271">
        <v>2.0</v>
      </c>
      <c r="X65" s="223">
        <v>0.6298611111111105</v>
      </c>
      <c r="Y65" s="223"/>
      <c r="Z65" s="223">
        <v>0.6361111111111105</v>
      </c>
      <c r="AA65" s="223">
        <v>0.6430555555555549</v>
      </c>
      <c r="AB65" s="271">
        <v>5.0</v>
      </c>
      <c r="AC65" s="223">
        <v>0.6465277777777771</v>
      </c>
      <c r="AD65" s="223">
        <v>0.6555555555555549</v>
      </c>
      <c r="AE65" s="271">
        <v>8.0</v>
      </c>
      <c r="AF65" s="223">
        <v>0.6611111111111104</v>
      </c>
      <c r="AG65" s="223"/>
      <c r="AH65" s="103">
        <f t="shared" si="13"/>
        <v>120</v>
      </c>
      <c r="AI65" s="103">
        <f t="shared" si="24"/>
        <v>150</v>
      </c>
      <c r="AJ65" s="103">
        <f t="shared" si="15"/>
        <v>30</v>
      </c>
      <c r="AK65" s="104">
        <f t="shared" si="16"/>
        <v>0.25</v>
      </c>
      <c r="AL65" s="142">
        <f t="shared" si="20"/>
        <v>30</v>
      </c>
      <c r="AO65" s="203">
        <f t="shared" ref="AO65:AP65" si="34">(C65-C24)*1440</f>
        <v>1</v>
      </c>
      <c r="AP65" s="203">
        <f t="shared" si="34"/>
        <v>0</v>
      </c>
      <c r="AQ65" s="203">
        <f t="shared" si="18"/>
        <v>0</v>
      </c>
      <c r="AR65" s="203">
        <f t="shared" si="19"/>
        <v>1</v>
      </c>
    </row>
    <row r="66" ht="15.0" customHeight="1">
      <c r="A66" s="127"/>
      <c r="B66" s="141" t="s">
        <v>78</v>
      </c>
      <c r="C66" s="223">
        <v>0.5777777777777773</v>
      </c>
      <c r="D66" s="223">
        <v>0.5881944444444439</v>
      </c>
      <c r="E66" s="271">
        <v>5.0</v>
      </c>
      <c r="F66" s="223">
        <v>0.5916666666666661</v>
      </c>
      <c r="G66" s="223">
        <v>0.5958333333333328</v>
      </c>
      <c r="H66" s="271">
        <v>1.0</v>
      </c>
      <c r="I66" s="223">
        <v>0.5965277777777772</v>
      </c>
      <c r="J66" s="223">
        <v>0.605555555555555</v>
      </c>
      <c r="K66" s="223">
        <v>0.6131944444444438</v>
      </c>
      <c r="L66" s="271">
        <v>1.0</v>
      </c>
      <c r="M66" s="223">
        <v>0.6138888888888883</v>
      </c>
      <c r="N66" s="223">
        <v>0.6236111111111104</v>
      </c>
      <c r="O66" s="223">
        <v>0.6312499999999993</v>
      </c>
      <c r="P66" s="271">
        <v>3.0</v>
      </c>
      <c r="Q66" s="223">
        <v>0.6333333333333326</v>
      </c>
      <c r="R66" s="223">
        <v>0.6374999999999993</v>
      </c>
      <c r="S66" s="271">
        <v>5.0</v>
      </c>
      <c r="T66" s="223">
        <v>0.6409722222222215</v>
      </c>
      <c r="U66" s="223">
        <v>0.6472222222222215</v>
      </c>
      <c r="V66" s="223">
        <v>0.6493055555555548</v>
      </c>
      <c r="W66" s="271">
        <v>2.0</v>
      </c>
      <c r="X66" s="223">
        <v>0.6506944444444437</v>
      </c>
      <c r="Y66" s="223"/>
      <c r="Z66" s="223">
        <v>0.6569444444444437</v>
      </c>
      <c r="AA66" s="223">
        <v>0.6638888888888881</v>
      </c>
      <c r="AB66" s="271">
        <v>5.0</v>
      </c>
      <c r="AC66" s="223">
        <v>0.6673611111111103</v>
      </c>
      <c r="AD66" s="223">
        <v>0.676388888888888</v>
      </c>
      <c r="AE66" s="271">
        <v>9.0</v>
      </c>
      <c r="AF66" s="223">
        <v>0.682638888888888</v>
      </c>
      <c r="AG66" s="223"/>
      <c r="AH66" s="103">
        <f t="shared" si="13"/>
        <v>120</v>
      </c>
      <c r="AI66" s="103">
        <f t="shared" si="24"/>
        <v>151</v>
      </c>
      <c r="AJ66" s="103">
        <f t="shared" si="15"/>
        <v>31</v>
      </c>
      <c r="AK66" s="104">
        <f t="shared" si="16"/>
        <v>0.2583333333</v>
      </c>
      <c r="AL66" s="142">
        <f t="shared" si="20"/>
        <v>31</v>
      </c>
      <c r="AO66" s="203">
        <f t="shared" ref="AO66:AP66" si="35">(C66-C25)*1440</f>
        <v>1</v>
      </c>
      <c r="AP66" s="203">
        <f t="shared" si="35"/>
        <v>0</v>
      </c>
      <c r="AQ66" s="203">
        <f t="shared" si="18"/>
        <v>0</v>
      </c>
      <c r="AR66" s="203">
        <f t="shared" si="19"/>
        <v>0</v>
      </c>
    </row>
    <row r="67" ht="15.0" customHeight="1">
      <c r="A67" s="127"/>
      <c r="B67" s="141" t="s">
        <v>78</v>
      </c>
      <c r="C67" s="223">
        <v>0.5986111111111104</v>
      </c>
      <c r="D67" s="223">
        <v>0.6090277777777771</v>
      </c>
      <c r="E67" s="271">
        <v>5.0</v>
      </c>
      <c r="F67" s="223">
        <v>0.6124999999999993</v>
      </c>
      <c r="G67" s="223">
        <v>0.6166666666666659</v>
      </c>
      <c r="H67" s="271">
        <v>1.0</v>
      </c>
      <c r="I67" s="223">
        <v>0.6173611111111104</v>
      </c>
      <c r="J67" s="223">
        <v>0.6263888888888881</v>
      </c>
      <c r="K67" s="223">
        <v>0.634027777777777</v>
      </c>
      <c r="L67" s="271">
        <v>1.0</v>
      </c>
      <c r="M67" s="223">
        <v>0.6347222222222214</v>
      </c>
      <c r="N67" s="223">
        <v>0.6444444444444436</v>
      </c>
      <c r="O67" s="223">
        <v>0.6520833333333325</v>
      </c>
      <c r="P67" s="271">
        <v>3.0</v>
      </c>
      <c r="Q67" s="223">
        <v>0.6541666666666658</v>
      </c>
      <c r="R67" s="223">
        <v>0.6583333333333324</v>
      </c>
      <c r="S67" s="271">
        <v>5.0</v>
      </c>
      <c r="T67" s="223">
        <v>0.6618055555555546</v>
      </c>
      <c r="U67" s="223">
        <v>0.6680555555555546</v>
      </c>
      <c r="V67" s="223">
        <v>0.670138888888888</v>
      </c>
      <c r="W67" s="271">
        <v>2.0</v>
      </c>
      <c r="X67" s="223">
        <v>0.6715277777777768</v>
      </c>
      <c r="Y67" s="223"/>
      <c r="Z67" s="223">
        <v>0.6777777777777768</v>
      </c>
      <c r="AA67" s="223">
        <v>0.6847222222222212</v>
      </c>
      <c r="AB67" s="271">
        <v>5.0</v>
      </c>
      <c r="AC67" s="223">
        <v>0.6881944444444434</v>
      </c>
      <c r="AD67" s="223">
        <v>0.6972222222222212</v>
      </c>
      <c r="AE67" s="271">
        <v>9.0</v>
      </c>
      <c r="AF67" s="223">
        <v>0.7034722222222212</v>
      </c>
      <c r="AG67" s="223"/>
      <c r="AH67" s="103">
        <f t="shared" si="13"/>
        <v>120</v>
      </c>
      <c r="AI67" s="103">
        <f t="shared" si="24"/>
        <v>151</v>
      </c>
      <c r="AJ67" s="103">
        <f t="shared" si="15"/>
        <v>31</v>
      </c>
      <c r="AK67" s="104">
        <f t="shared" si="16"/>
        <v>0.2583333333</v>
      </c>
      <c r="AL67" s="142">
        <f t="shared" si="20"/>
        <v>30</v>
      </c>
      <c r="AO67" s="203">
        <f t="shared" ref="AO67:AP67" si="36">(C67-C26)*1440</f>
        <v>1</v>
      </c>
      <c r="AP67" s="203">
        <f t="shared" si="36"/>
        <v>0</v>
      </c>
      <c r="AQ67" s="203">
        <f t="shared" si="18"/>
        <v>0</v>
      </c>
      <c r="AR67" s="203">
        <f t="shared" si="19"/>
        <v>0</v>
      </c>
    </row>
    <row r="68" ht="15.0" customHeight="1">
      <c r="A68" s="127"/>
      <c r="B68" s="141" t="s">
        <v>78</v>
      </c>
      <c r="C68" s="223">
        <v>0.6194444444444437</v>
      </c>
      <c r="D68" s="223">
        <v>0.6298611111111103</v>
      </c>
      <c r="E68" s="271">
        <v>5.0</v>
      </c>
      <c r="F68" s="223">
        <v>0.6333333333333325</v>
      </c>
      <c r="G68" s="223">
        <v>0.6374999999999992</v>
      </c>
      <c r="H68" s="271">
        <v>1.0</v>
      </c>
      <c r="I68" s="223">
        <v>0.6381944444444436</v>
      </c>
      <c r="J68" s="223">
        <v>0.6472222222222214</v>
      </c>
      <c r="K68" s="223">
        <v>0.6548611111111102</v>
      </c>
      <c r="L68" s="271">
        <v>1.0</v>
      </c>
      <c r="M68" s="223">
        <v>0.6555555555555547</v>
      </c>
      <c r="N68" s="223">
        <v>0.6652777777777769</v>
      </c>
      <c r="O68" s="223">
        <v>0.6729166666666657</v>
      </c>
      <c r="P68" s="271">
        <v>3.0</v>
      </c>
      <c r="Q68" s="223">
        <v>0.674999999999999</v>
      </c>
      <c r="R68" s="223">
        <v>0.6791666666666657</v>
      </c>
      <c r="S68" s="271">
        <v>5.0</v>
      </c>
      <c r="T68" s="223">
        <v>0.6826388888888879</v>
      </c>
      <c r="U68" s="223">
        <v>0.6888888888888879</v>
      </c>
      <c r="V68" s="223">
        <v>0.6909722222222212</v>
      </c>
      <c r="W68" s="271">
        <v>2.0</v>
      </c>
      <c r="X68" s="223">
        <v>0.6923611111111101</v>
      </c>
      <c r="Y68" s="223"/>
      <c r="Z68" s="223">
        <v>0.6986111111111101</v>
      </c>
      <c r="AA68" s="223">
        <v>0.7055555555555545</v>
      </c>
      <c r="AB68" s="271">
        <v>5.0</v>
      </c>
      <c r="AC68" s="223">
        <v>0.7090277777777767</v>
      </c>
      <c r="AD68" s="223">
        <v>0.7180555555555544</v>
      </c>
      <c r="AE68" s="271">
        <v>9.0</v>
      </c>
      <c r="AF68" s="223">
        <v>0.7243055555555544</v>
      </c>
      <c r="AG68" s="223"/>
      <c r="AH68" s="103">
        <f t="shared" si="13"/>
        <v>120</v>
      </c>
      <c r="AI68" s="103">
        <f t="shared" si="24"/>
        <v>151</v>
      </c>
      <c r="AJ68" s="103">
        <f t="shared" si="15"/>
        <v>31</v>
      </c>
      <c r="AK68" s="104">
        <f t="shared" si="16"/>
        <v>0.2583333333</v>
      </c>
      <c r="AL68" s="142">
        <f t="shared" si="20"/>
        <v>30</v>
      </c>
      <c r="AO68" s="203">
        <f t="shared" ref="AO68:AP68" si="37">(C68-C27)*1440</f>
        <v>1</v>
      </c>
      <c r="AP68" s="203">
        <f t="shared" si="37"/>
        <v>0</v>
      </c>
      <c r="AQ68" s="203">
        <f t="shared" si="18"/>
        <v>0</v>
      </c>
      <c r="AR68" s="203">
        <f t="shared" si="19"/>
        <v>0</v>
      </c>
    </row>
    <row r="69" ht="15.0" customHeight="1">
      <c r="A69" s="127"/>
      <c r="B69" s="141" t="s">
        <v>78</v>
      </c>
      <c r="C69" s="223">
        <v>0.6402777777777771</v>
      </c>
      <c r="D69" s="223">
        <v>0.6506944444444437</v>
      </c>
      <c r="E69" s="271">
        <v>5.0</v>
      </c>
      <c r="F69" s="223">
        <v>0.6541666666666659</v>
      </c>
      <c r="G69" s="223">
        <v>0.6583333333333325</v>
      </c>
      <c r="H69" s="271">
        <v>2.0</v>
      </c>
      <c r="I69" s="223">
        <v>0.6597222222222214</v>
      </c>
      <c r="J69" s="223">
        <v>0.6687499999999992</v>
      </c>
      <c r="K69" s="223">
        <v>0.676388888888888</v>
      </c>
      <c r="L69" s="271">
        <v>2.0</v>
      </c>
      <c r="M69" s="223">
        <v>0.6777777777777769</v>
      </c>
      <c r="N69" s="223">
        <v>0.6874999999999991</v>
      </c>
      <c r="O69" s="223">
        <v>0.695138888888888</v>
      </c>
      <c r="P69" s="271">
        <v>3.0</v>
      </c>
      <c r="Q69" s="223">
        <v>0.6972222222222213</v>
      </c>
      <c r="R69" s="223">
        <v>0.701388888888888</v>
      </c>
      <c r="S69" s="271">
        <v>5.0</v>
      </c>
      <c r="T69" s="223">
        <v>0.7048611111111102</v>
      </c>
      <c r="U69" s="223">
        <v>0.7111111111111101</v>
      </c>
      <c r="V69" s="223">
        <v>0.7131944444444435</v>
      </c>
      <c r="W69" s="271">
        <v>2.0</v>
      </c>
      <c r="X69" s="223">
        <v>0.7145833333333323</v>
      </c>
      <c r="Y69" s="223"/>
      <c r="Z69" s="223">
        <v>0.7208333333333323</v>
      </c>
      <c r="AA69" s="223">
        <v>0.7277777777777767</v>
      </c>
      <c r="AB69" s="271">
        <v>5.0</v>
      </c>
      <c r="AC69" s="223">
        <v>0.731249999999999</v>
      </c>
      <c r="AD69" s="223">
        <v>0.7402777777777767</v>
      </c>
      <c r="AE69" s="271">
        <v>7.0</v>
      </c>
      <c r="AF69" s="223">
        <v>0.7451388888888878</v>
      </c>
      <c r="AG69" s="223"/>
      <c r="AH69" s="103">
        <f t="shared" si="13"/>
        <v>120</v>
      </c>
      <c r="AI69" s="103">
        <f t="shared" si="24"/>
        <v>151</v>
      </c>
      <c r="AJ69" s="103">
        <f t="shared" si="15"/>
        <v>31</v>
      </c>
      <c r="AK69" s="104">
        <f t="shared" si="16"/>
        <v>0.2583333333</v>
      </c>
      <c r="AL69" s="142">
        <f t="shared" si="20"/>
        <v>30</v>
      </c>
      <c r="AO69" s="203">
        <f t="shared" ref="AO69:AP69" si="38">(C69-C28)*1440</f>
        <v>1</v>
      </c>
      <c r="AP69" s="203">
        <f t="shared" si="38"/>
        <v>0</v>
      </c>
      <c r="AQ69" s="203">
        <f t="shared" si="18"/>
        <v>0</v>
      </c>
      <c r="AR69" s="203">
        <f t="shared" si="19"/>
        <v>0</v>
      </c>
    </row>
    <row r="70" ht="15.0" customHeight="1">
      <c r="A70" s="127"/>
      <c r="B70" s="141" t="s">
        <v>78</v>
      </c>
      <c r="C70" s="223">
        <v>0.6611111111111104</v>
      </c>
      <c r="D70" s="223">
        <v>0.6715277777777771</v>
      </c>
      <c r="E70" s="271">
        <v>5.0</v>
      </c>
      <c r="F70" s="223">
        <v>0.6749999999999993</v>
      </c>
      <c r="G70" s="223">
        <v>0.6791666666666659</v>
      </c>
      <c r="H70" s="271">
        <v>2.0</v>
      </c>
      <c r="I70" s="223">
        <v>0.6805555555555548</v>
      </c>
      <c r="J70" s="223">
        <v>0.6895833333333325</v>
      </c>
      <c r="K70" s="223">
        <v>0.6972222222222214</v>
      </c>
      <c r="L70" s="271">
        <v>2.0</v>
      </c>
      <c r="M70" s="223">
        <v>0.6986111111111103</v>
      </c>
      <c r="N70" s="223">
        <v>0.7083333333333325</v>
      </c>
      <c r="O70" s="223">
        <v>0.7159722222222213</v>
      </c>
      <c r="P70" s="271">
        <v>4.0</v>
      </c>
      <c r="Q70" s="223">
        <v>0.7187499999999991</v>
      </c>
      <c r="R70" s="223">
        <v>0.7229166666666658</v>
      </c>
      <c r="S70" s="271">
        <v>5.0</v>
      </c>
      <c r="T70" s="223">
        <v>0.726388888888888</v>
      </c>
      <c r="U70" s="223">
        <v>0.732638888888888</v>
      </c>
      <c r="V70" s="223">
        <v>0.7347222222222213</v>
      </c>
      <c r="W70" s="271">
        <v>2.0</v>
      </c>
      <c r="X70" s="223">
        <v>0.7361111111111102</v>
      </c>
      <c r="Y70" s="223"/>
      <c r="Z70" s="223">
        <v>0.7423611111111101</v>
      </c>
      <c r="AA70" s="223">
        <v>0.7493055555555546</v>
      </c>
      <c r="AB70" s="271">
        <v>5.0</v>
      </c>
      <c r="AC70" s="223">
        <v>0.7527777777777768</v>
      </c>
      <c r="AD70" s="223">
        <v>0.7618055555555545</v>
      </c>
      <c r="AE70" s="271">
        <v>6.0</v>
      </c>
      <c r="AF70" s="223">
        <v>0.7659722222222212</v>
      </c>
      <c r="AG70" s="223"/>
      <c r="AH70" s="103">
        <f t="shared" si="13"/>
        <v>120</v>
      </c>
      <c r="AI70" s="103">
        <f t="shared" si="24"/>
        <v>151</v>
      </c>
      <c r="AJ70" s="103">
        <f t="shared" si="15"/>
        <v>31</v>
      </c>
      <c r="AK70" s="104">
        <f t="shared" si="16"/>
        <v>0.2583333333</v>
      </c>
      <c r="AL70" s="142">
        <f t="shared" si="20"/>
        <v>30</v>
      </c>
      <c r="AO70" s="203">
        <f t="shared" ref="AO70:AP70" si="39">(C70-C29)*1440</f>
        <v>1</v>
      </c>
      <c r="AP70" s="203">
        <f t="shared" si="39"/>
        <v>0</v>
      </c>
      <c r="AQ70" s="203">
        <f t="shared" si="18"/>
        <v>0</v>
      </c>
      <c r="AR70" s="203">
        <f t="shared" si="19"/>
        <v>0</v>
      </c>
    </row>
    <row r="71" ht="15.0" customHeight="1">
      <c r="A71" s="127"/>
      <c r="B71" s="141" t="s">
        <v>79</v>
      </c>
      <c r="C71" s="223">
        <v>0.682638888888888</v>
      </c>
      <c r="D71" s="223">
        <v>0.6923611111111102</v>
      </c>
      <c r="E71" s="271">
        <v>5.0</v>
      </c>
      <c r="F71" s="223">
        <v>0.6958333333333324</v>
      </c>
      <c r="G71" s="223">
        <v>0.6999999999999991</v>
      </c>
      <c r="H71" s="271">
        <v>2.0</v>
      </c>
      <c r="I71" s="223">
        <v>0.701388888888888</v>
      </c>
      <c r="J71" s="223">
        <v>0.7104166666666657</v>
      </c>
      <c r="K71" s="223">
        <v>0.7180555555555546</v>
      </c>
      <c r="L71" s="271">
        <v>2.0</v>
      </c>
      <c r="M71" s="223">
        <v>0.7194444444444434</v>
      </c>
      <c r="N71" s="223">
        <v>0.7284722222222212</v>
      </c>
      <c r="O71" s="223">
        <v>0.7347222222222212</v>
      </c>
      <c r="P71" s="271">
        <v>5.0</v>
      </c>
      <c r="Q71" s="223">
        <v>0.7381944444444434</v>
      </c>
      <c r="R71" s="223">
        <v>0.74236111111111</v>
      </c>
      <c r="S71" s="271">
        <v>7.0</v>
      </c>
      <c r="T71" s="223">
        <v>0.7472222222222211</v>
      </c>
      <c r="U71" s="223">
        <v>0.7534722222222211</v>
      </c>
      <c r="V71" s="223">
        <v>0.7555555555555544</v>
      </c>
      <c r="W71" s="271">
        <v>2.0</v>
      </c>
      <c r="X71" s="223">
        <v>0.7569444444444433</v>
      </c>
      <c r="Y71" s="223"/>
      <c r="Z71" s="223">
        <v>0.7631944444444433</v>
      </c>
      <c r="AA71" s="223">
        <v>0.7687499999999988</v>
      </c>
      <c r="AB71" s="271">
        <v>5.0</v>
      </c>
      <c r="AC71" s="223">
        <v>0.772222222222221</v>
      </c>
      <c r="AD71" s="223">
        <v>0.7812499999999988</v>
      </c>
      <c r="AE71" s="271">
        <v>8.0</v>
      </c>
      <c r="AF71" s="223">
        <v>0.7868055555555543</v>
      </c>
      <c r="AG71" s="223"/>
      <c r="AH71" s="103">
        <f t="shared" si="13"/>
        <v>114</v>
      </c>
      <c r="AI71" s="103">
        <f t="shared" si="24"/>
        <v>150</v>
      </c>
      <c r="AJ71" s="103">
        <f t="shared" si="15"/>
        <v>36</v>
      </c>
      <c r="AK71" s="104">
        <f t="shared" si="16"/>
        <v>0.3157894737</v>
      </c>
      <c r="AL71" s="142">
        <f t="shared" si="20"/>
        <v>30</v>
      </c>
      <c r="AO71" s="203">
        <f t="shared" ref="AO71:AP71" si="40">(C71-C30)*1440</f>
        <v>0</v>
      </c>
      <c r="AP71" s="203">
        <f t="shared" si="40"/>
        <v>0</v>
      </c>
      <c r="AQ71" s="203">
        <f t="shared" si="18"/>
        <v>0</v>
      </c>
      <c r="AR71" s="203">
        <f t="shared" si="19"/>
        <v>0</v>
      </c>
    </row>
    <row r="72" ht="15.0" customHeight="1">
      <c r="A72" s="127"/>
      <c r="B72" s="141" t="s">
        <v>79</v>
      </c>
      <c r="C72" s="223">
        <v>0.7034722222222212</v>
      </c>
      <c r="D72" s="223">
        <v>0.7131944444444434</v>
      </c>
      <c r="E72" s="271">
        <v>5.0</v>
      </c>
      <c r="F72" s="223">
        <v>0.7166666666666656</v>
      </c>
      <c r="G72" s="223">
        <v>0.7208333333333322</v>
      </c>
      <c r="H72" s="271">
        <v>2.0</v>
      </c>
      <c r="I72" s="223">
        <v>0.7222222222222211</v>
      </c>
      <c r="J72" s="223">
        <v>0.7312499999999988</v>
      </c>
      <c r="K72" s="223">
        <v>0.7388888888888877</v>
      </c>
      <c r="L72" s="271">
        <v>2.0</v>
      </c>
      <c r="M72" s="223">
        <v>0.7402777777777766</v>
      </c>
      <c r="N72" s="223">
        <v>0.7493055555555543</v>
      </c>
      <c r="O72" s="223">
        <v>0.7555555555555543</v>
      </c>
      <c r="P72" s="271">
        <v>5.0</v>
      </c>
      <c r="Q72" s="223">
        <v>0.7590277777777765</v>
      </c>
      <c r="R72" s="223">
        <v>0.7631944444444432</v>
      </c>
      <c r="S72" s="271">
        <v>5.0</v>
      </c>
      <c r="T72" s="223">
        <v>0.7666666666666654</v>
      </c>
      <c r="U72" s="223">
        <v>0.7729166666666654</v>
      </c>
      <c r="V72" s="223">
        <v>0.7749999999999987</v>
      </c>
      <c r="W72" s="271">
        <v>2.0</v>
      </c>
      <c r="X72" s="223">
        <v>0.7763888888888876</v>
      </c>
      <c r="Y72" s="223"/>
      <c r="Z72" s="223">
        <v>0.7826388888888876</v>
      </c>
      <c r="AA72" s="223">
        <v>0.7881944444444431</v>
      </c>
      <c r="AB72" s="271">
        <v>5.0</v>
      </c>
      <c r="AC72" s="223">
        <v>0.7916666666666653</v>
      </c>
      <c r="AD72" s="223">
        <v>0.800694444444443</v>
      </c>
      <c r="AE72" s="271">
        <v>10.0</v>
      </c>
      <c r="AF72" s="223">
        <v>0.8076388888888875</v>
      </c>
      <c r="AG72" s="223"/>
      <c r="AH72" s="103">
        <f t="shared" si="13"/>
        <v>114</v>
      </c>
      <c r="AI72" s="103">
        <f t="shared" si="24"/>
        <v>150</v>
      </c>
      <c r="AJ72" s="103">
        <f t="shared" si="15"/>
        <v>36</v>
      </c>
      <c r="AK72" s="104">
        <f t="shared" si="16"/>
        <v>0.3157894737</v>
      </c>
      <c r="AL72" s="142">
        <f t="shared" si="20"/>
        <v>30</v>
      </c>
      <c r="AO72" s="203">
        <f t="shared" ref="AO72:AP72" si="41">(C72-C31)*1440</f>
        <v>0</v>
      </c>
      <c r="AP72" s="203">
        <f t="shared" si="41"/>
        <v>0</v>
      </c>
      <c r="AQ72" s="203">
        <f t="shared" si="18"/>
        <v>0</v>
      </c>
      <c r="AR72" s="203">
        <f t="shared" si="19"/>
        <v>0</v>
      </c>
    </row>
    <row r="73" ht="15.0" customHeight="1">
      <c r="A73" s="127"/>
      <c r="B73" s="141" t="s">
        <v>79</v>
      </c>
      <c r="C73" s="223">
        <v>0.7243055555555544</v>
      </c>
      <c r="D73" s="223">
        <v>0.7340277777777766</v>
      </c>
      <c r="E73" s="271">
        <v>5.0</v>
      </c>
      <c r="F73" s="223">
        <v>0.7374999999999988</v>
      </c>
      <c r="G73" s="223">
        <v>0.7416666666666655</v>
      </c>
      <c r="H73" s="271">
        <v>2.0</v>
      </c>
      <c r="I73" s="223">
        <v>0.7430555555555544</v>
      </c>
      <c r="J73" s="223">
        <v>0.7520833333333321</v>
      </c>
      <c r="K73" s="223">
        <v>0.759722222222221</v>
      </c>
      <c r="L73" s="271">
        <v>2.0</v>
      </c>
      <c r="M73" s="223">
        <v>0.7611111111111099</v>
      </c>
      <c r="N73" s="223">
        <v>0.7701388888888876</v>
      </c>
      <c r="O73" s="223">
        <v>0.7763888888888876</v>
      </c>
      <c r="P73" s="271">
        <v>5.0</v>
      </c>
      <c r="Q73" s="223">
        <v>0.7798611111111098</v>
      </c>
      <c r="R73" s="223">
        <v>0.7840277777777764</v>
      </c>
      <c r="S73" s="271"/>
      <c r="T73" s="231"/>
      <c r="U73" s="223"/>
      <c r="V73" s="223"/>
      <c r="W73" s="271"/>
      <c r="X73" s="223"/>
      <c r="Y73" s="223"/>
      <c r="Z73" s="223"/>
      <c r="AA73" s="223"/>
      <c r="AB73" s="271"/>
      <c r="AC73" s="223"/>
      <c r="AD73" s="223"/>
      <c r="AE73" s="271"/>
      <c r="AF73" s="223"/>
      <c r="AG73" s="223"/>
      <c r="AH73" s="103">
        <f t="shared" si="13"/>
        <v>72</v>
      </c>
      <c r="AI73" s="103">
        <f>(R73-C73)*1440</f>
        <v>86</v>
      </c>
      <c r="AJ73" s="103">
        <f t="shared" si="15"/>
        <v>14</v>
      </c>
      <c r="AK73" s="104">
        <f t="shared" si="16"/>
        <v>0.1944444444</v>
      </c>
      <c r="AL73" s="142"/>
      <c r="AO73" s="203">
        <f t="shared" ref="AO73:AP73" si="42">(C73-C32)*1440</f>
        <v>0</v>
      </c>
      <c r="AP73" s="203">
        <f t="shared" si="42"/>
        <v>0</v>
      </c>
      <c r="AQ73" s="203">
        <f t="shared" si="18"/>
        <v>0</v>
      </c>
      <c r="AR73" s="203">
        <f t="shared" si="19"/>
        <v>0</v>
      </c>
    </row>
    <row r="74" ht="15.0" customHeight="1">
      <c r="A74" s="127"/>
      <c r="B74" s="141" t="s">
        <v>79</v>
      </c>
      <c r="C74" s="223">
        <v>0.7451388888888878</v>
      </c>
      <c r="D74" s="223">
        <v>0.75486111111111</v>
      </c>
      <c r="E74" s="271">
        <v>5.0</v>
      </c>
      <c r="F74" s="223">
        <v>0.7583333333333322</v>
      </c>
      <c r="G74" s="223">
        <v>0.7624999999999988</v>
      </c>
      <c r="H74" s="271">
        <v>2.0</v>
      </c>
      <c r="I74" s="223">
        <v>0.7638888888888877</v>
      </c>
      <c r="J74" s="223">
        <v>0.7729166666666655</v>
      </c>
      <c r="K74" s="223">
        <v>0.7805555555555543</v>
      </c>
      <c r="L74" s="271">
        <v>3.0</v>
      </c>
      <c r="M74" s="223">
        <v>0.7826388888888877</v>
      </c>
      <c r="N74" s="223">
        <v>0.7916666666666654</v>
      </c>
      <c r="O74" s="223">
        <v>0.7979166666666654</v>
      </c>
      <c r="P74" s="271">
        <v>5.0</v>
      </c>
      <c r="Q74" s="223">
        <v>0.8013888888888876</v>
      </c>
      <c r="R74" s="223">
        <v>0.8055555555555542</v>
      </c>
      <c r="S74" s="271">
        <v>5.0</v>
      </c>
      <c r="T74" s="223">
        <v>0.8090277777777765</v>
      </c>
      <c r="U74" s="223">
        <v>0.8152777777777764</v>
      </c>
      <c r="V74" s="223">
        <v>0.8173611111111098</v>
      </c>
      <c r="W74" s="271">
        <v>2.0</v>
      </c>
      <c r="X74" s="223">
        <v>0.8187499999999986</v>
      </c>
      <c r="Y74" s="223"/>
      <c r="Z74" s="223">
        <v>0.8249999999999986</v>
      </c>
      <c r="AA74" s="223">
        <v>0.8305555555555542</v>
      </c>
      <c r="AB74" s="271">
        <v>5.0</v>
      </c>
      <c r="AC74" s="223">
        <v>0.8340277777777764</v>
      </c>
      <c r="AD74" s="223">
        <v>0.8430555555555541</v>
      </c>
      <c r="AE74" s="271">
        <v>9.0</v>
      </c>
      <c r="AF74" s="223">
        <v>0.8493055555555541</v>
      </c>
      <c r="AG74" s="223"/>
      <c r="AH74" s="103">
        <f t="shared" si="13"/>
        <v>114</v>
      </c>
      <c r="AI74" s="103">
        <f>(AF74-C74)*1440</f>
        <v>150</v>
      </c>
      <c r="AJ74" s="103">
        <f t="shared" si="15"/>
        <v>36</v>
      </c>
      <c r="AK74" s="104">
        <f t="shared" si="16"/>
        <v>0.3157894737</v>
      </c>
      <c r="AL74" s="142">
        <f>(AF74-AF72)*1440</f>
        <v>60</v>
      </c>
      <c r="AO74" s="203">
        <f t="shared" ref="AO74:AP74" si="43">(C74-C33)*1440</f>
        <v>0</v>
      </c>
      <c r="AP74" s="203">
        <f t="shared" si="43"/>
        <v>0</v>
      </c>
      <c r="AQ74" s="203">
        <f t="shared" si="18"/>
        <v>0</v>
      </c>
      <c r="AR74" s="203">
        <f t="shared" si="19"/>
        <v>0</v>
      </c>
    </row>
    <row r="75" ht="15.0" customHeight="1">
      <c r="A75" s="127"/>
      <c r="B75" s="141" t="s">
        <v>79</v>
      </c>
      <c r="C75" s="223">
        <v>0.7659722222222212</v>
      </c>
      <c r="D75" s="223">
        <v>0.7756944444444434</v>
      </c>
      <c r="E75" s="271"/>
      <c r="F75" s="231"/>
      <c r="G75" s="223"/>
      <c r="H75" s="271"/>
      <c r="I75" s="223"/>
      <c r="J75" s="223"/>
      <c r="K75" s="223"/>
      <c r="L75" s="271"/>
      <c r="M75" s="223"/>
      <c r="N75" s="223"/>
      <c r="O75" s="223"/>
      <c r="P75" s="271"/>
      <c r="Q75" s="223"/>
      <c r="R75" s="223"/>
      <c r="S75" s="271"/>
      <c r="T75" s="223"/>
      <c r="U75" s="223"/>
      <c r="V75" s="223"/>
      <c r="W75" s="271"/>
      <c r="X75" s="223"/>
      <c r="Y75" s="223"/>
      <c r="Z75" s="223"/>
      <c r="AA75" s="223"/>
      <c r="AB75" s="271"/>
      <c r="AC75" s="223"/>
      <c r="AD75" s="223"/>
      <c r="AE75" s="271"/>
      <c r="AF75" s="223"/>
      <c r="AG75" s="223"/>
      <c r="AH75" s="103">
        <f t="shared" si="13"/>
        <v>14</v>
      </c>
      <c r="AI75" s="103">
        <f>(D75-C75)*1440</f>
        <v>14</v>
      </c>
      <c r="AJ75" s="103">
        <f t="shared" si="15"/>
        <v>0</v>
      </c>
      <c r="AK75" s="104">
        <f t="shared" si="16"/>
        <v>0</v>
      </c>
      <c r="AL75" s="142"/>
      <c r="AO75" s="203">
        <f t="shared" ref="AO75:AP75" si="44">(C75-C34)*1440</f>
        <v>0</v>
      </c>
      <c r="AP75" s="203">
        <f t="shared" si="44"/>
        <v>0</v>
      </c>
      <c r="AQ75" s="203">
        <f t="shared" si="18"/>
        <v>0</v>
      </c>
      <c r="AR75" s="203">
        <f t="shared" si="19"/>
        <v>0</v>
      </c>
    </row>
    <row r="76" ht="15.0" customHeight="1">
      <c r="A76" s="127"/>
      <c r="B76" s="141" t="s">
        <v>98</v>
      </c>
      <c r="C76" s="223">
        <v>0.7868055555555543</v>
      </c>
      <c r="D76" s="223">
        <v>0.7965277777777765</v>
      </c>
      <c r="E76" s="271">
        <v>5.0</v>
      </c>
      <c r="F76" s="223">
        <v>0.7999999999999987</v>
      </c>
      <c r="G76" s="223">
        <v>0.8041666666666654</v>
      </c>
      <c r="H76" s="271">
        <v>2.0</v>
      </c>
      <c r="I76" s="223">
        <v>0.8055555555555542</v>
      </c>
      <c r="J76" s="223">
        <v>0.814583333333332</v>
      </c>
      <c r="K76" s="223">
        <v>0.8215277777777764</v>
      </c>
      <c r="L76" s="271">
        <v>3.0</v>
      </c>
      <c r="M76" s="223">
        <v>0.8236111111111097</v>
      </c>
      <c r="N76" s="223">
        <v>0.831944444444443</v>
      </c>
      <c r="O76" s="223">
        <v>0.838194444444443</v>
      </c>
      <c r="P76" s="271">
        <v>5.0</v>
      </c>
      <c r="Q76" s="223">
        <v>0.8416666666666652</v>
      </c>
      <c r="R76" s="223">
        <v>0.8458333333333319</v>
      </c>
      <c r="S76" s="271">
        <v>7.0</v>
      </c>
      <c r="T76" s="223">
        <v>0.850694444444443</v>
      </c>
      <c r="U76" s="223">
        <v>0.856944444444443</v>
      </c>
      <c r="V76" s="223">
        <v>0.8590277777777763</v>
      </c>
      <c r="W76" s="271">
        <v>2.0</v>
      </c>
      <c r="X76" s="223">
        <v>0.8604166666666652</v>
      </c>
      <c r="Y76" s="223"/>
      <c r="Z76" s="223">
        <v>0.8666666666666651</v>
      </c>
      <c r="AA76" s="223">
        <v>0.8722222222222207</v>
      </c>
      <c r="AB76" s="271">
        <v>5.0</v>
      </c>
      <c r="AC76" s="223">
        <v>0.8756944444444429</v>
      </c>
      <c r="AD76" s="223">
        <v>0.8840277777777762</v>
      </c>
      <c r="AE76" s="271">
        <v>10.0</v>
      </c>
      <c r="AF76" s="223">
        <v>0.8909722222222206</v>
      </c>
      <c r="AG76" s="223"/>
      <c r="AH76" s="103">
        <f t="shared" si="13"/>
        <v>111</v>
      </c>
      <c r="AI76" s="103">
        <f>(AF76-C76)*1440</f>
        <v>150</v>
      </c>
      <c r="AJ76" s="103">
        <f t="shared" si="15"/>
        <v>39</v>
      </c>
      <c r="AK76" s="104">
        <f t="shared" si="16"/>
        <v>0.3513513514</v>
      </c>
      <c r="AL76" s="142">
        <f>(AF76-AF74)*1440</f>
        <v>60</v>
      </c>
      <c r="AO76" s="203">
        <f t="shared" ref="AO76:AP76" si="45">(C76-C35)*1440</f>
        <v>0</v>
      </c>
      <c r="AP76" s="203">
        <f t="shared" si="45"/>
        <v>0</v>
      </c>
      <c r="AQ76" s="203">
        <f t="shared" si="18"/>
        <v>0</v>
      </c>
      <c r="AR76" s="203">
        <f t="shared" si="19"/>
        <v>0</v>
      </c>
    </row>
    <row r="77" ht="15.0" customHeight="1">
      <c r="A77" s="127"/>
      <c r="B77" s="141" t="s">
        <v>98</v>
      </c>
      <c r="C77" s="223">
        <v>0.8076388888888875</v>
      </c>
      <c r="D77" s="223">
        <v>0.8173611111111097</v>
      </c>
      <c r="E77" s="271"/>
      <c r="F77" s="231"/>
      <c r="G77" s="223"/>
      <c r="H77" s="271"/>
      <c r="I77" s="223"/>
      <c r="J77" s="223"/>
      <c r="K77" s="223"/>
      <c r="L77" s="271"/>
      <c r="M77" s="223"/>
      <c r="N77" s="223"/>
      <c r="O77" s="223"/>
      <c r="P77" s="271"/>
      <c r="Q77" s="223"/>
      <c r="R77" s="223"/>
      <c r="S77" s="271"/>
      <c r="T77" s="223"/>
      <c r="U77" s="223"/>
      <c r="V77" s="223"/>
      <c r="W77" s="271"/>
      <c r="X77" s="223"/>
      <c r="Y77" s="223"/>
      <c r="Z77" s="223"/>
      <c r="AA77" s="223"/>
      <c r="AB77" s="271"/>
      <c r="AC77" s="223"/>
      <c r="AD77" s="223"/>
      <c r="AE77" s="271"/>
      <c r="AF77" s="223"/>
      <c r="AG77" s="223"/>
      <c r="AH77" s="103">
        <f t="shared" si="13"/>
        <v>14</v>
      </c>
      <c r="AI77" s="103">
        <f>(D77-C77)*1440</f>
        <v>14</v>
      </c>
      <c r="AJ77" s="103">
        <f t="shared" si="15"/>
        <v>0</v>
      </c>
      <c r="AK77" s="104">
        <f t="shared" si="16"/>
        <v>0</v>
      </c>
      <c r="AL77" s="142"/>
      <c r="AO77" s="203">
        <f t="shared" ref="AO77:AP77" si="46">(C77-C36)*1440</f>
        <v>0</v>
      </c>
      <c r="AP77" s="203">
        <f t="shared" si="46"/>
        <v>0</v>
      </c>
      <c r="AQ77" s="203">
        <f t="shared" si="18"/>
        <v>0</v>
      </c>
      <c r="AR77" s="203">
        <f t="shared" si="19"/>
        <v>0</v>
      </c>
    </row>
    <row r="78" ht="15.0" customHeight="1">
      <c r="A78" s="127"/>
      <c r="B78" s="141" t="s">
        <v>98</v>
      </c>
      <c r="C78" s="223">
        <v>0.8493055555555541</v>
      </c>
      <c r="D78" s="223">
        <v>0.8590277777777763</v>
      </c>
      <c r="E78" s="271">
        <v>5.0</v>
      </c>
      <c r="F78" s="232">
        <v>0.8416666666666652</v>
      </c>
      <c r="G78" s="223">
        <v>0.8458333333333319</v>
      </c>
      <c r="H78" s="271">
        <v>2.0</v>
      </c>
      <c r="I78" s="223">
        <v>0.8472222222222208</v>
      </c>
      <c r="J78" s="223">
        <v>0.8562499999999985</v>
      </c>
      <c r="K78" s="223">
        <v>0.8631944444444429</v>
      </c>
      <c r="L78" s="271">
        <v>3.0</v>
      </c>
      <c r="M78" s="223">
        <v>0.8652777777777763</v>
      </c>
      <c r="N78" s="223">
        <v>0.8736111111111096</v>
      </c>
      <c r="O78" s="223">
        <v>0.8798611111111095</v>
      </c>
      <c r="P78" s="271">
        <v>2.0</v>
      </c>
      <c r="Q78" s="223">
        <v>0.8812499999999984</v>
      </c>
      <c r="R78" s="223">
        <v>0.8854166666666651</v>
      </c>
      <c r="S78" s="271">
        <v>5.0</v>
      </c>
      <c r="T78" s="223">
        <v>0.8888888888888873</v>
      </c>
      <c r="U78" s="223">
        <v>0.8951388888888873</v>
      </c>
      <c r="V78" s="223">
        <v>0.8972222222222206</v>
      </c>
      <c r="W78" s="271">
        <v>2.0</v>
      </c>
      <c r="X78" s="223">
        <v>0.8986111111111095</v>
      </c>
      <c r="Y78" s="223"/>
      <c r="Z78" s="223">
        <v>0.9048611111111095</v>
      </c>
      <c r="AA78" s="223">
        <v>0.910416666666665</v>
      </c>
      <c r="AB78" s="271">
        <v>5.0</v>
      </c>
      <c r="AC78" s="223">
        <v>0.9138888888888872</v>
      </c>
      <c r="AD78" s="223">
        <v>0.9222222222222205</v>
      </c>
      <c r="AE78" s="271">
        <v>15.0</v>
      </c>
      <c r="AF78" s="223">
        <v>0.9326388888888871</v>
      </c>
      <c r="AG78" s="223"/>
      <c r="AH78" s="103">
        <f t="shared" si="13"/>
        <v>111</v>
      </c>
      <c r="AI78" s="103">
        <f t="shared" ref="AI78:AI80" si="48">(AF78-F78)*1440+(D78-C78)*1440+E78</f>
        <v>150</v>
      </c>
      <c r="AJ78" s="103">
        <f t="shared" si="15"/>
        <v>39</v>
      </c>
      <c r="AK78" s="104">
        <f t="shared" si="16"/>
        <v>0.3513513514</v>
      </c>
      <c r="AL78" s="142">
        <f>(AF78-AF76)*1440</f>
        <v>60</v>
      </c>
      <c r="AO78" s="203">
        <f t="shared" ref="AO78:AP78" si="47">(C78-C37)*1440</f>
        <v>0</v>
      </c>
      <c r="AP78" s="203">
        <f t="shared" si="47"/>
        <v>0</v>
      </c>
      <c r="AQ78" s="203">
        <f t="shared" si="18"/>
        <v>0</v>
      </c>
      <c r="AR78" s="203">
        <f t="shared" si="19"/>
        <v>0</v>
      </c>
    </row>
    <row r="79" ht="15.0" customHeight="1">
      <c r="A79" s="127"/>
      <c r="B79" s="141" t="s">
        <v>98</v>
      </c>
      <c r="C79" s="223">
        <v>0.8909722222222206</v>
      </c>
      <c r="D79" s="223">
        <v>0.9006944444444428</v>
      </c>
      <c r="E79" s="271">
        <v>5.0</v>
      </c>
      <c r="F79" s="232">
        <v>0.8833333333333317</v>
      </c>
      <c r="G79" s="223">
        <v>0.8874999999999984</v>
      </c>
      <c r="H79" s="271">
        <v>2.0</v>
      </c>
      <c r="I79" s="223">
        <v>0.8888888888888873</v>
      </c>
      <c r="J79" s="223">
        <v>0.897916666666665</v>
      </c>
      <c r="K79" s="223">
        <v>0.9048611111111095</v>
      </c>
      <c r="L79" s="271">
        <v>3.0</v>
      </c>
      <c r="M79" s="223">
        <v>0.9069444444444428</v>
      </c>
      <c r="N79" s="223">
        <v>0.9152777777777761</v>
      </c>
      <c r="O79" s="223">
        <v>0.9215277777777761</v>
      </c>
      <c r="P79" s="271">
        <v>2.0</v>
      </c>
      <c r="Q79" s="223">
        <v>0.9229166666666649</v>
      </c>
      <c r="R79" s="223">
        <v>0.9270833333333316</v>
      </c>
      <c r="S79" s="271">
        <v>5.0</v>
      </c>
      <c r="T79" s="223">
        <v>0.9305555555555538</v>
      </c>
      <c r="U79" s="223">
        <v>0.9368055555555538</v>
      </c>
      <c r="V79" s="223">
        <v>0.9388888888888871</v>
      </c>
      <c r="W79" s="271">
        <v>2.0</v>
      </c>
      <c r="X79" s="223">
        <v>0.940277777777776</v>
      </c>
      <c r="Y79" s="223"/>
      <c r="Z79" s="223">
        <v>0.946527777777776</v>
      </c>
      <c r="AA79" s="223">
        <v>0.9520833333333315</v>
      </c>
      <c r="AB79" s="271">
        <v>5.0</v>
      </c>
      <c r="AC79" s="223">
        <v>0.9555555555555537</v>
      </c>
      <c r="AD79" s="223">
        <v>0.963888888888887</v>
      </c>
      <c r="AE79" s="271">
        <v>15.0</v>
      </c>
      <c r="AF79" s="223">
        <v>0.9743055555555536</v>
      </c>
      <c r="AG79" s="223"/>
      <c r="AH79" s="103">
        <f t="shared" si="13"/>
        <v>111</v>
      </c>
      <c r="AI79" s="103">
        <f t="shared" si="48"/>
        <v>150</v>
      </c>
      <c r="AJ79" s="103">
        <f t="shared" si="15"/>
        <v>39</v>
      </c>
      <c r="AK79" s="104">
        <f t="shared" si="16"/>
        <v>0.3513513514</v>
      </c>
      <c r="AL79" s="142">
        <f t="shared" ref="AL79:AL80" si="50">(AF79-AF78)*1440</f>
        <v>60</v>
      </c>
      <c r="AO79" s="203">
        <f t="shared" ref="AO79:AP79" si="49">(C79-C38)*1440</f>
        <v>0</v>
      </c>
      <c r="AP79" s="203">
        <f t="shared" si="49"/>
        <v>0</v>
      </c>
      <c r="AQ79" s="203">
        <f t="shared" si="18"/>
        <v>0</v>
      </c>
      <c r="AR79" s="203">
        <f t="shared" si="19"/>
        <v>0</v>
      </c>
    </row>
    <row r="80" ht="15.0" customHeight="1">
      <c r="A80" s="127"/>
      <c r="B80" s="141" t="s">
        <v>98</v>
      </c>
      <c r="C80" s="223">
        <v>0.9326388888888871</v>
      </c>
      <c r="D80" s="223">
        <v>0.9423611111111093</v>
      </c>
      <c r="E80" s="271">
        <v>5.0</v>
      </c>
      <c r="F80" s="232">
        <v>0.9249999999999983</v>
      </c>
      <c r="G80" s="223">
        <v>0.9291666666666649</v>
      </c>
      <c r="H80" s="271">
        <v>2.0</v>
      </c>
      <c r="I80" s="223">
        <v>0.9305555555555538</v>
      </c>
      <c r="J80" s="223">
        <v>0.9395833333333315</v>
      </c>
      <c r="K80" s="223">
        <v>0.946527777777776</v>
      </c>
      <c r="L80" s="271">
        <v>3.0</v>
      </c>
      <c r="M80" s="223">
        <v>0.9486111111111093</v>
      </c>
      <c r="N80" s="223">
        <v>0.9569444444444426</v>
      </c>
      <c r="O80" s="223">
        <v>0.9631944444444426</v>
      </c>
      <c r="P80" s="271">
        <v>2.0</v>
      </c>
      <c r="Q80" s="223">
        <v>0.9645833333333315</v>
      </c>
      <c r="R80" s="223">
        <v>0.9687499999999981</v>
      </c>
      <c r="S80" s="271">
        <v>5.0</v>
      </c>
      <c r="T80" s="223">
        <v>0.9722222222222203</v>
      </c>
      <c r="U80" s="223">
        <v>0.9784722222222203</v>
      </c>
      <c r="V80" s="223">
        <v>0.9805555555555536</v>
      </c>
      <c r="W80" s="271">
        <v>2.0</v>
      </c>
      <c r="X80" s="223">
        <v>0.9819444444444425</v>
      </c>
      <c r="Y80" s="223"/>
      <c r="Z80" s="223">
        <v>0.9881944444444425</v>
      </c>
      <c r="AA80" s="223">
        <v>0.993749999999998</v>
      </c>
      <c r="AB80" s="271">
        <v>5.0</v>
      </c>
      <c r="AC80" s="223">
        <v>0.9972222222222202</v>
      </c>
      <c r="AD80" s="223">
        <v>1.0055555555555535</v>
      </c>
      <c r="AE80" s="271">
        <v>15.0</v>
      </c>
      <c r="AF80" s="223">
        <v>1.0159722222222203</v>
      </c>
      <c r="AG80" s="223"/>
      <c r="AH80" s="103">
        <f t="shared" si="13"/>
        <v>111</v>
      </c>
      <c r="AI80" s="103">
        <f t="shared" si="48"/>
        <v>150</v>
      </c>
      <c r="AJ80" s="103">
        <f t="shared" si="15"/>
        <v>39</v>
      </c>
      <c r="AK80" s="104">
        <f t="shared" si="16"/>
        <v>0.3513513514</v>
      </c>
      <c r="AL80" s="142">
        <f t="shared" si="50"/>
        <v>60</v>
      </c>
      <c r="AO80" s="203">
        <f t="shared" ref="AO80:AP80" si="51">(C80-C39)*1440</f>
        <v>0</v>
      </c>
      <c r="AP80" s="203">
        <f t="shared" si="51"/>
        <v>0</v>
      </c>
      <c r="AQ80" s="203">
        <f t="shared" si="18"/>
        <v>0</v>
      </c>
      <c r="AR80" s="203">
        <f t="shared" si="19"/>
        <v>0</v>
      </c>
    </row>
    <row r="81" ht="15.0" customHeight="1">
      <c r="A81" s="127"/>
      <c r="B81" s="141" t="s">
        <v>98</v>
      </c>
      <c r="C81" s="223">
        <v>0.9743055555555536</v>
      </c>
      <c r="D81" s="223">
        <v>0.9840277777777758</v>
      </c>
      <c r="E81" s="271">
        <v>5.0</v>
      </c>
      <c r="F81" s="232">
        <v>0.9666666666666648</v>
      </c>
      <c r="G81" s="223">
        <v>0.9708333333333314</v>
      </c>
      <c r="H81" s="271">
        <v>2.0</v>
      </c>
      <c r="I81" s="223">
        <v>0.9722222222222203</v>
      </c>
      <c r="J81" s="223">
        <v>0.9812499999999981</v>
      </c>
      <c r="K81" s="223">
        <v>0.9881944444444425</v>
      </c>
      <c r="L81" s="271">
        <v>3.0</v>
      </c>
      <c r="M81" s="223">
        <v>0.9902777777777758</v>
      </c>
      <c r="N81" s="223">
        <v>0.9986111111111091</v>
      </c>
      <c r="O81" s="223">
        <v>1.0048611111111092</v>
      </c>
      <c r="P81" s="271">
        <v>2.0</v>
      </c>
      <c r="Q81" s="223">
        <v>1.006249999999998</v>
      </c>
      <c r="R81" s="223">
        <v>1.0104166666666647</v>
      </c>
      <c r="S81" s="271"/>
      <c r="T81" s="231"/>
      <c r="U81" s="223"/>
      <c r="V81" s="223"/>
      <c r="W81" s="271"/>
      <c r="X81" s="223"/>
      <c r="Y81" s="223"/>
      <c r="Z81" s="223"/>
      <c r="AA81" s="223"/>
      <c r="AB81" s="271"/>
      <c r="AC81" s="223"/>
      <c r="AD81" s="223"/>
      <c r="AE81" s="271"/>
      <c r="AF81" s="223"/>
      <c r="AG81" s="223"/>
      <c r="AH81" s="103">
        <f t="shared" si="13"/>
        <v>70</v>
      </c>
      <c r="AI81" s="103">
        <f>(R81-F81)*1440+(D81-C81)*1440+E81</f>
        <v>82</v>
      </c>
      <c r="AJ81" s="103">
        <f t="shared" si="15"/>
        <v>12</v>
      </c>
      <c r="AK81" s="104">
        <f t="shared" si="16"/>
        <v>0.1714285714</v>
      </c>
      <c r="AL81" s="142">
        <f>(R81-R80)*1440</f>
        <v>60</v>
      </c>
      <c r="AO81" s="203">
        <f t="shared" ref="AO81:AP81" si="52">(C81-C40)*1440</f>
        <v>0</v>
      </c>
      <c r="AP81" s="203">
        <f t="shared" si="52"/>
        <v>0</v>
      </c>
      <c r="AQ81" s="203">
        <f t="shared" si="18"/>
        <v>0</v>
      </c>
      <c r="AR81" s="203">
        <f t="shared" si="19"/>
        <v>0</v>
      </c>
    </row>
    <row r="82" ht="15.0" customHeight="1">
      <c r="A82" s="127"/>
      <c r="B82" s="141" t="s">
        <v>98</v>
      </c>
      <c r="C82" s="223">
        <v>1.0159722222222203</v>
      </c>
      <c r="D82" s="223">
        <v>1.0256944444444425</v>
      </c>
      <c r="E82" s="271">
        <v>5.0</v>
      </c>
      <c r="F82" s="272"/>
      <c r="G82" s="223"/>
      <c r="H82" s="271"/>
      <c r="I82" s="223"/>
      <c r="J82" s="223"/>
      <c r="K82" s="223"/>
      <c r="L82" s="271"/>
      <c r="M82" s="223"/>
      <c r="N82" s="223"/>
      <c r="O82" s="223"/>
      <c r="P82" s="271"/>
      <c r="Q82" s="223"/>
      <c r="R82" s="223"/>
      <c r="S82" s="271"/>
      <c r="T82" s="223"/>
      <c r="U82" s="223"/>
      <c r="V82" s="223"/>
      <c r="W82" s="271"/>
      <c r="X82" s="223"/>
      <c r="Y82" s="223"/>
      <c r="Z82" s="223"/>
      <c r="AA82" s="223"/>
      <c r="AB82" s="271"/>
      <c r="AC82" s="223"/>
      <c r="AD82" s="223"/>
      <c r="AE82" s="271"/>
      <c r="AF82" s="223"/>
      <c r="AG82" s="223"/>
      <c r="AH82" s="103">
        <f t="shared" si="13"/>
        <v>14</v>
      </c>
      <c r="AI82" s="103">
        <f>(AF82-F82)*1440+(D82-C82)*1440+E82</f>
        <v>19</v>
      </c>
      <c r="AJ82" s="103">
        <f t="shared" si="15"/>
        <v>5</v>
      </c>
      <c r="AK82" s="104">
        <f t="shared" si="16"/>
        <v>0.3571428571</v>
      </c>
      <c r="AL82" s="142">
        <f>(D82-D81)*1440</f>
        <v>60</v>
      </c>
      <c r="AO82" s="203">
        <f t="shared" ref="AO82:AP82" si="53">(C82-C41)*1440</f>
        <v>0</v>
      </c>
      <c r="AP82" s="203">
        <f t="shared" si="53"/>
        <v>0</v>
      </c>
      <c r="AQ82" s="203">
        <f t="shared" si="18"/>
        <v>0</v>
      </c>
      <c r="AR82" s="203">
        <f t="shared" si="19"/>
        <v>0</v>
      </c>
    </row>
    <row r="83" ht="15.0" customHeight="1">
      <c r="A83" s="156"/>
      <c r="Q83" s="273" t="s">
        <v>154</v>
      </c>
      <c r="AA83" s="110" t="s">
        <v>81</v>
      </c>
      <c r="AD83" s="110"/>
      <c r="AE83" s="271">
        <v>10.0</v>
      </c>
      <c r="AF83" s="110"/>
      <c r="AG83" s="110"/>
      <c r="AH83" s="157">
        <f t="shared" ref="AH83:AJ83" si="54">SUM(AH49:AH82)/60</f>
        <v>55.91666667</v>
      </c>
      <c r="AI83" s="164">
        <f t="shared" si="54"/>
        <v>71.76666667</v>
      </c>
      <c r="AJ83" s="159">
        <f t="shared" si="54"/>
        <v>15.85</v>
      </c>
      <c r="AK83" s="104">
        <f t="shared" si="16"/>
        <v>0.2834575261</v>
      </c>
      <c r="AP83" s="203">
        <f t="shared" ref="AP83:AP84" si="55">(N83-N42)*1440</f>
        <v>0</v>
      </c>
      <c r="AQ83" s="203">
        <f t="shared" ref="AQ83:AQ84" si="56">(AB83-AB42)*1440</f>
        <v>0</v>
      </c>
      <c r="AR83" s="203">
        <f t="shared" si="19"/>
        <v>0</v>
      </c>
    </row>
    <row r="84" ht="13.5" customHeight="1">
      <c r="A84" s="236"/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  <c r="AA84" s="236"/>
      <c r="AB84" s="236"/>
      <c r="AC84" s="236"/>
      <c r="AD84" s="236"/>
      <c r="AE84" s="236"/>
      <c r="AF84" s="236"/>
      <c r="AG84" s="236"/>
      <c r="AH84" s="236"/>
      <c r="AI84" s="236"/>
      <c r="AJ84" s="236"/>
      <c r="AK84" s="236"/>
      <c r="AL84" s="236"/>
      <c r="AP84" s="203">
        <f t="shared" si="55"/>
        <v>0</v>
      </c>
      <c r="AQ84" s="203">
        <f t="shared" si="56"/>
        <v>0</v>
      </c>
      <c r="AR84" s="203">
        <f t="shared" si="19"/>
        <v>0</v>
      </c>
    </row>
    <row r="85" ht="33.0" customHeight="1">
      <c r="A85" s="209" t="s">
        <v>99</v>
      </c>
    </row>
    <row r="86" ht="21.0" customHeight="1">
      <c r="A86" s="127"/>
      <c r="C86" s="243" t="s">
        <v>139</v>
      </c>
      <c r="D86" s="2"/>
      <c r="E86" s="2"/>
      <c r="F86" s="2"/>
      <c r="G86" s="2"/>
      <c r="H86" s="2"/>
      <c r="I86" s="2"/>
      <c r="J86" s="2"/>
      <c r="K86" s="2"/>
      <c r="L86" s="244"/>
      <c r="M86" s="245" t="s">
        <v>141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3"/>
      <c r="AD86" s="246"/>
      <c r="AE86" s="246"/>
      <c r="AF86" s="246"/>
      <c r="AG86" s="246"/>
    </row>
    <row r="87" ht="14.25" customHeight="1">
      <c r="A87" s="127"/>
      <c r="C87" s="247" t="s">
        <v>62</v>
      </c>
      <c r="D87" s="247" t="s">
        <v>85</v>
      </c>
      <c r="E87" s="248" t="s">
        <v>69</v>
      </c>
      <c r="F87" s="249" t="s">
        <v>62</v>
      </c>
      <c r="G87" s="247" t="s">
        <v>85</v>
      </c>
      <c r="H87" s="216"/>
      <c r="I87" s="247" t="s">
        <v>62</v>
      </c>
      <c r="J87" s="250"/>
      <c r="K87" s="251" t="s">
        <v>85</v>
      </c>
      <c r="L87" s="252"/>
      <c r="M87" s="247" t="s">
        <v>62</v>
      </c>
      <c r="N87" s="247"/>
      <c r="O87" s="247" t="s">
        <v>85</v>
      </c>
      <c r="P87" s="216"/>
      <c r="Q87" s="247" t="s">
        <v>62</v>
      </c>
      <c r="R87" s="247" t="s">
        <v>85</v>
      </c>
      <c r="S87" s="216"/>
      <c r="T87" s="247" t="s">
        <v>62</v>
      </c>
      <c r="U87" s="253"/>
      <c r="V87" s="247" t="s">
        <v>85</v>
      </c>
      <c r="W87" s="216"/>
      <c r="X87" s="247" t="s">
        <v>62</v>
      </c>
      <c r="Y87" s="254"/>
      <c r="Z87" s="254"/>
      <c r="AA87" s="247" t="s">
        <v>85</v>
      </c>
      <c r="AB87" s="255"/>
      <c r="AC87" s="249" t="s">
        <v>62</v>
      </c>
      <c r="AD87" s="247" t="s">
        <v>85</v>
      </c>
      <c r="AE87" s="248" t="s">
        <v>69</v>
      </c>
      <c r="AF87" s="249" t="s">
        <v>62</v>
      </c>
      <c r="AG87" s="253"/>
    </row>
    <row r="88" ht="28.5" customHeight="1">
      <c r="A88" s="127"/>
      <c r="B88" s="89" t="s">
        <v>63</v>
      </c>
      <c r="C88" s="256" t="s">
        <v>127</v>
      </c>
      <c r="D88" s="256" t="s">
        <v>132</v>
      </c>
      <c r="E88" s="200"/>
      <c r="F88" s="256" t="s">
        <v>132</v>
      </c>
      <c r="G88" s="257" t="s">
        <v>146</v>
      </c>
      <c r="H88" s="258"/>
      <c r="I88" s="257" t="s">
        <v>146</v>
      </c>
      <c r="J88" s="259" t="s">
        <v>87</v>
      </c>
      <c r="K88" s="260" t="s">
        <v>70</v>
      </c>
      <c r="L88" s="261"/>
      <c r="M88" s="256" t="s">
        <v>70</v>
      </c>
      <c r="N88" s="256" t="s">
        <v>147</v>
      </c>
      <c r="O88" s="257" t="s">
        <v>86</v>
      </c>
      <c r="P88" s="258"/>
      <c r="Q88" s="257" t="s">
        <v>86</v>
      </c>
      <c r="R88" s="256" t="s">
        <v>132</v>
      </c>
      <c r="S88" s="259"/>
      <c r="T88" s="256" t="s">
        <v>132</v>
      </c>
      <c r="U88" s="259" t="s">
        <v>148</v>
      </c>
      <c r="V88" s="262" t="s">
        <v>149</v>
      </c>
      <c r="W88" s="259"/>
      <c r="X88" s="262" t="s">
        <v>149</v>
      </c>
      <c r="Y88" s="256" t="s">
        <v>150</v>
      </c>
      <c r="Z88" s="256" t="s">
        <v>151</v>
      </c>
      <c r="AA88" s="256" t="s">
        <v>64</v>
      </c>
      <c r="AB88" s="263"/>
      <c r="AC88" s="264" t="s">
        <v>64</v>
      </c>
      <c r="AD88" s="256" t="s">
        <v>127</v>
      </c>
      <c r="AE88" s="200"/>
      <c r="AF88" s="264" t="s">
        <v>127</v>
      </c>
      <c r="AG88" s="265"/>
    </row>
    <row r="89" ht="14.25" customHeight="1">
      <c r="A89" s="127"/>
      <c r="B89" s="93" t="s">
        <v>72</v>
      </c>
      <c r="C89" s="266">
        <v>725.0</v>
      </c>
      <c r="D89" s="267">
        <v>732.0</v>
      </c>
      <c r="E89" s="175"/>
      <c r="F89" s="267">
        <v>732.0</v>
      </c>
      <c r="G89" s="268" t="s">
        <v>135</v>
      </c>
      <c r="H89" s="269" t="s">
        <v>69</v>
      </c>
      <c r="I89" s="268" t="s">
        <v>135</v>
      </c>
      <c r="J89" s="267">
        <v>441.0</v>
      </c>
      <c r="K89" s="267">
        <v>330.0</v>
      </c>
      <c r="L89" s="269" t="s">
        <v>69</v>
      </c>
      <c r="M89" s="267">
        <v>330.0</v>
      </c>
      <c r="N89" s="267">
        <v>959.0</v>
      </c>
      <c r="O89" s="268">
        <v>1.0</v>
      </c>
      <c r="P89" s="269" t="s">
        <v>69</v>
      </c>
      <c r="Q89" s="267">
        <v>1.0</v>
      </c>
      <c r="R89" s="267">
        <v>310.0</v>
      </c>
      <c r="S89" s="269" t="s">
        <v>69</v>
      </c>
      <c r="T89" s="267">
        <v>310.0</v>
      </c>
      <c r="U89" s="267"/>
      <c r="V89" s="267">
        <v>487.0</v>
      </c>
      <c r="W89" s="269" t="s">
        <v>69</v>
      </c>
      <c r="X89" s="267">
        <v>487.0</v>
      </c>
      <c r="Y89" s="267"/>
      <c r="Z89" s="267">
        <v>870.0</v>
      </c>
      <c r="AA89" s="267">
        <v>777.0</v>
      </c>
      <c r="AB89" s="269" t="s">
        <v>69</v>
      </c>
      <c r="AC89" s="270">
        <v>777.0</v>
      </c>
      <c r="AD89" s="267">
        <v>725.0</v>
      </c>
      <c r="AE89" s="175"/>
      <c r="AF89" s="267">
        <v>725.0</v>
      </c>
      <c r="AG89" s="253"/>
      <c r="AH89" s="139" t="s">
        <v>73</v>
      </c>
      <c r="AI89" s="139" t="s">
        <v>74</v>
      </c>
      <c r="AJ89" s="139" t="s">
        <v>69</v>
      </c>
      <c r="AK89" s="139" t="s">
        <v>121</v>
      </c>
      <c r="AL89" s="140" t="s">
        <v>76</v>
      </c>
      <c r="AO89" s="39" t="s">
        <v>142</v>
      </c>
      <c r="AP89" s="39" t="s">
        <v>143</v>
      </c>
      <c r="AQ89" s="39" t="s">
        <v>144</v>
      </c>
      <c r="AR89" s="39" t="s">
        <v>145</v>
      </c>
    </row>
    <row r="90" ht="15.0" customHeight="1">
      <c r="A90" s="127"/>
      <c r="B90" s="141" t="s">
        <v>77</v>
      </c>
      <c r="C90" s="265"/>
      <c r="D90" s="253"/>
      <c r="E90" s="274"/>
      <c r="F90" s="253"/>
      <c r="G90" s="275"/>
      <c r="H90" s="274"/>
      <c r="I90" s="275"/>
      <c r="J90" s="253"/>
      <c r="K90" s="253"/>
      <c r="L90" s="274"/>
      <c r="M90" s="253"/>
      <c r="N90" s="253"/>
      <c r="O90" s="275"/>
      <c r="P90" s="274"/>
      <c r="Q90" s="276">
        <v>0.3812499999999999</v>
      </c>
      <c r="R90" s="223">
        <v>0.3854166666666666</v>
      </c>
      <c r="S90" s="271">
        <v>5.0</v>
      </c>
      <c r="T90" s="223">
        <v>0.3888888888888888</v>
      </c>
      <c r="U90" s="223">
        <v>0.39513888888888876</v>
      </c>
      <c r="V90" s="223">
        <v>0.3972222222222221</v>
      </c>
      <c r="W90" s="271">
        <v>2.0</v>
      </c>
      <c r="X90" s="223">
        <v>0.39861111111111097</v>
      </c>
      <c r="Y90" s="223"/>
      <c r="Z90" s="223">
        <v>0.4055555555555554</v>
      </c>
      <c r="AA90" s="223">
        <v>0.41180555555555537</v>
      </c>
      <c r="AB90" s="271">
        <v>5.0</v>
      </c>
      <c r="AC90" s="223">
        <v>0.4152777777777776</v>
      </c>
      <c r="AD90" s="223">
        <v>0.4249999999999998</v>
      </c>
      <c r="AE90" s="271">
        <v>10.0</v>
      </c>
      <c r="AF90" s="223">
        <v>0.43194444444444424</v>
      </c>
      <c r="AG90" s="253"/>
      <c r="AH90" s="103">
        <f t="shared" ref="AH90:AH103" si="57">AI90-AJ90</f>
        <v>51</v>
      </c>
      <c r="AI90" s="103">
        <f>(AF90-Q90)*1440+(D90-C90)*1440+E90</f>
        <v>73</v>
      </c>
      <c r="AJ90" s="103">
        <f t="shared" ref="AJ90:AJ103" si="58">AB90+W90+P90+L90+H90+AE90+S90+E90</f>
        <v>22</v>
      </c>
      <c r="AK90" s="104">
        <f t="shared" ref="AK90:AK103" si="59">AJ90/AH90</f>
        <v>0.431372549</v>
      </c>
      <c r="AL90" s="142"/>
    </row>
    <row r="91" ht="15.0" customHeight="1">
      <c r="A91" s="127"/>
      <c r="B91" s="141" t="s">
        <v>77</v>
      </c>
      <c r="C91" s="223"/>
      <c r="D91" s="223"/>
      <c r="E91" s="271"/>
      <c r="F91" s="225">
        <v>0.38333333333333325</v>
      </c>
      <c r="G91" s="223">
        <v>0.3874999999999999</v>
      </c>
      <c r="H91" s="271">
        <v>1.0</v>
      </c>
      <c r="I91" s="223">
        <v>0.38819444444444434</v>
      </c>
      <c r="J91" s="223">
        <v>0.39722222222222214</v>
      </c>
      <c r="K91" s="223">
        <v>0.404861111111111</v>
      </c>
      <c r="L91" s="271">
        <v>1.0</v>
      </c>
      <c r="M91" s="223">
        <v>0.40555555555555545</v>
      </c>
      <c r="N91" s="223">
        <v>0.41458333333333325</v>
      </c>
      <c r="O91" s="223">
        <v>0.42152777777777767</v>
      </c>
      <c r="P91" s="271">
        <v>4.0</v>
      </c>
      <c r="Q91" s="223">
        <v>0.42430555555555544</v>
      </c>
      <c r="R91" s="223">
        <v>0.4284722222222221</v>
      </c>
      <c r="S91" s="271">
        <v>5.0</v>
      </c>
      <c r="T91" s="223">
        <v>0.4319444444444443</v>
      </c>
      <c r="U91" s="223">
        <v>0.4381944444444443</v>
      </c>
      <c r="V91" s="223">
        <v>0.4402777777777776</v>
      </c>
      <c r="W91" s="271">
        <v>2.0</v>
      </c>
      <c r="X91" s="223">
        <v>0.4416666666666665</v>
      </c>
      <c r="Y91" s="223"/>
      <c r="Z91" s="223">
        <v>0.4486111111111109</v>
      </c>
      <c r="AA91" s="223">
        <v>0.4548611111111109</v>
      </c>
      <c r="AB91" s="271">
        <v>5.0</v>
      </c>
      <c r="AC91" s="223">
        <v>0.4583333333333331</v>
      </c>
      <c r="AD91" s="223">
        <v>0.46805555555555534</v>
      </c>
      <c r="AE91" s="271">
        <v>8.0</v>
      </c>
      <c r="AF91" s="223">
        <v>0.47361111111111087</v>
      </c>
      <c r="AG91" s="223"/>
      <c r="AH91" s="103">
        <f t="shared" si="57"/>
        <v>104</v>
      </c>
      <c r="AI91" s="103">
        <f t="shared" ref="AI91:AI102" si="61">(AF91-F91)*1440+(D91-C91)*1440+E91</f>
        <v>130</v>
      </c>
      <c r="AJ91" s="103">
        <f t="shared" si="58"/>
        <v>26</v>
      </c>
      <c r="AK91" s="104">
        <f t="shared" si="59"/>
        <v>0.25</v>
      </c>
      <c r="AL91" s="142">
        <f t="shared" ref="AL91:AL102" si="62">(AF91-AF90)*1440</f>
        <v>60</v>
      </c>
      <c r="AO91" s="203">
        <f t="shared" ref="AO91:AP91" si="60">(C91-C51)*1440</f>
        <v>0</v>
      </c>
      <c r="AP91" s="203">
        <f t="shared" si="60"/>
        <v>0</v>
      </c>
      <c r="AQ91" s="203">
        <f t="shared" ref="AQ91:AQ103" si="63">(R91-R51)*1440</f>
        <v>152</v>
      </c>
      <c r="AR91" s="203">
        <f>(AF91-AF56)*1440</f>
        <v>0</v>
      </c>
    </row>
    <row r="92" ht="15.0" customHeight="1">
      <c r="A92" s="127"/>
      <c r="B92" s="141" t="s">
        <v>78</v>
      </c>
      <c r="C92" s="223">
        <v>0.43194444444444424</v>
      </c>
      <c r="D92" s="223">
        <v>0.4423611111111109</v>
      </c>
      <c r="E92" s="271">
        <v>5.0</v>
      </c>
      <c r="F92" s="225">
        <v>0.4249999999999998</v>
      </c>
      <c r="G92" s="223">
        <v>0.4291666666666665</v>
      </c>
      <c r="H92" s="271">
        <v>1.0</v>
      </c>
      <c r="I92" s="223">
        <v>0.4298611111111109</v>
      </c>
      <c r="J92" s="223">
        <v>0.4388888888888887</v>
      </c>
      <c r="K92" s="223">
        <v>0.4465277777777776</v>
      </c>
      <c r="L92" s="271">
        <v>1.0</v>
      </c>
      <c r="M92" s="223">
        <v>0.447222222222222</v>
      </c>
      <c r="N92" s="223">
        <v>0.45694444444444426</v>
      </c>
      <c r="O92" s="223">
        <v>0.4645833333333331</v>
      </c>
      <c r="P92" s="271">
        <v>2.0</v>
      </c>
      <c r="Q92" s="223">
        <v>0.465972222222222</v>
      </c>
      <c r="R92" s="223">
        <v>0.47013888888888866</v>
      </c>
      <c r="S92" s="271">
        <v>5.0</v>
      </c>
      <c r="T92" s="223">
        <v>0.47361111111111087</v>
      </c>
      <c r="U92" s="223">
        <v>0.47986111111111085</v>
      </c>
      <c r="V92" s="223">
        <v>0.4819444444444442</v>
      </c>
      <c r="W92" s="271">
        <v>2.0</v>
      </c>
      <c r="X92" s="223">
        <v>0.48333333333333306</v>
      </c>
      <c r="Y92" s="223"/>
      <c r="Z92" s="223">
        <v>0.48958333333333304</v>
      </c>
      <c r="AA92" s="223">
        <v>0.49652777777777746</v>
      </c>
      <c r="AB92" s="271">
        <v>5.0</v>
      </c>
      <c r="AC92" s="223">
        <v>0.49999999999999967</v>
      </c>
      <c r="AD92" s="223">
        <v>0.5090277777777774</v>
      </c>
      <c r="AE92" s="271">
        <v>9.0</v>
      </c>
      <c r="AF92" s="223">
        <v>0.5152777777777774</v>
      </c>
      <c r="AG92" s="223"/>
      <c r="AH92" s="103">
        <f t="shared" si="57"/>
        <v>120</v>
      </c>
      <c r="AI92" s="103">
        <f t="shared" si="61"/>
        <v>150</v>
      </c>
      <c r="AJ92" s="103">
        <f t="shared" si="58"/>
        <v>30</v>
      </c>
      <c r="AK92" s="104">
        <f t="shared" si="59"/>
        <v>0.25</v>
      </c>
      <c r="AL92" s="142">
        <f t="shared" si="62"/>
        <v>60</v>
      </c>
      <c r="AO92" s="203">
        <f>(C92-C59)*1440</f>
        <v>0</v>
      </c>
      <c r="AP92" s="203">
        <f t="shared" ref="AP92:AP103" si="64">(D92-D52)*1440</f>
        <v>637</v>
      </c>
      <c r="AQ92" s="203">
        <f t="shared" si="63"/>
        <v>182</v>
      </c>
      <c r="AR92" s="203">
        <f>(AF92-AF58)*1440</f>
        <v>0</v>
      </c>
    </row>
    <row r="93" ht="15.0" customHeight="1">
      <c r="A93" s="127"/>
      <c r="B93" s="141" t="s">
        <v>78</v>
      </c>
      <c r="C93" s="223">
        <v>0.47361111111111087</v>
      </c>
      <c r="D93" s="223">
        <v>0.48402777777777756</v>
      </c>
      <c r="E93" s="271">
        <v>5.0</v>
      </c>
      <c r="F93" s="225">
        <v>0.46666666666666645</v>
      </c>
      <c r="G93" s="223">
        <v>0.4708333333333331</v>
      </c>
      <c r="H93" s="271">
        <v>1.0</v>
      </c>
      <c r="I93" s="223">
        <v>0.47152777777777755</v>
      </c>
      <c r="J93" s="223">
        <v>0.48055555555555535</v>
      </c>
      <c r="K93" s="223">
        <v>0.4881944444444442</v>
      </c>
      <c r="L93" s="271">
        <v>1.0</v>
      </c>
      <c r="M93" s="223">
        <v>0.48888888888888865</v>
      </c>
      <c r="N93" s="223">
        <v>0.4986111111111109</v>
      </c>
      <c r="O93" s="223">
        <v>0.5062499999999998</v>
      </c>
      <c r="P93" s="271">
        <v>2.0</v>
      </c>
      <c r="Q93" s="223">
        <v>0.5076388888888886</v>
      </c>
      <c r="R93" s="223">
        <v>0.5118055555555553</v>
      </c>
      <c r="S93" s="271">
        <v>5.0</v>
      </c>
      <c r="T93" s="223">
        <v>0.5152777777777775</v>
      </c>
      <c r="U93" s="223">
        <v>0.5215277777777775</v>
      </c>
      <c r="V93" s="223">
        <v>0.5236111111111108</v>
      </c>
      <c r="W93" s="271">
        <v>2.0</v>
      </c>
      <c r="X93" s="223">
        <v>0.5249999999999997</v>
      </c>
      <c r="Y93" s="223"/>
      <c r="Z93" s="223">
        <v>0.5312499999999997</v>
      </c>
      <c r="AA93" s="223">
        <v>0.5381944444444441</v>
      </c>
      <c r="AB93" s="271">
        <v>5.0</v>
      </c>
      <c r="AC93" s="223">
        <v>0.5416666666666663</v>
      </c>
      <c r="AD93" s="223">
        <v>0.550694444444444</v>
      </c>
      <c r="AE93" s="271">
        <v>9.0</v>
      </c>
      <c r="AF93" s="223">
        <v>0.556944444444444</v>
      </c>
      <c r="AG93" s="223"/>
      <c r="AH93" s="103">
        <f t="shared" si="57"/>
        <v>120</v>
      </c>
      <c r="AI93" s="103">
        <f t="shared" si="61"/>
        <v>150</v>
      </c>
      <c r="AJ93" s="103">
        <f t="shared" si="58"/>
        <v>30</v>
      </c>
      <c r="AK93" s="104">
        <f t="shared" si="59"/>
        <v>0.25</v>
      </c>
      <c r="AL93" s="142">
        <f t="shared" si="62"/>
        <v>60</v>
      </c>
      <c r="AO93" s="203">
        <f>(C93-C61)*1440</f>
        <v>0</v>
      </c>
      <c r="AP93" s="203">
        <f t="shared" si="64"/>
        <v>697</v>
      </c>
      <c r="AQ93" s="203">
        <f t="shared" si="63"/>
        <v>212</v>
      </c>
      <c r="AR93" s="203">
        <f>(AF93-AF60)*1440</f>
        <v>0</v>
      </c>
    </row>
    <row r="94" ht="15.0" customHeight="1">
      <c r="A94" s="127"/>
      <c r="B94" s="141" t="s">
        <v>78</v>
      </c>
      <c r="C94" s="223">
        <v>0.5152777777777774</v>
      </c>
      <c r="D94" s="223">
        <v>0.525694444444444</v>
      </c>
      <c r="E94" s="271">
        <v>5.0</v>
      </c>
      <c r="F94" s="225">
        <v>0.5083333333333331</v>
      </c>
      <c r="G94" s="223">
        <v>0.5124999999999997</v>
      </c>
      <c r="H94" s="271">
        <v>1.0</v>
      </c>
      <c r="I94" s="223">
        <v>0.5131944444444442</v>
      </c>
      <c r="J94" s="223">
        <v>0.5222222222222219</v>
      </c>
      <c r="K94" s="223">
        <v>0.5298611111111108</v>
      </c>
      <c r="L94" s="271">
        <v>1.0</v>
      </c>
      <c r="M94" s="223">
        <v>0.5305555555555552</v>
      </c>
      <c r="N94" s="223">
        <v>0.5402777777777774</v>
      </c>
      <c r="O94" s="223">
        <v>0.5479166666666663</v>
      </c>
      <c r="P94" s="271">
        <v>2.0</v>
      </c>
      <c r="Q94" s="223">
        <v>0.5493055555555552</v>
      </c>
      <c r="R94" s="223">
        <v>0.5534722222222218</v>
      </c>
      <c r="S94" s="271">
        <v>5.0</v>
      </c>
      <c r="T94" s="223">
        <v>0.556944444444444</v>
      </c>
      <c r="U94" s="223">
        <v>0.563194444444444</v>
      </c>
      <c r="V94" s="223">
        <v>0.5652777777777773</v>
      </c>
      <c r="W94" s="271">
        <v>0.0</v>
      </c>
      <c r="X94" s="223">
        <v>0.5652777777777773</v>
      </c>
      <c r="Y94" s="223"/>
      <c r="Z94" s="223">
        <v>0.5715277777777773</v>
      </c>
      <c r="AA94" s="223">
        <v>0.5784722222222217</v>
      </c>
      <c r="AB94" s="271">
        <v>5.0</v>
      </c>
      <c r="AC94" s="223">
        <v>0.5819444444444439</v>
      </c>
      <c r="AD94" s="223">
        <v>0.5909722222222217</v>
      </c>
      <c r="AE94" s="271">
        <v>11.0</v>
      </c>
      <c r="AF94" s="223">
        <v>0.5986111111111105</v>
      </c>
      <c r="AG94" s="223"/>
      <c r="AH94" s="103">
        <f t="shared" si="57"/>
        <v>120</v>
      </c>
      <c r="AI94" s="103">
        <f t="shared" si="61"/>
        <v>150</v>
      </c>
      <c r="AJ94" s="103">
        <f t="shared" si="58"/>
        <v>30</v>
      </c>
      <c r="AK94" s="104">
        <f t="shared" si="59"/>
        <v>0.25</v>
      </c>
      <c r="AL94" s="142">
        <f t="shared" si="62"/>
        <v>60</v>
      </c>
      <c r="AO94" s="203">
        <f>(C94-C63)*1440</f>
        <v>0</v>
      </c>
      <c r="AP94" s="203">
        <f t="shared" si="64"/>
        <v>270</v>
      </c>
      <c r="AQ94" s="203">
        <f t="shared" si="63"/>
        <v>242</v>
      </c>
      <c r="AR94" s="203">
        <f>(AF94-AF62)*1440</f>
        <v>0</v>
      </c>
    </row>
    <row r="95" ht="15.0" customHeight="1">
      <c r="A95" s="127"/>
      <c r="B95" s="141" t="s">
        <v>78</v>
      </c>
      <c r="C95" s="223">
        <v>0.556944444444444</v>
      </c>
      <c r="D95" s="223">
        <v>0.5673611111111106</v>
      </c>
      <c r="E95" s="271">
        <v>5.0</v>
      </c>
      <c r="F95" s="225">
        <v>0.5499999999999996</v>
      </c>
      <c r="G95" s="223">
        <v>0.5541666666666663</v>
      </c>
      <c r="H95" s="271">
        <v>1.0</v>
      </c>
      <c r="I95" s="223">
        <v>0.5548611111111107</v>
      </c>
      <c r="J95" s="223">
        <v>0.5638888888888884</v>
      </c>
      <c r="K95" s="223">
        <v>0.5715277777777773</v>
      </c>
      <c r="L95" s="271">
        <v>1.0</v>
      </c>
      <c r="M95" s="223">
        <v>0.5722222222222217</v>
      </c>
      <c r="N95" s="223">
        <v>0.5819444444444439</v>
      </c>
      <c r="O95" s="223">
        <v>0.5895833333333328</v>
      </c>
      <c r="P95" s="271">
        <v>2.0</v>
      </c>
      <c r="Q95" s="223">
        <v>0.5909722222222217</v>
      </c>
      <c r="R95" s="223">
        <v>0.5951388888888883</v>
      </c>
      <c r="S95" s="271">
        <v>5.0</v>
      </c>
      <c r="T95" s="223">
        <v>0.5986111111111105</v>
      </c>
      <c r="U95" s="223">
        <v>0.6048611111111105</v>
      </c>
      <c r="V95" s="223">
        <v>0.6069444444444438</v>
      </c>
      <c r="W95" s="271">
        <v>0.0</v>
      </c>
      <c r="X95" s="223">
        <v>0.6069444444444438</v>
      </c>
      <c r="Y95" s="223"/>
      <c r="Z95" s="223">
        <v>0.6131944444444438</v>
      </c>
      <c r="AA95" s="223">
        <v>0.6201388888888882</v>
      </c>
      <c r="AB95" s="271">
        <v>5.0</v>
      </c>
      <c r="AC95" s="223">
        <v>0.6236111111111104</v>
      </c>
      <c r="AD95" s="223">
        <v>0.6326388888888882</v>
      </c>
      <c r="AE95" s="271">
        <v>11.0</v>
      </c>
      <c r="AF95" s="223">
        <v>0.6402777777777771</v>
      </c>
      <c r="AG95" s="223"/>
      <c r="AH95" s="103">
        <f t="shared" si="57"/>
        <v>120</v>
      </c>
      <c r="AI95" s="103">
        <f t="shared" si="61"/>
        <v>150</v>
      </c>
      <c r="AJ95" s="103">
        <f t="shared" si="58"/>
        <v>30</v>
      </c>
      <c r="AK95" s="104">
        <f t="shared" si="59"/>
        <v>0.25</v>
      </c>
      <c r="AL95" s="142">
        <f t="shared" si="62"/>
        <v>60</v>
      </c>
      <c r="AO95" s="203">
        <f>(C95-C65)*1440</f>
        <v>0</v>
      </c>
      <c r="AP95" s="203">
        <f t="shared" si="64"/>
        <v>300</v>
      </c>
      <c r="AQ95" s="203">
        <f t="shared" si="63"/>
        <v>272</v>
      </c>
      <c r="AR95" s="203">
        <f t="shared" ref="AR95:AR103" si="65">(AF95-AF55)*1440</f>
        <v>270</v>
      </c>
    </row>
    <row r="96" ht="15.0" customHeight="1">
      <c r="A96" s="127"/>
      <c r="B96" s="141" t="s">
        <v>78</v>
      </c>
      <c r="C96" s="223">
        <v>0.5986111111111105</v>
      </c>
      <c r="D96" s="223">
        <v>0.6090277777777772</v>
      </c>
      <c r="E96" s="271">
        <v>5.0</v>
      </c>
      <c r="F96" s="225">
        <v>0.5916666666666661</v>
      </c>
      <c r="G96" s="223">
        <v>0.5958333333333328</v>
      </c>
      <c r="H96" s="271">
        <v>1.0</v>
      </c>
      <c r="I96" s="223">
        <v>0.5965277777777772</v>
      </c>
      <c r="J96" s="223">
        <v>0.605555555555555</v>
      </c>
      <c r="K96" s="223">
        <v>0.6131944444444438</v>
      </c>
      <c r="L96" s="271">
        <v>1.0</v>
      </c>
      <c r="M96" s="223">
        <v>0.6138888888888883</v>
      </c>
      <c r="N96" s="223">
        <v>0.6236111111111104</v>
      </c>
      <c r="O96" s="223">
        <v>0.6312499999999993</v>
      </c>
      <c r="P96" s="271">
        <v>2.0</v>
      </c>
      <c r="Q96" s="223">
        <v>0.6326388888888882</v>
      </c>
      <c r="R96" s="223">
        <v>0.6368055555555548</v>
      </c>
      <c r="S96" s="271">
        <v>5.0</v>
      </c>
      <c r="T96" s="223">
        <v>0.6402777777777771</v>
      </c>
      <c r="U96" s="223">
        <v>0.646527777777777</v>
      </c>
      <c r="V96" s="223">
        <v>0.6486111111111104</v>
      </c>
      <c r="W96" s="271">
        <v>2.0</v>
      </c>
      <c r="X96" s="223">
        <v>0.6499999999999992</v>
      </c>
      <c r="Y96" s="223"/>
      <c r="Z96" s="223">
        <v>0.6562499999999992</v>
      </c>
      <c r="AA96" s="223">
        <v>0.6631944444444436</v>
      </c>
      <c r="AB96" s="271">
        <v>5.0</v>
      </c>
      <c r="AC96" s="223">
        <v>0.6666666666666659</v>
      </c>
      <c r="AD96" s="223">
        <v>0.6756944444444436</v>
      </c>
      <c r="AE96" s="271">
        <v>10.0</v>
      </c>
      <c r="AF96" s="223">
        <v>0.682638888888888</v>
      </c>
      <c r="AG96" s="223"/>
      <c r="AH96" s="103">
        <f t="shared" si="57"/>
        <v>120</v>
      </c>
      <c r="AI96" s="103">
        <f t="shared" si="61"/>
        <v>151</v>
      </c>
      <c r="AJ96" s="103">
        <f t="shared" si="58"/>
        <v>31</v>
      </c>
      <c r="AK96" s="104">
        <f t="shared" si="59"/>
        <v>0.2583333333</v>
      </c>
      <c r="AL96" s="142">
        <f t="shared" si="62"/>
        <v>61</v>
      </c>
      <c r="AO96" s="203">
        <f>(C96-C67)*1440</f>
        <v>0</v>
      </c>
      <c r="AP96" s="203">
        <f t="shared" si="64"/>
        <v>330</v>
      </c>
      <c r="AQ96" s="203">
        <f t="shared" si="63"/>
        <v>300</v>
      </c>
      <c r="AR96" s="203">
        <f t="shared" si="65"/>
        <v>301</v>
      </c>
    </row>
    <row r="97" ht="15.0" customHeight="1">
      <c r="A97" s="127"/>
      <c r="B97" s="141" t="s">
        <v>78</v>
      </c>
      <c r="C97" s="223">
        <v>0.6402777777777771</v>
      </c>
      <c r="D97" s="223">
        <v>0.6506944444444437</v>
      </c>
      <c r="E97" s="271">
        <v>5.0</v>
      </c>
      <c r="F97" s="225">
        <v>0.6333333333333325</v>
      </c>
      <c r="G97" s="223">
        <v>0.6374999999999992</v>
      </c>
      <c r="H97" s="271">
        <v>1.0</v>
      </c>
      <c r="I97" s="223">
        <v>0.6381944444444436</v>
      </c>
      <c r="J97" s="223">
        <v>0.6472222222222214</v>
      </c>
      <c r="K97" s="223">
        <v>0.6548611111111102</v>
      </c>
      <c r="L97" s="271">
        <v>1.0</v>
      </c>
      <c r="M97" s="223">
        <v>0.6555555555555547</v>
      </c>
      <c r="N97" s="223">
        <v>0.6652777777777769</v>
      </c>
      <c r="O97" s="223">
        <v>0.6729166666666657</v>
      </c>
      <c r="P97" s="271">
        <v>2.0</v>
      </c>
      <c r="Q97" s="223">
        <v>0.6743055555555546</v>
      </c>
      <c r="R97" s="223">
        <v>0.6784722222222213</v>
      </c>
      <c r="S97" s="271">
        <v>5.0</v>
      </c>
      <c r="T97" s="223">
        <v>0.6819444444444435</v>
      </c>
      <c r="U97" s="223">
        <v>0.6881944444444434</v>
      </c>
      <c r="V97" s="223">
        <v>0.6902777777777768</v>
      </c>
      <c r="W97" s="271">
        <v>2.0</v>
      </c>
      <c r="X97" s="223">
        <v>0.6916666666666657</v>
      </c>
      <c r="Y97" s="223"/>
      <c r="Z97" s="223">
        <v>0.6979166666666656</v>
      </c>
      <c r="AA97" s="223">
        <v>0.70486111111111</v>
      </c>
      <c r="AB97" s="271">
        <v>5.0</v>
      </c>
      <c r="AC97" s="223">
        <v>0.7083333333333323</v>
      </c>
      <c r="AD97" s="223">
        <v>0.71736111111111</v>
      </c>
      <c r="AE97" s="271">
        <v>10.0</v>
      </c>
      <c r="AF97" s="223">
        <v>0.7243055555555544</v>
      </c>
      <c r="AG97" s="223"/>
      <c r="AH97" s="103">
        <f t="shared" si="57"/>
        <v>120</v>
      </c>
      <c r="AI97" s="103">
        <f t="shared" si="61"/>
        <v>151</v>
      </c>
      <c r="AJ97" s="103">
        <f t="shared" si="58"/>
        <v>31</v>
      </c>
      <c r="AK97" s="104">
        <f t="shared" si="59"/>
        <v>0.2583333333</v>
      </c>
      <c r="AL97" s="142">
        <f t="shared" si="62"/>
        <v>60</v>
      </c>
      <c r="AO97" s="203">
        <f>(C97-C69)*1440</f>
        <v>0</v>
      </c>
      <c r="AP97" s="203">
        <f t="shared" si="64"/>
        <v>360</v>
      </c>
      <c r="AQ97" s="203">
        <f t="shared" si="63"/>
        <v>330</v>
      </c>
      <c r="AR97" s="203">
        <f t="shared" si="65"/>
        <v>331</v>
      </c>
    </row>
    <row r="98" ht="15.0" customHeight="1">
      <c r="A98" s="127"/>
      <c r="B98" s="141" t="s">
        <v>79</v>
      </c>
      <c r="C98" s="223">
        <v>0.682638888888888</v>
      </c>
      <c r="D98" s="223">
        <v>0.6923611111111102</v>
      </c>
      <c r="E98" s="271">
        <v>5.0</v>
      </c>
      <c r="F98" s="225">
        <v>0.6749999999999992</v>
      </c>
      <c r="G98" s="223">
        <v>0.6791666666666658</v>
      </c>
      <c r="H98" s="271">
        <v>1.0</v>
      </c>
      <c r="I98" s="223">
        <v>0.6798611111111103</v>
      </c>
      <c r="J98" s="223">
        <v>0.688888888888888</v>
      </c>
      <c r="K98" s="223">
        <v>0.6965277777777769</v>
      </c>
      <c r="L98" s="271">
        <v>1.0</v>
      </c>
      <c r="M98" s="223">
        <v>0.6972222222222213</v>
      </c>
      <c r="N98" s="223">
        <v>0.706249999999999</v>
      </c>
      <c r="O98" s="223">
        <v>0.712499999999999</v>
      </c>
      <c r="P98" s="271">
        <v>2.0</v>
      </c>
      <c r="Q98" s="223">
        <v>0.7138888888888879</v>
      </c>
      <c r="R98" s="223">
        <v>0.7180555555555546</v>
      </c>
      <c r="S98" s="271">
        <v>5.0</v>
      </c>
      <c r="T98" s="223">
        <v>0.7215277777777768</v>
      </c>
      <c r="U98" s="223">
        <v>0.7277777777777767</v>
      </c>
      <c r="V98" s="223">
        <v>0.7298611111111101</v>
      </c>
      <c r="W98" s="271">
        <v>2.0</v>
      </c>
      <c r="X98" s="223">
        <v>0.731249999999999</v>
      </c>
      <c r="Y98" s="223"/>
      <c r="Z98" s="223">
        <v>0.7374999999999989</v>
      </c>
      <c r="AA98" s="223">
        <v>0.7430555555555545</v>
      </c>
      <c r="AB98" s="271">
        <v>5.0</v>
      </c>
      <c r="AC98" s="223">
        <v>0.7465277777777767</v>
      </c>
      <c r="AD98" s="223">
        <v>0.7555555555555544</v>
      </c>
      <c r="AE98" s="271">
        <v>15.0</v>
      </c>
      <c r="AF98" s="223">
        <v>0.765972222222221</v>
      </c>
      <c r="AG98" s="223"/>
      <c r="AH98" s="103">
        <f t="shared" si="57"/>
        <v>114</v>
      </c>
      <c r="AI98" s="103">
        <f t="shared" si="61"/>
        <v>150</v>
      </c>
      <c r="AJ98" s="103">
        <f t="shared" si="58"/>
        <v>36</v>
      </c>
      <c r="AK98" s="104">
        <f t="shared" si="59"/>
        <v>0.3157894737</v>
      </c>
      <c r="AL98" s="142">
        <f t="shared" si="62"/>
        <v>60</v>
      </c>
      <c r="AO98" s="203">
        <f>(C98-C71)*1440</f>
        <v>0</v>
      </c>
      <c r="AP98" s="203">
        <f t="shared" si="64"/>
        <v>390</v>
      </c>
      <c r="AQ98" s="203">
        <f t="shared" si="63"/>
        <v>357</v>
      </c>
      <c r="AR98" s="203">
        <f t="shared" si="65"/>
        <v>361</v>
      </c>
    </row>
    <row r="99" ht="15.0" customHeight="1">
      <c r="A99" s="127"/>
      <c r="B99" s="141" t="s">
        <v>79</v>
      </c>
      <c r="C99" s="223">
        <v>0.7243055555555544</v>
      </c>
      <c r="D99" s="223">
        <v>0.7340277777777766</v>
      </c>
      <c r="E99" s="271">
        <v>5.0</v>
      </c>
      <c r="F99" s="225">
        <v>0.7166666666666657</v>
      </c>
      <c r="G99" s="223">
        <v>0.7208333333333323</v>
      </c>
      <c r="H99" s="271">
        <v>1.0</v>
      </c>
      <c r="I99" s="223">
        <v>0.7215277777777768</v>
      </c>
      <c r="J99" s="223">
        <v>0.7305555555555545</v>
      </c>
      <c r="K99" s="223">
        <v>0.7381944444444434</v>
      </c>
      <c r="L99" s="271">
        <v>1.0</v>
      </c>
      <c r="M99" s="223">
        <v>0.7388888888888878</v>
      </c>
      <c r="N99" s="223">
        <v>0.7479166666666656</v>
      </c>
      <c r="O99" s="223">
        <v>0.7541666666666655</v>
      </c>
      <c r="P99" s="271">
        <v>2.0</v>
      </c>
      <c r="Q99" s="223">
        <v>0.7555555555555544</v>
      </c>
      <c r="R99" s="223">
        <v>0.7597222222222211</v>
      </c>
      <c r="S99" s="271">
        <v>5.0</v>
      </c>
      <c r="T99" s="223">
        <v>0.7631944444444433</v>
      </c>
      <c r="U99" s="223">
        <v>0.7694444444444433</v>
      </c>
      <c r="V99" s="223">
        <v>0.7715277777777766</v>
      </c>
      <c r="W99" s="271">
        <v>2.0</v>
      </c>
      <c r="X99" s="223">
        <v>0.7729166666666655</v>
      </c>
      <c r="Y99" s="223"/>
      <c r="Z99" s="223">
        <v>0.7791666666666655</v>
      </c>
      <c r="AA99" s="223">
        <v>0.784722222222221</v>
      </c>
      <c r="AB99" s="271">
        <v>5.0</v>
      </c>
      <c r="AC99" s="223">
        <v>0.7881944444444432</v>
      </c>
      <c r="AD99" s="223">
        <v>0.7972222222222209</v>
      </c>
      <c r="AE99" s="271">
        <v>15.0</v>
      </c>
      <c r="AF99" s="223">
        <v>0.8076388888888876</v>
      </c>
      <c r="AG99" s="223"/>
      <c r="AH99" s="103">
        <f t="shared" si="57"/>
        <v>114</v>
      </c>
      <c r="AI99" s="103">
        <f t="shared" si="61"/>
        <v>150</v>
      </c>
      <c r="AJ99" s="103">
        <f t="shared" si="58"/>
        <v>36</v>
      </c>
      <c r="AK99" s="104">
        <f t="shared" si="59"/>
        <v>0.3157894737</v>
      </c>
      <c r="AL99" s="142">
        <f t="shared" si="62"/>
        <v>60</v>
      </c>
      <c r="AO99" s="203">
        <f>(C99-C73)*1440</f>
        <v>0</v>
      </c>
      <c r="AP99" s="203">
        <f t="shared" si="64"/>
        <v>420</v>
      </c>
      <c r="AQ99" s="203">
        <f t="shared" si="63"/>
        <v>387</v>
      </c>
      <c r="AR99" s="203">
        <f t="shared" si="65"/>
        <v>391</v>
      </c>
    </row>
    <row r="100" ht="15.0" customHeight="1">
      <c r="A100" s="127"/>
      <c r="B100" s="141" t="s">
        <v>79</v>
      </c>
      <c r="C100" s="223">
        <v>0.765972222222221</v>
      </c>
      <c r="D100" s="223">
        <v>0.7756944444444432</v>
      </c>
      <c r="E100" s="271">
        <v>5.0</v>
      </c>
      <c r="F100" s="225">
        <v>0.7583333333333322</v>
      </c>
      <c r="G100" s="223">
        <v>0.7624999999999988</v>
      </c>
      <c r="H100" s="271">
        <v>1.0</v>
      </c>
      <c r="I100" s="223">
        <v>0.7631944444444433</v>
      </c>
      <c r="J100" s="223">
        <v>0.772222222222221</v>
      </c>
      <c r="K100" s="223">
        <v>0.7798611111111099</v>
      </c>
      <c r="L100" s="271">
        <v>1.0</v>
      </c>
      <c r="M100" s="223">
        <v>0.7805555555555543</v>
      </c>
      <c r="N100" s="223">
        <v>0.7895833333333321</v>
      </c>
      <c r="O100" s="223">
        <v>0.7958333333333321</v>
      </c>
      <c r="P100" s="271">
        <v>3.0</v>
      </c>
      <c r="Q100" s="223">
        <v>0.7979166666666654</v>
      </c>
      <c r="R100" s="223">
        <v>0.802083333333332</v>
      </c>
      <c r="S100" s="271">
        <v>5.0</v>
      </c>
      <c r="T100" s="223">
        <v>0.8055555555555542</v>
      </c>
      <c r="U100" s="223">
        <v>0.8118055555555542</v>
      </c>
      <c r="V100" s="223">
        <v>0.8138888888888876</v>
      </c>
      <c r="W100" s="271">
        <v>2.0</v>
      </c>
      <c r="X100" s="223">
        <v>0.8152777777777764</v>
      </c>
      <c r="Y100" s="223"/>
      <c r="Z100" s="223">
        <v>0.8215277777777764</v>
      </c>
      <c r="AA100" s="223">
        <v>0.827083333333332</v>
      </c>
      <c r="AB100" s="271">
        <v>5.0</v>
      </c>
      <c r="AC100" s="223">
        <v>0.8305555555555542</v>
      </c>
      <c r="AD100" s="223">
        <v>0.8395833333333319</v>
      </c>
      <c r="AE100" s="271">
        <v>14.0</v>
      </c>
      <c r="AF100" s="223">
        <v>0.8493055555555541</v>
      </c>
      <c r="AG100" s="223"/>
      <c r="AH100" s="103">
        <f t="shared" si="57"/>
        <v>114</v>
      </c>
      <c r="AI100" s="103">
        <f t="shared" si="61"/>
        <v>150</v>
      </c>
      <c r="AJ100" s="103">
        <f t="shared" si="58"/>
        <v>36</v>
      </c>
      <c r="AK100" s="104">
        <f t="shared" si="59"/>
        <v>0.3157894737</v>
      </c>
      <c r="AL100" s="142">
        <f t="shared" si="62"/>
        <v>60</v>
      </c>
      <c r="AO100" s="203">
        <f>(C100-C75)*1440</f>
        <v>0</v>
      </c>
      <c r="AP100" s="203">
        <f t="shared" si="64"/>
        <v>450</v>
      </c>
      <c r="AQ100" s="203">
        <f t="shared" si="63"/>
        <v>417</v>
      </c>
      <c r="AR100" s="203">
        <f t="shared" si="65"/>
        <v>421</v>
      </c>
    </row>
    <row r="101" ht="15.0" customHeight="1">
      <c r="A101" s="127"/>
      <c r="B101" s="141" t="s">
        <v>98</v>
      </c>
      <c r="C101" s="223">
        <v>0.8076388888888876</v>
      </c>
      <c r="D101" s="223">
        <v>0.8173611111111098</v>
      </c>
      <c r="E101" s="271">
        <v>5.0</v>
      </c>
      <c r="F101" s="225">
        <v>0.7999999999999987</v>
      </c>
      <c r="G101" s="223">
        <v>0.8041666666666654</v>
      </c>
      <c r="H101" s="271">
        <v>1.0</v>
      </c>
      <c r="I101" s="223">
        <v>0.8048611111111098</v>
      </c>
      <c r="J101" s="223">
        <v>0.8138888888888876</v>
      </c>
      <c r="K101" s="223">
        <v>0.820833333333332</v>
      </c>
      <c r="L101" s="271">
        <v>1.0</v>
      </c>
      <c r="M101" s="223">
        <v>0.8215277777777764</v>
      </c>
      <c r="N101" s="223">
        <v>0.8298611111111097</v>
      </c>
      <c r="O101" s="223">
        <v>0.8361111111111097</v>
      </c>
      <c r="P101" s="271">
        <v>3.0</v>
      </c>
      <c r="Q101" s="223">
        <v>0.838194444444443</v>
      </c>
      <c r="R101" s="223">
        <v>0.8423611111111097</v>
      </c>
      <c r="S101" s="271">
        <v>5.0</v>
      </c>
      <c r="T101" s="223">
        <v>0.8458333333333319</v>
      </c>
      <c r="U101" s="223">
        <v>0.8520833333333319</v>
      </c>
      <c r="V101" s="223">
        <v>0.8541666666666652</v>
      </c>
      <c r="W101" s="271">
        <v>2.0</v>
      </c>
      <c r="X101" s="223">
        <v>0.8555555555555541</v>
      </c>
      <c r="Y101" s="223"/>
      <c r="Z101" s="223">
        <v>0.861805555555554</v>
      </c>
      <c r="AA101" s="223">
        <v>0.8673611111111096</v>
      </c>
      <c r="AB101" s="271">
        <v>5.0</v>
      </c>
      <c r="AC101" s="223">
        <v>0.8708333333333318</v>
      </c>
      <c r="AD101" s="223">
        <v>0.8791666666666651</v>
      </c>
      <c r="AE101" s="271">
        <v>17.0</v>
      </c>
      <c r="AF101" s="223">
        <v>0.8909722222222206</v>
      </c>
      <c r="AG101" s="223"/>
      <c r="AH101" s="103">
        <f t="shared" si="57"/>
        <v>111</v>
      </c>
      <c r="AI101" s="103">
        <f t="shared" si="61"/>
        <v>150</v>
      </c>
      <c r="AJ101" s="103">
        <f t="shared" si="58"/>
        <v>39</v>
      </c>
      <c r="AK101" s="104">
        <f t="shared" si="59"/>
        <v>0.3513513514</v>
      </c>
      <c r="AL101" s="142">
        <f t="shared" si="62"/>
        <v>60</v>
      </c>
      <c r="AO101" s="203">
        <f t="shared" ref="AO101:AO103" si="66">(C101-C77)*1440</f>
        <v>0</v>
      </c>
      <c r="AP101" s="203">
        <f t="shared" si="64"/>
        <v>480</v>
      </c>
      <c r="AQ101" s="203">
        <f t="shared" si="63"/>
        <v>445</v>
      </c>
      <c r="AR101" s="203">
        <f t="shared" si="65"/>
        <v>451</v>
      </c>
    </row>
    <row r="102" ht="15.0" customHeight="1">
      <c r="A102" s="127"/>
      <c r="B102" s="141" t="s">
        <v>98</v>
      </c>
      <c r="C102" s="223">
        <v>0.8493055555555541</v>
      </c>
      <c r="D102" s="223">
        <v>0.8590277777777763</v>
      </c>
      <c r="E102" s="271">
        <v>5.0</v>
      </c>
      <c r="F102" s="225">
        <v>0.8416666666666651</v>
      </c>
      <c r="G102" s="223">
        <v>0.8458333333333318</v>
      </c>
      <c r="H102" s="271">
        <v>1.0</v>
      </c>
      <c r="I102" s="223">
        <v>0.8465277777777762</v>
      </c>
      <c r="J102" s="223">
        <v>0.855555555555554</v>
      </c>
      <c r="K102" s="223">
        <v>0.8624999999999984</v>
      </c>
      <c r="L102" s="271">
        <v>1.0</v>
      </c>
      <c r="M102" s="223">
        <v>0.8631944444444428</v>
      </c>
      <c r="N102" s="223">
        <v>0.8715277777777761</v>
      </c>
      <c r="O102" s="223">
        <v>0.8777777777777761</v>
      </c>
      <c r="P102" s="271">
        <v>3.0</v>
      </c>
      <c r="Q102" s="223">
        <v>0.8798611111111094</v>
      </c>
      <c r="R102" s="223">
        <v>0.8840277777777761</v>
      </c>
      <c r="S102" s="271">
        <v>5.0</v>
      </c>
      <c r="T102" s="223">
        <v>0.8874999999999983</v>
      </c>
      <c r="U102" s="223">
        <v>0.8937499999999983</v>
      </c>
      <c r="V102" s="223">
        <v>0.8958333333333316</v>
      </c>
      <c r="W102" s="271">
        <v>2.0</v>
      </c>
      <c r="X102" s="223">
        <v>0.8972222222222205</v>
      </c>
      <c r="Y102" s="223"/>
      <c r="Z102" s="223">
        <v>0.9034722222222205</v>
      </c>
      <c r="AA102" s="223">
        <v>0.909027777777776</v>
      </c>
      <c r="AB102" s="271">
        <v>5.0</v>
      </c>
      <c r="AC102" s="223">
        <v>0.9124999999999982</v>
      </c>
      <c r="AD102" s="223">
        <v>0.9208333333333315</v>
      </c>
      <c r="AE102" s="271">
        <v>17.0</v>
      </c>
      <c r="AF102" s="223">
        <v>0.932638888888887</v>
      </c>
      <c r="AG102" s="223"/>
      <c r="AH102" s="103">
        <f t="shared" si="57"/>
        <v>111</v>
      </c>
      <c r="AI102" s="103">
        <f t="shared" si="61"/>
        <v>150</v>
      </c>
      <c r="AJ102" s="103">
        <f t="shared" si="58"/>
        <v>39</v>
      </c>
      <c r="AK102" s="104">
        <f t="shared" si="59"/>
        <v>0.3513513514</v>
      </c>
      <c r="AL102" s="142">
        <f t="shared" si="62"/>
        <v>60</v>
      </c>
      <c r="AO102" s="203">
        <f t="shared" si="66"/>
        <v>0</v>
      </c>
      <c r="AP102" s="203">
        <f t="shared" si="64"/>
        <v>510</v>
      </c>
      <c r="AQ102" s="203">
        <f t="shared" si="63"/>
        <v>475</v>
      </c>
      <c r="AR102" s="203">
        <f t="shared" si="65"/>
        <v>481</v>
      </c>
    </row>
    <row r="103" ht="15.0" customHeight="1">
      <c r="A103" s="127"/>
      <c r="B103" s="141" t="s">
        <v>98</v>
      </c>
      <c r="C103" s="223">
        <v>0.8909722222222206</v>
      </c>
      <c r="D103" s="223">
        <v>0.9006944444444428</v>
      </c>
      <c r="E103" s="271">
        <v>5.0</v>
      </c>
      <c r="F103" s="225">
        <v>0.8833333333333317</v>
      </c>
      <c r="G103" s="223">
        <v>0.8874999999999984</v>
      </c>
      <c r="H103" s="271">
        <v>1.0</v>
      </c>
      <c r="I103" s="223">
        <v>0.8881944444444428</v>
      </c>
      <c r="J103" s="223">
        <v>0.8972222222222206</v>
      </c>
      <c r="K103" s="223">
        <v>0.904166666666665</v>
      </c>
      <c r="L103" s="271">
        <v>1.0</v>
      </c>
      <c r="M103" s="223">
        <v>0.9048611111111095</v>
      </c>
      <c r="N103" s="223">
        <v>0.9131944444444428</v>
      </c>
      <c r="O103" s="223">
        <v>0.9194444444444427</v>
      </c>
      <c r="P103" s="271">
        <v>3.0</v>
      </c>
      <c r="Q103" s="223">
        <v>0.9215277777777761</v>
      </c>
      <c r="R103" s="223">
        <v>0.9256944444444427</v>
      </c>
      <c r="S103" s="271"/>
      <c r="T103" s="242"/>
      <c r="U103" s="223"/>
      <c r="V103" s="223"/>
      <c r="W103" s="271"/>
      <c r="X103" s="223"/>
      <c r="Y103" s="223"/>
      <c r="Z103" s="223"/>
      <c r="AA103" s="223"/>
      <c r="AB103" s="271"/>
      <c r="AC103" s="223"/>
      <c r="AD103" s="223"/>
      <c r="AE103" s="271"/>
      <c r="AF103" s="223"/>
      <c r="AG103" s="223"/>
      <c r="AH103" s="103">
        <f t="shared" si="57"/>
        <v>70</v>
      </c>
      <c r="AI103" s="103">
        <f>(R103-F103)*1440+(D103-C103)*1440+E103</f>
        <v>80</v>
      </c>
      <c r="AJ103" s="103">
        <f t="shared" si="58"/>
        <v>10</v>
      </c>
      <c r="AK103" s="104">
        <f t="shared" si="59"/>
        <v>0.1428571429</v>
      </c>
      <c r="AL103" s="142">
        <f>(R103-R102)*1440</f>
        <v>60</v>
      </c>
      <c r="AO103" s="203">
        <f t="shared" si="66"/>
        <v>0</v>
      </c>
      <c r="AP103" s="203">
        <f t="shared" si="64"/>
        <v>540</v>
      </c>
      <c r="AQ103" s="203">
        <f t="shared" si="63"/>
        <v>505</v>
      </c>
      <c r="AR103" s="203">
        <f t="shared" si="65"/>
        <v>-892</v>
      </c>
    </row>
    <row r="104" ht="15.0" customHeight="1">
      <c r="A104" s="156"/>
      <c r="B104" s="141" t="s">
        <v>98</v>
      </c>
      <c r="C104" s="223">
        <v>0.932638888888887</v>
      </c>
      <c r="D104" s="223">
        <v>0.9423611111111092</v>
      </c>
      <c r="E104" s="271"/>
      <c r="F104" s="277"/>
      <c r="G104" s="223"/>
      <c r="H104" s="271"/>
      <c r="I104" s="223"/>
      <c r="J104" s="223"/>
      <c r="K104" s="223"/>
      <c r="L104" s="271"/>
      <c r="M104" s="223"/>
      <c r="N104" s="223"/>
      <c r="O104" s="223"/>
      <c r="P104" s="271"/>
      <c r="Q104" s="223"/>
      <c r="R104" s="223"/>
      <c r="S104" s="271"/>
      <c r="T104" s="223"/>
      <c r="U104" s="223"/>
      <c r="V104" s="223"/>
      <c r="W104" s="271"/>
      <c r="X104" s="223"/>
      <c r="Y104" s="223"/>
      <c r="Z104" s="223"/>
      <c r="AA104" s="223"/>
      <c r="AB104" s="271"/>
      <c r="AC104" s="223"/>
      <c r="AD104" s="223"/>
      <c r="AE104" s="271"/>
      <c r="AF104" s="223"/>
      <c r="AG104" s="223"/>
      <c r="AH104" s="103"/>
      <c r="AI104" s="103">
        <f>(AF104-F104)*1440+(D104-C104)*1440+E104</f>
        <v>14</v>
      </c>
      <c r="AJ104" s="103"/>
      <c r="AK104" s="104"/>
      <c r="AL104" s="142"/>
      <c r="AP104" s="203">
        <f>(N104-N83)*1440</f>
        <v>0</v>
      </c>
      <c r="AQ104" s="203">
        <f>(AB105-AB83)*1440</f>
        <v>0</v>
      </c>
      <c r="AR104" s="203">
        <f>(AF105-AF83)*1440</f>
        <v>0</v>
      </c>
    </row>
    <row r="105" ht="15.0" customHeight="1">
      <c r="Q105" s="273" t="s">
        <v>154</v>
      </c>
      <c r="AA105" s="110" t="s">
        <v>81</v>
      </c>
      <c r="AD105" s="110"/>
      <c r="AE105" s="271">
        <v>10.0</v>
      </c>
      <c r="AF105" s="110"/>
      <c r="AG105" s="110"/>
      <c r="AH105" s="157">
        <f>SUM(AH91:AH103)/60</f>
        <v>24.3</v>
      </c>
      <c r="AI105" s="164">
        <f>SUM(AI90:AI104)/60</f>
        <v>32.48333333</v>
      </c>
      <c r="AJ105" s="159">
        <f>SUM(AJ91:AJ103)/60</f>
        <v>6.733333333</v>
      </c>
      <c r="AK105" s="104">
        <f>AJ105/AH105</f>
        <v>0.2770919067</v>
      </c>
    </row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9">
    <mergeCell ref="AA42:AC42"/>
    <mergeCell ref="C45:L45"/>
    <mergeCell ref="M45:AC45"/>
    <mergeCell ref="AE2:AE4"/>
    <mergeCell ref="AE46:AE48"/>
    <mergeCell ref="A44:A83"/>
    <mergeCell ref="A85:A104"/>
    <mergeCell ref="C86:L86"/>
    <mergeCell ref="M86:AC86"/>
    <mergeCell ref="E87:E89"/>
    <mergeCell ref="AE87:AE89"/>
    <mergeCell ref="AA105:AC105"/>
    <mergeCell ref="A1:A42"/>
    <mergeCell ref="C1:L1"/>
    <mergeCell ref="M1:AC1"/>
    <mergeCell ref="E2:E4"/>
    <mergeCell ref="AT4:BB4"/>
    <mergeCell ref="E46:E48"/>
    <mergeCell ref="AA83:AC83"/>
  </mergeCells>
  <conditionalFormatting sqref="B4:B41 B48:B82 B89">
    <cfRule type="containsText" dxfId="3" priority="1" operator="containsText" text="Night">
      <formula>NOT(ISERROR(SEARCH(("Night"),(B4))))</formula>
    </cfRule>
  </conditionalFormatting>
  <conditionalFormatting sqref="B4:B41 B48:B82 B89">
    <cfRule type="containsText" dxfId="4" priority="2" operator="containsText" text="Evening">
      <formula>NOT(ISERROR(SEARCH(("Evening"),(B4))))</formula>
    </cfRule>
  </conditionalFormatting>
  <conditionalFormatting sqref="B4:B41 B48:B82 B89">
    <cfRule type="containsText" dxfId="5" priority="3" operator="containsText" text="Peak">
      <formula>NOT(ISERROR(SEARCH(("Peak"),(B4))))</formula>
    </cfRule>
  </conditionalFormatting>
  <conditionalFormatting sqref="B5:B41 B49:B82">
    <cfRule type="containsText" dxfId="1" priority="4" operator="containsText" text="Midday">
      <formula>NOT(ISERROR(SEARCH(("Midday"),(B5))))</formula>
    </cfRule>
  </conditionalFormatting>
  <conditionalFormatting sqref="B4:B41 B48:B82 B89">
    <cfRule type="containsText" dxfId="2" priority="5" operator="containsText" text="Morning">
      <formula>NOT(ISERROR(SEARCH(("Morning"),(B4))))</formula>
    </cfRule>
  </conditionalFormatting>
  <conditionalFormatting sqref="B90:B104">
    <cfRule type="containsText" dxfId="3" priority="6" operator="containsText" text="Night">
      <formula>NOT(ISERROR(SEARCH(("Night"),(B90))))</formula>
    </cfRule>
  </conditionalFormatting>
  <conditionalFormatting sqref="B90:B104">
    <cfRule type="containsText" dxfId="4" priority="7" operator="containsText" text="Evening">
      <formula>NOT(ISERROR(SEARCH(("Evening"),(B90))))</formula>
    </cfRule>
  </conditionalFormatting>
  <conditionalFormatting sqref="B90:B104">
    <cfRule type="containsText" dxfId="5" priority="8" operator="containsText" text="Peak">
      <formula>NOT(ISERROR(SEARCH(("Peak"),(B90))))</formula>
    </cfRule>
  </conditionalFormatting>
  <conditionalFormatting sqref="B90:B104">
    <cfRule type="containsText" dxfId="1" priority="9" operator="containsText" text="Midday">
      <formula>NOT(ISERROR(SEARCH(("Midday"),(B90))))</formula>
    </cfRule>
  </conditionalFormatting>
  <conditionalFormatting sqref="B90:B104">
    <cfRule type="containsText" dxfId="2" priority="10" operator="containsText" text="Morning">
      <formula>NOT(ISERROR(SEARCH(("Morning"),(B90))))</formula>
    </cfRule>
  </conditionalFormatting>
  <conditionalFormatting sqref="B2 B5:B41 B49:B82">
    <cfRule type="containsText" dxfId="0" priority="11" operator="containsText" text="Early Morning">
      <formula>NOT(ISERROR(SEARCH(("Early Morning"),(B2))))</formula>
    </cfRule>
  </conditionalFormatting>
  <conditionalFormatting sqref="B46">
    <cfRule type="containsText" dxfId="0" priority="12" operator="containsText" text="Early Morning">
      <formula>NOT(ISERROR(SEARCH(("Early Morning"),(B46))))</formula>
    </cfRule>
  </conditionalFormatting>
  <conditionalFormatting sqref="B87">
    <cfRule type="containsText" dxfId="0" priority="13" operator="containsText" text="Early Morning">
      <formula>NOT(ISERROR(SEARCH(("Early Morning"),(B87))))</formula>
    </cfRule>
  </conditionalFormatting>
  <conditionalFormatting sqref="B90:B104">
    <cfRule type="containsText" dxfId="0" priority="14" operator="containsText" text="Early Morning">
      <formula>NOT(ISERROR(SEARCH(("Early Morning"),(B90))))</formula>
    </cfRule>
  </conditionalFormatting>
  <conditionalFormatting sqref="AK5:AK42 AK49:AK83 AK90:AK105">
    <cfRule type="cellIs" dxfId="11" priority="15" operator="lessThanOrEqual">
      <formula>0.1</formula>
    </cfRule>
  </conditionalFormatting>
  <conditionalFormatting sqref="AK5:AK42 AK49:AK83 AK90:AK105">
    <cfRule type="cellIs" dxfId="12" priority="16" operator="lessThan">
      <formula>0.145</formula>
    </cfRule>
  </conditionalFormatting>
  <conditionalFormatting sqref="AK5:AK42 AK49:AK83 AK90:AK105">
    <cfRule type="cellIs" dxfId="13" priority="17" operator="greaterThanOrEqual">
      <formula>0.145</formula>
    </cfRule>
  </conditionalFormatting>
  <conditionalFormatting sqref="AL5:AL41 AL49:AL82 AL90:AL104">
    <cfRule type="containsText" dxfId="3" priority="18" operator="containsText" text="Night">
      <formula>NOT(ISERROR(SEARCH(("Night"),(AL5))))</formula>
    </cfRule>
  </conditionalFormatting>
  <conditionalFormatting sqref="AL5:AL41 AL49:AL82 AL90:AL104">
    <cfRule type="containsText" dxfId="4" priority="19" operator="containsText" text="Evening">
      <formula>NOT(ISERROR(SEARCH(("Evening"),(AL5))))</formula>
    </cfRule>
  </conditionalFormatting>
  <conditionalFormatting sqref="AL5:AL41 AL49:AL82 AL90:AL104">
    <cfRule type="containsText" dxfId="5" priority="20" operator="containsText" text="Peak">
      <formula>NOT(ISERROR(SEARCH(("Peak"),(AL5))))</formula>
    </cfRule>
  </conditionalFormatting>
  <conditionalFormatting sqref="B4 AL5:AL41 B48 AL49:AL82 B89 AL90:AL104">
    <cfRule type="containsText" dxfId="1" priority="21" operator="containsText" text="Afternoon">
      <formula>NOT(ISERROR(SEARCH(("Afternoon"),(B4))))</formula>
    </cfRule>
  </conditionalFormatting>
  <conditionalFormatting sqref="AL5:AL41 AL49:AL82 AL90:AL104">
    <cfRule type="containsText" dxfId="2" priority="22" operator="containsText" text="Morning">
      <formula>NOT(ISERROR(SEARCH(("Morning"),(AL5))))</formula>
    </cfRule>
  </conditionalFormatting>
  <conditionalFormatting sqref="AL5:AL41 AL49:AL82 AL90:AL104">
    <cfRule type="cellIs" dxfId="6" priority="23" operator="lessThan">
      <formula>20</formula>
    </cfRule>
  </conditionalFormatting>
  <conditionalFormatting sqref="AL5:AL41 AL49:AL82 AL90:AL104">
    <cfRule type="cellIs" dxfId="7" priority="24" operator="equal">
      <formula>30</formula>
    </cfRule>
  </conditionalFormatting>
  <conditionalFormatting sqref="AL5:AL41 AL49:AL82 AL90:AL104">
    <cfRule type="cellIs" dxfId="8" priority="25" operator="greaterThan">
      <formula>31</formula>
    </cfRule>
  </conditionalFormatting>
  <conditionalFormatting sqref="AL5:AL41 AL49:AL82 AL90:AL104">
    <cfRule type="cellIs" dxfId="9" priority="26" operator="between">
      <formula>19</formula>
      <formula>29</formula>
    </cfRule>
  </conditionalFormatting>
  <conditionalFormatting sqref="AO6 AO8:AO10">
    <cfRule type="containsText" dxfId="10" priority="27" operator="containsText" text="Early Morning">
      <formula>NOT(ISERROR(SEARCH(("Early Morning"),(AO6))))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0"/>
    <col customWidth="1" min="3" max="4" width="9.63"/>
    <col customWidth="1" min="5" max="5" width="2.75"/>
    <col customWidth="1" min="6" max="7" width="9.63"/>
    <col customWidth="1" min="8" max="8" width="2.75"/>
    <col customWidth="1" min="9" max="10" width="9.63"/>
    <col customWidth="1" min="11" max="11" width="2.75"/>
    <col customWidth="1" min="12" max="13" width="9.63"/>
    <col customWidth="1" min="14" max="14" width="2.75"/>
    <col customWidth="1" min="15" max="15" width="9.63"/>
    <col customWidth="1" min="16" max="16" width="10.5"/>
    <col customWidth="1" min="17" max="17" width="10.13"/>
    <col customWidth="1" min="18" max="18" width="2.75"/>
    <col customWidth="1" min="19" max="19" width="7.0"/>
    <col customWidth="1" min="20" max="20" width="9.13"/>
  </cols>
  <sheetData>
    <row r="1" ht="13.5" customHeight="1">
      <c r="A1" s="278" t="s">
        <v>58</v>
      </c>
      <c r="B1" s="279" t="s">
        <v>155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S1" s="126"/>
    </row>
    <row r="2" ht="13.5" customHeight="1">
      <c r="A2" s="88"/>
      <c r="B2" s="62"/>
      <c r="C2" s="128" t="s">
        <v>62</v>
      </c>
      <c r="D2" s="128" t="s">
        <v>85</v>
      </c>
      <c r="E2" s="85"/>
      <c r="F2" s="128" t="s">
        <v>62</v>
      </c>
      <c r="G2" s="128" t="s">
        <v>85</v>
      </c>
      <c r="H2" s="85"/>
      <c r="I2" s="128" t="s">
        <v>62</v>
      </c>
      <c r="J2" s="128" t="s">
        <v>85</v>
      </c>
      <c r="K2" s="85"/>
      <c r="L2" s="128" t="s">
        <v>62</v>
      </c>
      <c r="M2" s="128" t="s">
        <v>85</v>
      </c>
      <c r="N2" s="85"/>
      <c r="O2" s="128" t="s">
        <v>62</v>
      </c>
      <c r="P2" s="129"/>
      <c r="Q2" s="129"/>
      <c r="R2" s="129"/>
      <c r="S2" s="129"/>
    </row>
    <row r="3" ht="42.75" customHeight="1">
      <c r="A3" s="88"/>
      <c r="B3" s="89" t="s">
        <v>63</v>
      </c>
      <c r="C3" s="130" t="s">
        <v>86</v>
      </c>
      <c r="D3" s="130" t="s">
        <v>156</v>
      </c>
      <c r="E3" s="91" t="s">
        <v>69</v>
      </c>
      <c r="F3" s="130" t="s">
        <v>156</v>
      </c>
      <c r="G3" s="131" t="s">
        <v>87</v>
      </c>
      <c r="H3" s="91" t="s">
        <v>69</v>
      </c>
      <c r="I3" s="131" t="s">
        <v>87</v>
      </c>
      <c r="J3" s="130" t="s">
        <v>70</v>
      </c>
      <c r="K3" s="91" t="s">
        <v>69</v>
      </c>
      <c r="L3" s="130" t="s">
        <v>70</v>
      </c>
      <c r="M3" s="131" t="s">
        <v>86</v>
      </c>
      <c r="N3" s="91" t="s">
        <v>69</v>
      </c>
      <c r="O3" s="130" t="s">
        <v>86</v>
      </c>
      <c r="P3" s="134"/>
      <c r="Q3" s="134"/>
      <c r="R3" s="134"/>
      <c r="S3" s="134"/>
    </row>
    <row r="4" ht="13.5" customHeight="1">
      <c r="A4" s="88"/>
      <c r="B4" s="93" t="s">
        <v>72</v>
      </c>
      <c r="C4" s="130">
        <v>1.0</v>
      </c>
      <c r="D4" s="128">
        <v>898.0</v>
      </c>
      <c r="E4" s="94"/>
      <c r="F4" s="128">
        <v>898.0</v>
      </c>
      <c r="G4" s="128">
        <v>441.0</v>
      </c>
      <c r="H4" s="94"/>
      <c r="I4" s="128">
        <v>441.0</v>
      </c>
      <c r="J4" s="128">
        <v>335.0</v>
      </c>
      <c r="K4" s="94"/>
      <c r="L4" s="128">
        <v>335.0</v>
      </c>
      <c r="M4" s="128">
        <v>1.0</v>
      </c>
      <c r="N4" s="94"/>
      <c r="O4" s="138">
        <v>1.0</v>
      </c>
      <c r="P4" s="95" t="s">
        <v>73</v>
      </c>
      <c r="Q4" s="95" t="s">
        <v>74</v>
      </c>
      <c r="R4" s="95" t="s">
        <v>69</v>
      </c>
      <c r="S4" s="95" t="s">
        <v>75</v>
      </c>
      <c r="T4" s="96" t="s">
        <v>76</v>
      </c>
    </row>
    <row r="5" ht="13.5" customHeight="1">
      <c r="A5" s="88"/>
      <c r="B5" s="97" t="s">
        <v>89</v>
      </c>
      <c r="C5" s="280">
        <v>0.2361111111111111</v>
      </c>
      <c r="D5" s="280">
        <v>0.24513888888888888</v>
      </c>
      <c r="E5" s="281">
        <v>3.0</v>
      </c>
      <c r="F5" s="280">
        <v>0.2472222222222222</v>
      </c>
      <c r="G5" s="280">
        <v>0.25555555555555554</v>
      </c>
      <c r="H5" s="281">
        <v>3.0</v>
      </c>
      <c r="I5" s="280">
        <v>0.25763888888888886</v>
      </c>
      <c r="J5" s="280">
        <v>0.2652777777777777</v>
      </c>
      <c r="K5" s="281">
        <v>0.0</v>
      </c>
      <c r="L5" s="280">
        <v>0.2652777777777777</v>
      </c>
      <c r="M5" s="280">
        <v>0.2743055555555555</v>
      </c>
      <c r="N5" s="281">
        <v>5.0</v>
      </c>
      <c r="O5" s="280">
        <v>0.27777777777777773</v>
      </c>
      <c r="P5" s="102">
        <f t="shared" ref="P5:P39" si="1">Q5-R5</f>
        <v>49</v>
      </c>
      <c r="Q5" s="102">
        <f t="shared" ref="Q5:Q35" si="2">(O5-C5)*1440</f>
        <v>60</v>
      </c>
      <c r="R5" s="103">
        <f t="shared" ref="R5:R39" si="3">N5+K5+H5+E5</f>
        <v>11</v>
      </c>
      <c r="S5" s="104">
        <f t="shared" ref="S5:S39" si="4">R5/P5</f>
        <v>0.2244897959</v>
      </c>
      <c r="T5" s="122"/>
    </row>
    <row r="6" ht="13.5" customHeight="1">
      <c r="A6" s="88"/>
      <c r="B6" s="106" t="s">
        <v>89</v>
      </c>
      <c r="C6" s="280">
        <v>0.2569444444444444</v>
      </c>
      <c r="D6" s="280">
        <v>0.2659722222222222</v>
      </c>
      <c r="E6" s="281">
        <v>3.0</v>
      </c>
      <c r="F6" s="280">
        <v>0.26805555555555555</v>
      </c>
      <c r="G6" s="280">
        <v>0.2763888888888889</v>
      </c>
      <c r="H6" s="281">
        <v>3.0</v>
      </c>
      <c r="I6" s="280">
        <v>0.27847222222222223</v>
      </c>
      <c r="J6" s="280">
        <v>0.2861111111111111</v>
      </c>
      <c r="K6" s="281">
        <v>0.0</v>
      </c>
      <c r="L6" s="280">
        <v>0.2861111111111111</v>
      </c>
      <c r="M6" s="280">
        <v>0.2951388888888889</v>
      </c>
      <c r="N6" s="281">
        <v>5.0</v>
      </c>
      <c r="O6" s="280">
        <v>0.2986111111111111</v>
      </c>
      <c r="P6" s="102">
        <f t="shared" si="1"/>
        <v>49</v>
      </c>
      <c r="Q6" s="102">
        <f t="shared" si="2"/>
        <v>60</v>
      </c>
      <c r="R6" s="103">
        <f t="shared" si="3"/>
        <v>11</v>
      </c>
      <c r="S6" s="104">
        <f t="shared" si="4"/>
        <v>0.2244897959</v>
      </c>
      <c r="T6" s="102">
        <f t="shared" ref="T6:T35" si="5">(O6-O5)*1440</f>
        <v>30</v>
      </c>
    </row>
    <row r="7" ht="13.5" customHeight="1">
      <c r="A7" s="88"/>
      <c r="B7" s="106" t="s">
        <v>89</v>
      </c>
      <c r="C7" s="280">
        <v>0.27777777777777773</v>
      </c>
      <c r="D7" s="280">
        <v>0.28680555555555554</v>
      </c>
      <c r="E7" s="281">
        <v>3.0</v>
      </c>
      <c r="F7" s="280">
        <v>0.28888888888888886</v>
      </c>
      <c r="G7" s="280">
        <v>0.2972222222222222</v>
      </c>
      <c r="H7" s="281">
        <v>3.0</v>
      </c>
      <c r="I7" s="280">
        <v>0.29930555555555555</v>
      </c>
      <c r="J7" s="280">
        <v>0.3069444444444444</v>
      </c>
      <c r="K7" s="281">
        <v>0.0</v>
      </c>
      <c r="L7" s="280">
        <v>0.3069444444444444</v>
      </c>
      <c r="M7" s="280">
        <v>0.3159722222222222</v>
      </c>
      <c r="N7" s="281">
        <v>5.0</v>
      </c>
      <c r="O7" s="280">
        <v>0.3194444444444444</v>
      </c>
      <c r="P7" s="102">
        <f t="shared" si="1"/>
        <v>49</v>
      </c>
      <c r="Q7" s="102">
        <f t="shared" si="2"/>
        <v>60</v>
      </c>
      <c r="R7" s="103">
        <f t="shared" si="3"/>
        <v>11</v>
      </c>
      <c r="S7" s="104">
        <f t="shared" si="4"/>
        <v>0.2244897959</v>
      </c>
      <c r="T7" s="102">
        <f t="shared" si="5"/>
        <v>30</v>
      </c>
    </row>
    <row r="8" ht="13.5" customHeight="1">
      <c r="A8" s="88"/>
      <c r="B8" s="106" t="s">
        <v>89</v>
      </c>
      <c r="C8" s="280">
        <v>0.2986111111111111</v>
      </c>
      <c r="D8" s="280">
        <v>0.3076388888888889</v>
      </c>
      <c r="E8" s="281">
        <v>3.0</v>
      </c>
      <c r="F8" s="280">
        <v>0.30972222222222223</v>
      </c>
      <c r="G8" s="280">
        <v>0.3180555555555556</v>
      </c>
      <c r="H8" s="281">
        <v>3.0</v>
      </c>
      <c r="I8" s="280">
        <v>0.3201388888888889</v>
      </c>
      <c r="J8" s="280">
        <v>0.3277777777777778</v>
      </c>
      <c r="K8" s="281">
        <v>0.0</v>
      </c>
      <c r="L8" s="280">
        <v>0.3277777777777778</v>
      </c>
      <c r="M8" s="280">
        <v>0.3368055555555556</v>
      </c>
      <c r="N8" s="281">
        <v>5.0</v>
      </c>
      <c r="O8" s="280">
        <v>0.3402777777777778</v>
      </c>
      <c r="P8" s="102">
        <f t="shared" si="1"/>
        <v>49</v>
      </c>
      <c r="Q8" s="102">
        <f t="shared" si="2"/>
        <v>60</v>
      </c>
      <c r="R8" s="103">
        <f t="shared" si="3"/>
        <v>11</v>
      </c>
      <c r="S8" s="104">
        <f t="shared" si="4"/>
        <v>0.2244897959</v>
      </c>
      <c r="T8" s="102">
        <f t="shared" si="5"/>
        <v>30</v>
      </c>
    </row>
    <row r="9" ht="13.5" customHeight="1">
      <c r="A9" s="88"/>
      <c r="B9" s="106" t="s">
        <v>77</v>
      </c>
      <c r="C9" s="280">
        <v>0.3194444444444444</v>
      </c>
      <c r="D9" s="280">
        <v>0.3284722222222222</v>
      </c>
      <c r="E9" s="281">
        <v>2.0</v>
      </c>
      <c r="F9" s="280">
        <v>0.3298611111111111</v>
      </c>
      <c r="G9" s="280">
        <v>0.3388888888888889</v>
      </c>
      <c r="H9" s="281">
        <v>1.0</v>
      </c>
      <c r="I9" s="280">
        <v>0.33958333333333335</v>
      </c>
      <c r="J9" s="280">
        <v>0.3479166666666667</v>
      </c>
      <c r="K9" s="281">
        <v>0.0</v>
      </c>
      <c r="L9" s="280">
        <v>0.3479166666666667</v>
      </c>
      <c r="M9" s="280">
        <v>0.35763888888888895</v>
      </c>
      <c r="N9" s="281">
        <v>5.0</v>
      </c>
      <c r="O9" s="280">
        <v>0.36111111111111116</v>
      </c>
      <c r="P9" s="102">
        <f t="shared" si="1"/>
        <v>52</v>
      </c>
      <c r="Q9" s="102">
        <f t="shared" si="2"/>
        <v>60</v>
      </c>
      <c r="R9" s="103">
        <f t="shared" si="3"/>
        <v>8</v>
      </c>
      <c r="S9" s="104">
        <f t="shared" si="4"/>
        <v>0.1538461538</v>
      </c>
      <c r="T9" s="102">
        <f t="shared" si="5"/>
        <v>30</v>
      </c>
    </row>
    <row r="10" ht="13.5" customHeight="1">
      <c r="A10" s="88"/>
      <c r="B10" s="106" t="s">
        <v>77</v>
      </c>
      <c r="C10" s="280">
        <v>0.3402777777777778</v>
      </c>
      <c r="D10" s="280">
        <v>0.3493055555555556</v>
      </c>
      <c r="E10" s="281">
        <v>2.0</v>
      </c>
      <c r="F10" s="280">
        <v>0.3506944444444445</v>
      </c>
      <c r="G10" s="280">
        <v>0.3597222222222223</v>
      </c>
      <c r="H10" s="281">
        <v>1.0</v>
      </c>
      <c r="I10" s="280">
        <v>0.3604166666666667</v>
      </c>
      <c r="J10" s="280">
        <v>0.3687500000000001</v>
      </c>
      <c r="K10" s="281">
        <v>0.0</v>
      </c>
      <c r="L10" s="280">
        <v>0.3687500000000001</v>
      </c>
      <c r="M10" s="280">
        <v>0.3784722222222223</v>
      </c>
      <c r="N10" s="281">
        <v>5.0</v>
      </c>
      <c r="O10" s="280">
        <v>0.38194444444444453</v>
      </c>
      <c r="P10" s="102">
        <f t="shared" si="1"/>
        <v>52</v>
      </c>
      <c r="Q10" s="102">
        <f t="shared" si="2"/>
        <v>60</v>
      </c>
      <c r="R10" s="103">
        <f t="shared" si="3"/>
        <v>8</v>
      </c>
      <c r="S10" s="104">
        <f t="shared" si="4"/>
        <v>0.1538461538</v>
      </c>
      <c r="T10" s="102">
        <f t="shared" si="5"/>
        <v>30</v>
      </c>
    </row>
    <row r="11" ht="13.5" customHeight="1">
      <c r="A11" s="88"/>
      <c r="B11" s="106" t="s">
        <v>77</v>
      </c>
      <c r="C11" s="280">
        <v>0.36111111111111116</v>
      </c>
      <c r="D11" s="280">
        <v>0.37013888888888896</v>
      </c>
      <c r="E11" s="281">
        <v>2.0</v>
      </c>
      <c r="F11" s="280">
        <v>0.37152777777777785</v>
      </c>
      <c r="G11" s="280">
        <v>0.38055555555555565</v>
      </c>
      <c r="H11" s="281">
        <v>1.0</v>
      </c>
      <c r="I11" s="280">
        <v>0.38125</v>
      </c>
      <c r="J11" s="280">
        <v>0.38958333333333345</v>
      </c>
      <c r="K11" s="281">
        <v>0.0</v>
      </c>
      <c r="L11" s="280">
        <v>0.38958333333333345</v>
      </c>
      <c r="M11" s="280">
        <v>0.3993055555555557</v>
      </c>
      <c r="N11" s="281">
        <v>5.0</v>
      </c>
      <c r="O11" s="280">
        <v>0.4027777777777779</v>
      </c>
      <c r="P11" s="102">
        <f t="shared" si="1"/>
        <v>52</v>
      </c>
      <c r="Q11" s="102">
        <f t="shared" si="2"/>
        <v>60</v>
      </c>
      <c r="R11" s="103">
        <f t="shared" si="3"/>
        <v>8</v>
      </c>
      <c r="S11" s="104">
        <f t="shared" si="4"/>
        <v>0.1538461538</v>
      </c>
      <c r="T11" s="102">
        <f t="shared" si="5"/>
        <v>30</v>
      </c>
    </row>
    <row r="12" ht="13.5" customHeight="1">
      <c r="A12" s="88"/>
      <c r="B12" s="106" t="s">
        <v>77</v>
      </c>
      <c r="C12" s="280">
        <v>0.38194444444444453</v>
      </c>
      <c r="D12" s="280">
        <v>0.39097222222222233</v>
      </c>
      <c r="E12" s="281">
        <v>2.0</v>
      </c>
      <c r="F12" s="280">
        <v>0.3923611111111112</v>
      </c>
      <c r="G12" s="280">
        <v>0.401388888888889</v>
      </c>
      <c r="H12" s="281">
        <v>1.0</v>
      </c>
      <c r="I12" s="280">
        <v>0.40208333333333346</v>
      </c>
      <c r="J12" s="280">
        <v>0.4104166666666668</v>
      </c>
      <c r="K12" s="281">
        <v>0.0</v>
      </c>
      <c r="L12" s="280">
        <v>0.4104166666666668</v>
      </c>
      <c r="M12" s="280">
        <v>0.42013888888888906</v>
      </c>
      <c r="N12" s="281">
        <v>5.0</v>
      </c>
      <c r="O12" s="280">
        <v>0.42361111111111127</v>
      </c>
      <c r="P12" s="102">
        <f t="shared" si="1"/>
        <v>52</v>
      </c>
      <c r="Q12" s="102">
        <f t="shared" si="2"/>
        <v>60</v>
      </c>
      <c r="R12" s="103">
        <f t="shared" si="3"/>
        <v>8</v>
      </c>
      <c r="S12" s="104">
        <f t="shared" si="4"/>
        <v>0.1538461538</v>
      </c>
      <c r="T12" s="102">
        <f t="shared" si="5"/>
        <v>30</v>
      </c>
    </row>
    <row r="13" ht="13.5" customHeight="1">
      <c r="A13" s="88"/>
      <c r="B13" s="106" t="s">
        <v>77</v>
      </c>
      <c r="C13" s="280">
        <v>0.4027777777777779</v>
      </c>
      <c r="D13" s="280">
        <v>0.4118055555555557</v>
      </c>
      <c r="E13" s="281">
        <v>2.0</v>
      </c>
      <c r="F13" s="280">
        <v>0.4131944444444446</v>
      </c>
      <c r="G13" s="280">
        <v>0.4222222222222224</v>
      </c>
      <c r="H13" s="281">
        <v>1.0</v>
      </c>
      <c r="I13" s="280">
        <v>0.42291666666666683</v>
      </c>
      <c r="J13" s="280">
        <v>0.4312500000000002</v>
      </c>
      <c r="K13" s="281">
        <v>0.0</v>
      </c>
      <c r="L13" s="280">
        <v>0.4312500000000002</v>
      </c>
      <c r="M13" s="280">
        <v>0.44097222222222243</v>
      </c>
      <c r="N13" s="281">
        <v>5.0</v>
      </c>
      <c r="O13" s="280">
        <v>0.44444444444444464</v>
      </c>
      <c r="P13" s="102">
        <f t="shared" si="1"/>
        <v>52</v>
      </c>
      <c r="Q13" s="102">
        <f t="shared" si="2"/>
        <v>60</v>
      </c>
      <c r="R13" s="103">
        <f t="shared" si="3"/>
        <v>8</v>
      </c>
      <c r="S13" s="104">
        <f t="shared" si="4"/>
        <v>0.1538461538</v>
      </c>
      <c r="T13" s="102">
        <f t="shared" si="5"/>
        <v>30</v>
      </c>
    </row>
    <row r="14" ht="13.5" customHeight="1">
      <c r="A14" s="88"/>
      <c r="B14" s="106" t="s">
        <v>77</v>
      </c>
      <c r="C14" s="280">
        <v>0.42361111111111127</v>
      </c>
      <c r="D14" s="280">
        <v>0.4326388888888891</v>
      </c>
      <c r="E14" s="281">
        <v>2.0</v>
      </c>
      <c r="F14" s="280">
        <v>0.43402777777777796</v>
      </c>
      <c r="G14" s="280">
        <v>0.44305555555555576</v>
      </c>
      <c r="H14" s="281">
        <v>1.0</v>
      </c>
      <c r="I14" s="280">
        <v>0.4437500000000002</v>
      </c>
      <c r="J14" s="280">
        <v>0.45208333333333356</v>
      </c>
      <c r="K14" s="281">
        <v>0.0</v>
      </c>
      <c r="L14" s="280">
        <v>0.45208333333333356</v>
      </c>
      <c r="M14" s="280">
        <v>0.4618055555555558</v>
      </c>
      <c r="N14" s="281">
        <v>5.0</v>
      </c>
      <c r="O14" s="280">
        <v>0.465277777777778</v>
      </c>
      <c r="P14" s="102">
        <f t="shared" si="1"/>
        <v>52</v>
      </c>
      <c r="Q14" s="102">
        <f t="shared" si="2"/>
        <v>60</v>
      </c>
      <c r="R14" s="103">
        <f t="shared" si="3"/>
        <v>8</v>
      </c>
      <c r="S14" s="104">
        <f t="shared" si="4"/>
        <v>0.1538461538</v>
      </c>
      <c r="T14" s="102">
        <f t="shared" si="5"/>
        <v>30</v>
      </c>
    </row>
    <row r="15" ht="13.5" customHeight="1">
      <c r="A15" s="88"/>
      <c r="B15" s="106" t="s">
        <v>77</v>
      </c>
      <c r="C15" s="280">
        <v>0.44444444444444464</v>
      </c>
      <c r="D15" s="280">
        <v>0.45347222222222244</v>
      </c>
      <c r="E15" s="281">
        <v>2.0</v>
      </c>
      <c r="F15" s="280">
        <v>0.4548611111111113</v>
      </c>
      <c r="G15" s="280">
        <v>0.46388888888888913</v>
      </c>
      <c r="H15" s="281">
        <v>1.0</v>
      </c>
      <c r="I15" s="280">
        <v>0.46458333333333357</v>
      </c>
      <c r="J15" s="280">
        <v>0.47291666666666693</v>
      </c>
      <c r="K15" s="281">
        <v>0.0</v>
      </c>
      <c r="L15" s="280">
        <v>0.47291666666666693</v>
      </c>
      <c r="M15" s="280">
        <v>0.4826388888888892</v>
      </c>
      <c r="N15" s="281">
        <v>5.0</v>
      </c>
      <c r="O15" s="280">
        <v>0.4861111111111114</v>
      </c>
      <c r="P15" s="102">
        <f t="shared" si="1"/>
        <v>52</v>
      </c>
      <c r="Q15" s="102">
        <f t="shared" si="2"/>
        <v>60</v>
      </c>
      <c r="R15" s="103">
        <f t="shared" si="3"/>
        <v>8</v>
      </c>
      <c r="S15" s="104">
        <f t="shared" si="4"/>
        <v>0.1538461538</v>
      </c>
      <c r="T15" s="102">
        <f t="shared" si="5"/>
        <v>30</v>
      </c>
    </row>
    <row r="16" ht="13.5" customHeight="1">
      <c r="A16" s="88"/>
      <c r="B16" s="106" t="s">
        <v>78</v>
      </c>
      <c r="C16" s="280">
        <v>0.465277777777778</v>
      </c>
      <c r="D16" s="280">
        <v>0.4743055555555558</v>
      </c>
      <c r="E16" s="281">
        <v>2.0</v>
      </c>
      <c r="F16" s="280">
        <v>0.4756944444444447</v>
      </c>
      <c r="G16" s="280">
        <v>0.4847222222222225</v>
      </c>
      <c r="H16" s="281">
        <v>1.0</v>
      </c>
      <c r="I16" s="280">
        <v>0.48541666666666694</v>
      </c>
      <c r="J16" s="280">
        <v>0.4937500000000003</v>
      </c>
      <c r="K16" s="281">
        <v>0.0</v>
      </c>
      <c r="L16" s="280">
        <v>0.4937500000000003</v>
      </c>
      <c r="M16" s="280">
        <v>0.504166666666667</v>
      </c>
      <c r="N16" s="281">
        <v>4.0</v>
      </c>
      <c r="O16" s="280">
        <v>0.5069444444444448</v>
      </c>
      <c r="P16" s="102">
        <f t="shared" si="1"/>
        <v>53</v>
      </c>
      <c r="Q16" s="102">
        <f t="shared" si="2"/>
        <v>60</v>
      </c>
      <c r="R16" s="103">
        <f t="shared" si="3"/>
        <v>7</v>
      </c>
      <c r="S16" s="104">
        <f t="shared" si="4"/>
        <v>0.1320754717</v>
      </c>
      <c r="T16" s="102">
        <f t="shared" si="5"/>
        <v>30</v>
      </c>
    </row>
    <row r="17" ht="13.5" customHeight="1">
      <c r="A17" s="88"/>
      <c r="B17" s="106" t="s">
        <v>78</v>
      </c>
      <c r="C17" s="280">
        <v>0.4861111111111114</v>
      </c>
      <c r="D17" s="280">
        <v>0.4951388888888892</v>
      </c>
      <c r="E17" s="281">
        <v>2.0</v>
      </c>
      <c r="F17" s="280">
        <v>0.49652777777777807</v>
      </c>
      <c r="G17" s="280">
        <v>0.5055555555555559</v>
      </c>
      <c r="H17" s="281">
        <v>1.0</v>
      </c>
      <c r="I17" s="280">
        <v>0.5062500000000003</v>
      </c>
      <c r="J17" s="280">
        <v>0.5145833333333336</v>
      </c>
      <c r="K17" s="281">
        <v>0.0</v>
      </c>
      <c r="L17" s="280">
        <v>0.5145833333333336</v>
      </c>
      <c r="M17" s="280">
        <v>0.5250000000000002</v>
      </c>
      <c r="N17" s="281">
        <v>4.0</v>
      </c>
      <c r="O17" s="280">
        <v>0.527777777777778</v>
      </c>
      <c r="P17" s="102">
        <f t="shared" si="1"/>
        <v>53</v>
      </c>
      <c r="Q17" s="102">
        <f t="shared" si="2"/>
        <v>60</v>
      </c>
      <c r="R17" s="103">
        <f t="shared" si="3"/>
        <v>7</v>
      </c>
      <c r="S17" s="104">
        <f t="shared" si="4"/>
        <v>0.1320754717</v>
      </c>
      <c r="T17" s="102">
        <f t="shared" si="5"/>
        <v>30</v>
      </c>
    </row>
    <row r="18" ht="13.5" customHeight="1">
      <c r="A18" s="88"/>
      <c r="B18" s="106" t="s">
        <v>78</v>
      </c>
      <c r="C18" s="280">
        <v>0.5069444444444448</v>
      </c>
      <c r="D18" s="280">
        <v>0.5159722222222225</v>
      </c>
      <c r="E18" s="281">
        <v>2.0</v>
      </c>
      <c r="F18" s="280">
        <v>0.5173611111111114</v>
      </c>
      <c r="G18" s="280">
        <v>0.5263888888888891</v>
      </c>
      <c r="H18" s="281">
        <v>1.0</v>
      </c>
      <c r="I18" s="280">
        <v>0.5270833333333336</v>
      </c>
      <c r="J18" s="280">
        <v>0.5354166666666669</v>
      </c>
      <c r="K18" s="281">
        <v>0.0</v>
      </c>
      <c r="L18" s="280">
        <v>0.5354166666666669</v>
      </c>
      <c r="M18" s="280">
        <v>0.5458333333333335</v>
      </c>
      <c r="N18" s="281">
        <v>4.0</v>
      </c>
      <c r="O18" s="280">
        <v>0.5486111111111113</v>
      </c>
      <c r="P18" s="102">
        <f t="shared" si="1"/>
        <v>53</v>
      </c>
      <c r="Q18" s="102">
        <f t="shared" si="2"/>
        <v>60</v>
      </c>
      <c r="R18" s="103">
        <f t="shared" si="3"/>
        <v>7</v>
      </c>
      <c r="S18" s="104">
        <f t="shared" si="4"/>
        <v>0.1320754717</v>
      </c>
      <c r="T18" s="102">
        <f t="shared" si="5"/>
        <v>30</v>
      </c>
    </row>
    <row r="19" ht="13.5" customHeight="1">
      <c r="A19" s="88"/>
      <c r="B19" s="106" t="s">
        <v>78</v>
      </c>
      <c r="C19" s="280">
        <v>0.527777777777778</v>
      </c>
      <c r="D19" s="280">
        <v>0.5368055555555558</v>
      </c>
      <c r="E19" s="281">
        <v>2.0</v>
      </c>
      <c r="F19" s="280">
        <v>0.5381944444444446</v>
      </c>
      <c r="G19" s="280">
        <v>0.5472222222222224</v>
      </c>
      <c r="H19" s="281">
        <v>1.0</v>
      </c>
      <c r="I19" s="280">
        <v>0.5479166666666668</v>
      </c>
      <c r="J19" s="280">
        <v>0.5562500000000001</v>
      </c>
      <c r="K19" s="281">
        <v>0.0</v>
      </c>
      <c r="L19" s="280">
        <v>0.5562500000000001</v>
      </c>
      <c r="M19" s="280">
        <v>0.5666666666666668</v>
      </c>
      <c r="N19" s="281">
        <v>4.0</v>
      </c>
      <c r="O19" s="280">
        <v>0.5694444444444445</v>
      </c>
      <c r="P19" s="102">
        <f t="shared" si="1"/>
        <v>53</v>
      </c>
      <c r="Q19" s="102">
        <f t="shared" si="2"/>
        <v>60</v>
      </c>
      <c r="R19" s="103">
        <f t="shared" si="3"/>
        <v>7</v>
      </c>
      <c r="S19" s="104">
        <f t="shared" si="4"/>
        <v>0.1320754717</v>
      </c>
      <c r="T19" s="102">
        <f t="shared" si="5"/>
        <v>30</v>
      </c>
    </row>
    <row r="20" ht="13.5" customHeight="1">
      <c r="A20" s="88"/>
      <c r="B20" s="106" t="s">
        <v>78</v>
      </c>
      <c r="C20" s="280">
        <v>0.5486111111111113</v>
      </c>
      <c r="D20" s="280">
        <v>0.557638888888889</v>
      </c>
      <c r="E20" s="281">
        <v>2.0</v>
      </c>
      <c r="F20" s="280">
        <v>0.5590277777777779</v>
      </c>
      <c r="G20" s="280">
        <v>0.5680555555555556</v>
      </c>
      <c r="H20" s="281">
        <v>1.0</v>
      </c>
      <c r="I20" s="280">
        <v>0.5687500000000001</v>
      </c>
      <c r="J20" s="280">
        <v>0.5770833333333334</v>
      </c>
      <c r="K20" s="281">
        <v>0.0</v>
      </c>
      <c r="L20" s="280">
        <v>0.5770833333333334</v>
      </c>
      <c r="M20" s="280">
        <v>0.5875</v>
      </c>
      <c r="N20" s="281">
        <v>4.0</v>
      </c>
      <c r="O20" s="280">
        <v>0.5902777777777778</v>
      </c>
      <c r="P20" s="102">
        <f t="shared" si="1"/>
        <v>53</v>
      </c>
      <c r="Q20" s="102">
        <f t="shared" si="2"/>
        <v>60</v>
      </c>
      <c r="R20" s="103">
        <f t="shared" si="3"/>
        <v>7</v>
      </c>
      <c r="S20" s="104">
        <f t="shared" si="4"/>
        <v>0.1320754717</v>
      </c>
      <c r="T20" s="102">
        <f t="shared" si="5"/>
        <v>30</v>
      </c>
    </row>
    <row r="21" ht="13.5" customHeight="1">
      <c r="A21" s="88"/>
      <c r="B21" s="106" t="s">
        <v>78</v>
      </c>
      <c r="C21" s="280">
        <v>0.5694444444444445</v>
      </c>
      <c r="D21" s="280">
        <v>0.5784722222222223</v>
      </c>
      <c r="E21" s="281">
        <v>2.0</v>
      </c>
      <c r="F21" s="280">
        <v>0.5798611111111112</v>
      </c>
      <c r="G21" s="280">
        <v>0.5888888888888889</v>
      </c>
      <c r="H21" s="281">
        <v>1.0</v>
      </c>
      <c r="I21" s="280">
        <v>0.5895833333333333</v>
      </c>
      <c r="J21" s="280">
        <v>0.5979166666666667</v>
      </c>
      <c r="K21" s="281">
        <v>0.0</v>
      </c>
      <c r="L21" s="280">
        <v>0.5979166666666667</v>
      </c>
      <c r="M21" s="280">
        <v>0.6083333333333333</v>
      </c>
      <c r="N21" s="281">
        <v>4.0</v>
      </c>
      <c r="O21" s="280">
        <v>0.611111111111111</v>
      </c>
      <c r="P21" s="102">
        <f t="shared" si="1"/>
        <v>53</v>
      </c>
      <c r="Q21" s="102">
        <f t="shared" si="2"/>
        <v>60</v>
      </c>
      <c r="R21" s="103">
        <f t="shared" si="3"/>
        <v>7</v>
      </c>
      <c r="S21" s="104">
        <f t="shared" si="4"/>
        <v>0.1320754717</v>
      </c>
      <c r="T21" s="102">
        <f t="shared" si="5"/>
        <v>30</v>
      </c>
    </row>
    <row r="22" ht="13.5" customHeight="1">
      <c r="A22" s="88"/>
      <c r="B22" s="106" t="s">
        <v>78</v>
      </c>
      <c r="C22" s="280">
        <v>0.5902777777777778</v>
      </c>
      <c r="D22" s="280">
        <v>0.5993055555555555</v>
      </c>
      <c r="E22" s="281">
        <v>2.0</v>
      </c>
      <c r="F22" s="280">
        <v>0.6006944444444444</v>
      </c>
      <c r="G22" s="280">
        <v>0.6097222222222222</v>
      </c>
      <c r="H22" s="281">
        <v>1.0</v>
      </c>
      <c r="I22" s="280">
        <v>0.6104166666666666</v>
      </c>
      <c r="J22" s="280">
        <v>0.6187499999999999</v>
      </c>
      <c r="K22" s="281">
        <v>0.0</v>
      </c>
      <c r="L22" s="280">
        <v>0.6187499999999999</v>
      </c>
      <c r="M22" s="280">
        <v>0.6291666666666665</v>
      </c>
      <c r="N22" s="281">
        <v>4.0</v>
      </c>
      <c r="O22" s="280">
        <v>0.6319444444444443</v>
      </c>
      <c r="P22" s="102">
        <f t="shared" si="1"/>
        <v>53</v>
      </c>
      <c r="Q22" s="102">
        <f t="shared" si="2"/>
        <v>60</v>
      </c>
      <c r="R22" s="103">
        <f t="shared" si="3"/>
        <v>7</v>
      </c>
      <c r="S22" s="104">
        <f t="shared" si="4"/>
        <v>0.1320754717</v>
      </c>
      <c r="T22" s="102">
        <f t="shared" si="5"/>
        <v>30</v>
      </c>
    </row>
    <row r="23" ht="13.5" customHeight="1">
      <c r="A23" s="88"/>
      <c r="B23" s="106" t="s">
        <v>78</v>
      </c>
      <c r="C23" s="280">
        <v>0.611111111111111</v>
      </c>
      <c r="D23" s="280">
        <v>0.6201388888888888</v>
      </c>
      <c r="E23" s="281">
        <v>2.0</v>
      </c>
      <c r="F23" s="280">
        <v>0.6215277777777777</v>
      </c>
      <c r="G23" s="280">
        <v>0.6305555555555554</v>
      </c>
      <c r="H23" s="281">
        <v>1.0</v>
      </c>
      <c r="I23" s="280">
        <v>0.6312499999999999</v>
      </c>
      <c r="J23" s="280">
        <v>0.6395833333333332</v>
      </c>
      <c r="K23" s="281">
        <v>0.0</v>
      </c>
      <c r="L23" s="280">
        <v>0.6395833333333332</v>
      </c>
      <c r="M23" s="280">
        <v>0.6499999999999998</v>
      </c>
      <c r="N23" s="281">
        <v>4.0</v>
      </c>
      <c r="O23" s="280">
        <v>0.6527777777777776</v>
      </c>
      <c r="P23" s="102">
        <f t="shared" si="1"/>
        <v>53</v>
      </c>
      <c r="Q23" s="102">
        <f t="shared" si="2"/>
        <v>60</v>
      </c>
      <c r="R23" s="103">
        <f t="shared" si="3"/>
        <v>7</v>
      </c>
      <c r="S23" s="104">
        <f t="shared" si="4"/>
        <v>0.1320754717</v>
      </c>
      <c r="T23" s="102">
        <f t="shared" si="5"/>
        <v>30</v>
      </c>
    </row>
    <row r="24" ht="13.5" customHeight="1">
      <c r="A24" s="88"/>
      <c r="B24" s="106" t="s">
        <v>78</v>
      </c>
      <c r="C24" s="280">
        <v>0.6319444444444443</v>
      </c>
      <c r="D24" s="280">
        <v>0.640972222222222</v>
      </c>
      <c r="E24" s="281">
        <v>2.0</v>
      </c>
      <c r="F24" s="280">
        <v>0.6423611111111109</v>
      </c>
      <c r="G24" s="280">
        <v>0.6513888888888887</v>
      </c>
      <c r="H24" s="281">
        <v>1.0</v>
      </c>
      <c r="I24" s="280">
        <v>0.6520833333333331</v>
      </c>
      <c r="J24" s="280">
        <v>0.6604166666666667</v>
      </c>
      <c r="K24" s="281">
        <v>0.0</v>
      </c>
      <c r="L24" s="280">
        <v>0.6604166666666667</v>
      </c>
      <c r="M24" s="280">
        <v>0.6708333333333331</v>
      </c>
      <c r="N24" s="281">
        <v>4.0</v>
      </c>
      <c r="O24" s="280">
        <v>0.6736111111111108</v>
      </c>
      <c r="P24" s="102">
        <f t="shared" si="1"/>
        <v>53</v>
      </c>
      <c r="Q24" s="102">
        <f t="shared" si="2"/>
        <v>60</v>
      </c>
      <c r="R24" s="103">
        <f t="shared" si="3"/>
        <v>7</v>
      </c>
      <c r="S24" s="104">
        <f t="shared" si="4"/>
        <v>0.1320754717</v>
      </c>
      <c r="T24" s="102">
        <f t="shared" si="5"/>
        <v>30</v>
      </c>
    </row>
    <row r="25" ht="13.5" customHeight="1">
      <c r="A25" s="88"/>
      <c r="B25" s="106" t="s">
        <v>78</v>
      </c>
      <c r="C25" s="280">
        <v>0.6527777777777776</v>
      </c>
      <c r="D25" s="280">
        <v>0.6618055555555553</v>
      </c>
      <c r="E25" s="281">
        <v>2.0</v>
      </c>
      <c r="F25" s="280">
        <v>0.6631944444444442</v>
      </c>
      <c r="G25" s="280">
        <v>0.6722222222222219</v>
      </c>
      <c r="H25" s="281">
        <v>1.0</v>
      </c>
      <c r="I25" s="280">
        <v>0.6729166666666664</v>
      </c>
      <c r="J25" s="280">
        <v>0.6812499999999997</v>
      </c>
      <c r="K25" s="281">
        <v>0.0</v>
      </c>
      <c r="L25" s="280">
        <v>0.6812499999999997</v>
      </c>
      <c r="M25" s="280">
        <v>0.6916666666666663</v>
      </c>
      <c r="N25" s="281">
        <v>4.0</v>
      </c>
      <c r="O25" s="280">
        <v>0.6944444444444441</v>
      </c>
      <c r="P25" s="102">
        <f t="shared" si="1"/>
        <v>53</v>
      </c>
      <c r="Q25" s="102">
        <f t="shared" si="2"/>
        <v>60</v>
      </c>
      <c r="R25" s="103">
        <f t="shared" si="3"/>
        <v>7</v>
      </c>
      <c r="S25" s="104">
        <f t="shared" si="4"/>
        <v>0.1320754717</v>
      </c>
      <c r="T25" s="102">
        <f t="shared" si="5"/>
        <v>30</v>
      </c>
    </row>
    <row r="26" ht="13.5" customHeight="1">
      <c r="A26" s="88"/>
      <c r="B26" s="106" t="s">
        <v>78</v>
      </c>
      <c r="C26" s="280">
        <v>0.6736111111111108</v>
      </c>
      <c r="D26" s="280">
        <v>0.6826388888888886</v>
      </c>
      <c r="E26" s="281">
        <v>2.0</v>
      </c>
      <c r="F26" s="280">
        <v>0.6840277777777775</v>
      </c>
      <c r="G26" s="280">
        <v>0.6930555555555552</v>
      </c>
      <c r="H26" s="281">
        <v>1.0</v>
      </c>
      <c r="I26" s="280">
        <v>0.6937499999999996</v>
      </c>
      <c r="J26" s="280">
        <v>0.702083333333333</v>
      </c>
      <c r="K26" s="281">
        <v>0.0</v>
      </c>
      <c r="L26" s="280">
        <v>0.702083333333333</v>
      </c>
      <c r="M26" s="280">
        <v>0.7124999999999996</v>
      </c>
      <c r="N26" s="281">
        <v>4.0</v>
      </c>
      <c r="O26" s="280">
        <v>0.7152777777777773</v>
      </c>
      <c r="P26" s="102">
        <f t="shared" si="1"/>
        <v>53</v>
      </c>
      <c r="Q26" s="102">
        <f t="shared" si="2"/>
        <v>60</v>
      </c>
      <c r="R26" s="103">
        <f t="shared" si="3"/>
        <v>7</v>
      </c>
      <c r="S26" s="104">
        <f t="shared" si="4"/>
        <v>0.1320754717</v>
      </c>
      <c r="T26" s="102">
        <f t="shared" si="5"/>
        <v>30</v>
      </c>
    </row>
    <row r="27" ht="13.5" customHeight="1">
      <c r="A27" s="88"/>
      <c r="B27" s="106" t="s">
        <v>79</v>
      </c>
      <c r="C27" s="280">
        <v>0.6944444444444441</v>
      </c>
      <c r="D27" s="280">
        <v>0.7041666666666663</v>
      </c>
      <c r="E27" s="281">
        <v>2.0</v>
      </c>
      <c r="F27" s="280">
        <v>0.7055555555555552</v>
      </c>
      <c r="G27" s="280">
        <v>0.7138888888888885</v>
      </c>
      <c r="H27" s="281">
        <v>2.0</v>
      </c>
      <c r="I27" s="280">
        <v>0.7152777777777773</v>
      </c>
      <c r="J27" s="280">
        <v>0.7229166666666662</v>
      </c>
      <c r="K27" s="281">
        <v>0.0</v>
      </c>
      <c r="L27" s="280">
        <v>0.7229166666666662</v>
      </c>
      <c r="M27" s="280">
        <v>0.7326388888888884</v>
      </c>
      <c r="N27" s="281">
        <v>5.0</v>
      </c>
      <c r="O27" s="280">
        <v>0.7361111111111106</v>
      </c>
      <c r="P27" s="102">
        <f t="shared" si="1"/>
        <v>51</v>
      </c>
      <c r="Q27" s="102">
        <f t="shared" si="2"/>
        <v>60</v>
      </c>
      <c r="R27" s="103">
        <f t="shared" si="3"/>
        <v>9</v>
      </c>
      <c r="S27" s="104">
        <f t="shared" si="4"/>
        <v>0.1764705882</v>
      </c>
      <c r="T27" s="102">
        <f t="shared" si="5"/>
        <v>30</v>
      </c>
    </row>
    <row r="28" ht="13.5" customHeight="1">
      <c r="A28" s="88"/>
      <c r="B28" s="106" t="s">
        <v>79</v>
      </c>
      <c r="C28" s="280">
        <v>0.7152777777777773</v>
      </c>
      <c r="D28" s="280">
        <v>0.7249999999999995</v>
      </c>
      <c r="E28" s="281">
        <v>2.0</v>
      </c>
      <c r="F28" s="280">
        <v>0.7263888888888884</v>
      </c>
      <c r="G28" s="280">
        <v>0.7347222222222217</v>
      </c>
      <c r="H28" s="281">
        <v>2.0</v>
      </c>
      <c r="I28" s="280">
        <v>0.7361111111111106</v>
      </c>
      <c r="J28" s="280">
        <v>0.7437499999999995</v>
      </c>
      <c r="K28" s="281">
        <v>0.0</v>
      </c>
      <c r="L28" s="280">
        <v>0.7437499999999995</v>
      </c>
      <c r="M28" s="280">
        <v>0.7534722222222217</v>
      </c>
      <c r="N28" s="281">
        <v>5.0</v>
      </c>
      <c r="O28" s="280">
        <v>0.7569444444444439</v>
      </c>
      <c r="P28" s="102">
        <f t="shared" si="1"/>
        <v>51</v>
      </c>
      <c r="Q28" s="102">
        <f t="shared" si="2"/>
        <v>60</v>
      </c>
      <c r="R28" s="103">
        <f t="shared" si="3"/>
        <v>9</v>
      </c>
      <c r="S28" s="104">
        <f t="shared" si="4"/>
        <v>0.1764705882</v>
      </c>
      <c r="T28" s="102">
        <f t="shared" si="5"/>
        <v>30</v>
      </c>
    </row>
    <row r="29" ht="13.5" customHeight="1">
      <c r="A29" s="88"/>
      <c r="B29" s="106" t="s">
        <v>79</v>
      </c>
      <c r="C29" s="280">
        <v>0.7361111111111106</v>
      </c>
      <c r="D29" s="280">
        <v>0.7458333333333328</v>
      </c>
      <c r="E29" s="281">
        <v>2.0</v>
      </c>
      <c r="F29" s="280">
        <v>0.7472222222222217</v>
      </c>
      <c r="G29" s="280">
        <v>0.755555555555555</v>
      </c>
      <c r="H29" s="281">
        <v>2.0</v>
      </c>
      <c r="I29" s="280">
        <v>0.7569444444444439</v>
      </c>
      <c r="J29" s="280">
        <v>0.7645833333333327</v>
      </c>
      <c r="K29" s="281">
        <v>0.0</v>
      </c>
      <c r="L29" s="280">
        <v>0.7645833333333327</v>
      </c>
      <c r="M29" s="280">
        <v>0.7743055555555549</v>
      </c>
      <c r="N29" s="281">
        <v>5.0</v>
      </c>
      <c r="O29" s="280">
        <v>0.7777777777777771</v>
      </c>
      <c r="P29" s="102">
        <f t="shared" si="1"/>
        <v>51</v>
      </c>
      <c r="Q29" s="102">
        <f t="shared" si="2"/>
        <v>60</v>
      </c>
      <c r="R29" s="103">
        <f t="shared" si="3"/>
        <v>9</v>
      </c>
      <c r="S29" s="104">
        <f t="shared" si="4"/>
        <v>0.1764705882</v>
      </c>
      <c r="T29" s="102">
        <f t="shared" si="5"/>
        <v>30</v>
      </c>
    </row>
    <row r="30" ht="13.5" customHeight="1">
      <c r="A30" s="88"/>
      <c r="B30" s="106" t="s">
        <v>79</v>
      </c>
      <c r="C30" s="280">
        <v>0.7569444444444439</v>
      </c>
      <c r="D30" s="280">
        <v>0.766666666666666</v>
      </c>
      <c r="E30" s="281">
        <v>2.0</v>
      </c>
      <c r="F30" s="280">
        <v>0.7680555555555549</v>
      </c>
      <c r="G30" s="280">
        <v>0.7763888888888882</v>
      </c>
      <c r="H30" s="281">
        <v>2.0</v>
      </c>
      <c r="I30" s="280">
        <v>0.7777777777777771</v>
      </c>
      <c r="J30" s="280">
        <v>0.785416666666666</v>
      </c>
      <c r="K30" s="281">
        <v>0.0</v>
      </c>
      <c r="L30" s="280">
        <v>0.785416666666666</v>
      </c>
      <c r="M30" s="280">
        <v>0.7951388888888882</v>
      </c>
      <c r="N30" s="281">
        <v>5.0</v>
      </c>
      <c r="O30" s="280">
        <v>0.7986111111111104</v>
      </c>
      <c r="P30" s="102">
        <f t="shared" si="1"/>
        <v>51</v>
      </c>
      <c r="Q30" s="102">
        <f t="shared" si="2"/>
        <v>60</v>
      </c>
      <c r="R30" s="103">
        <f t="shared" si="3"/>
        <v>9</v>
      </c>
      <c r="S30" s="104">
        <f t="shared" si="4"/>
        <v>0.1764705882</v>
      </c>
      <c r="T30" s="102">
        <f t="shared" si="5"/>
        <v>30</v>
      </c>
    </row>
    <row r="31" ht="13.5" customHeight="1">
      <c r="A31" s="88"/>
      <c r="B31" s="106" t="s">
        <v>79</v>
      </c>
      <c r="C31" s="280">
        <v>0.7777777777777771</v>
      </c>
      <c r="D31" s="280">
        <v>0.7874999999999993</v>
      </c>
      <c r="E31" s="281">
        <v>2.0</v>
      </c>
      <c r="F31" s="280">
        <v>0.7888888888888882</v>
      </c>
      <c r="G31" s="280">
        <v>0.7972222222222215</v>
      </c>
      <c r="H31" s="281">
        <v>2.0</v>
      </c>
      <c r="I31" s="280">
        <v>0.7986111111111104</v>
      </c>
      <c r="J31" s="280">
        <v>0.8062499999999992</v>
      </c>
      <c r="K31" s="281">
        <v>0.0</v>
      </c>
      <c r="L31" s="280">
        <v>0.8062499999999992</v>
      </c>
      <c r="M31" s="280">
        <v>0.8159722222222214</v>
      </c>
      <c r="N31" s="281">
        <v>5.0</v>
      </c>
      <c r="O31" s="280">
        <v>0.8194444444444436</v>
      </c>
      <c r="P31" s="102">
        <f t="shared" si="1"/>
        <v>51</v>
      </c>
      <c r="Q31" s="102">
        <f t="shared" si="2"/>
        <v>60</v>
      </c>
      <c r="R31" s="103">
        <f t="shared" si="3"/>
        <v>9</v>
      </c>
      <c r="S31" s="104">
        <f t="shared" si="4"/>
        <v>0.1764705882</v>
      </c>
      <c r="T31" s="102">
        <f t="shared" si="5"/>
        <v>30</v>
      </c>
    </row>
    <row r="32" ht="13.5" customHeight="1">
      <c r="A32" s="88"/>
      <c r="B32" s="106" t="s">
        <v>79</v>
      </c>
      <c r="C32" s="280">
        <v>0.7986111111111104</v>
      </c>
      <c r="D32" s="280">
        <v>0.8083333333333326</v>
      </c>
      <c r="E32" s="281">
        <v>2.0</v>
      </c>
      <c r="F32" s="280">
        <v>0.8097222222222215</v>
      </c>
      <c r="G32" s="280">
        <v>0.8180555555555548</v>
      </c>
      <c r="H32" s="281">
        <v>2.0</v>
      </c>
      <c r="I32" s="280">
        <v>0.8194444444444436</v>
      </c>
      <c r="J32" s="280">
        <v>0.8270833333333325</v>
      </c>
      <c r="K32" s="281">
        <v>0.0</v>
      </c>
      <c r="L32" s="280">
        <v>0.8270833333333325</v>
      </c>
      <c r="M32" s="280">
        <v>0.8368055555555547</v>
      </c>
      <c r="N32" s="281">
        <v>5.0</v>
      </c>
      <c r="O32" s="280">
        <v>0.8402777777777769</v>
      </c>
      <c r="P32" s="102">
        <f t="shared" si="1"/>
        <v>51</v>
      </c>
      <c r="Q32" s="102">
        <f t="shared" si="2"/>
        <v>60</v>
      </c>
      <c r="R32" s="103">
        <f t="shared" si="3"/>
        <v>9</v>
      </c>
      <c r="S32" s="104">
        <f t="shared" si="4"/>
        <v>0.1764705882</v>
      </c>
      <c r="T32" s="102">
        <f t="shared" si="5"/>
        <v>30</v>
      </c>
    </row>
    <row r="33" ht="13.5" customHeight="1">
      <c r="A33" s="88"/>
      <c r="B33" s="106" t="s">
        <v>98</v>
      </c>
      <c r="C33" s="280">
        <v>0.8194444444444436</v>
      </c>
      <c r="D33" s="280">
        <v>0.8291666666666658</v>
      </c>
      <c r="E33" s="281">
        <v>2.0</v>
      </c>
      <c r="F33" s="280">
        <v>0.8305555555555547</v>
      </c>
      <c r="G33" s="280">
        <v>0.838888888888888</v>
      </c>
      <c r="H33" s="281">
        <v>2.0</v>
      </c>
      <c r="I33" s="280">
        <v>0.8402777777777769</v>
      </c>
      <c r="J33" s="280">
        <v>0.8479166666666658</v>
      </c>
      <c r="K33" s="281">
        <v>0.0</v>
      </c>
      <c r="L33" s="280">
        <v>0.8479166666666658</v>
      </c>
      <c r="M33" s="280">
        <v>0.857638888888888</v>
      </c>
      <c r="N33" s="281">
        <v>5.0</v>
      </c>
      <c r="O33" s="280">
        <v>0.8611111111111102</v>
      </c>
      <c r="P33" s="102">
        <f t="shared" si="1"/>
        <v>51</v>
      </c>
      <c r="Q33" s="102">
        <f t="shared" si="2"/>
        <v>60</v>
      </c>
      <c r="R33" s="103">
        <f t="shared" si="3"/>
        <v>9</v>
      </c>
      <c r="S33" s="104">
        <f t="shared" si="4"/>
        <v>0.1764705882</v>
      </c>
      <c r="T33" s="102">
        <f t="shared" si="5"/>
        <v>30</v>
      </c>
    </row>
    <row r="34" ht="13.5" customHeight="1">
      <c r="A34" s="88"/>
      <c r="B34" s="106" t="s">
        <v>98</v>
      </c>
      <c r="C34" s="280">
        <v>0.8402777777777769</v>
      </c>
      <c r="D34" s="280">
        <v>0.8499999999999991</v>
      </c>
      <c r="E34" s="281">
        <v>2.0</v>
      </c>
      <c r="F34" s="280">
        <v>0.851388888888888</v>
      </c>
      <c r="G34" s="280">
        <v>0.8597222222222213</v>
      </c>
      <c r="H34" s="281">
        <v>2.0</v>
      </c>
      <c r="I34" s="280">
        <v>0.8611111111111102</v>
      </c>
      <c r="J34" s="280">
        <v>0.868749999999999</v>
      </c>
      <c r="K34" s="281">
        <v>0.0</v>
      </c>
      <c r="L34" s="280">
        <v>0.868749999999999</v>
      </c>
      <c r="M34" s="280">
        <v>0.8784722222222212</v>
      </c>
      <c r="N34" s="281">
        <v>5.0</v>
      </c>
      <c r="O34" s="280">
        <v>0.8819444444444434</v>
      </c>
      <c r="P34" s="102">
        <f t="shared" si="1"/>
        <v>51</v>
      </c>
      <c r="Q34" s="102">
        <f t="shared" si="2"/>
        <v>60</v>
      </c>
      <c r="R34" s="103">
        <f t="shared" si="3"/>
        <v>9</v>
      </c>
      <c r="S34" s="104">
        <f t="shared" si="4"/>
        <v>0.1764705882</v>
      </c>
      <c r="T34" s="102">
        <f t="shared" si="5"/>
        <v>30</v>
      </c>
    </row>
    <row r="35" ht="13.5" customHeight="1">
      <c r="A35" s="88"/>
      <c r="B35" s="106" t="s">
        <v>98</v>
      </c>
      <c r="C35" s="280">
        <v>0.8611111111111102</v>
      </c>
      <c r="D35" s="280">
        <v>0.8708333333333323</v>
      </c>
      <c r="E35" s="281">
        <v>2.0</v>
      </c>
      <c r="F35" s="280">
        <v>0.8722222222222212</v>
      </c>
      <c r="G35" s="280">
        <v>0.8805555555555545</v>
      </c>
      <c r="H35" s="281">
        <v>2.0</v>
      </c>
      <c r="I35" s="280">
        <v>0.8819444444444434</v>
      </c>
      <c r="J35" s="280">
        <v>0.8895833333333323</v>
      </c>
      <c r="K35" s="281">
        <v>0.0</v>
      </c>
      <c r="L35" s="280">
        <v>0.8895833333333323</v>
      </c>
      <c r="M35" s="280">
        <v>0.8993055555555545</v>
      </c>
      <c r="N35" s="281">
        <v>5.0</v>
      </c>
      <c r="O35" s="280">
        <v>0.9027777777777767</v>
      </c>
      <c r="P35" s="102">
        <f t="shared" si="1"/>
        <v>51</v>
      </c>
      <c r="Q35" s="102">
        <f t="shared" si="2"/>
        <v>60</v>
      </c>
      <c r="R35" s="103">
        <f t="shared" si="3"/>
        <v>9</v>
      </c>
      <c r="S35" s="104">
        <f t="shared" si="4"/>
        <v>0.1764705882</v>
      </c>
      <c r="T35" s="102">
        <f t="shared" si="5"/>
        <v>30</v>
      </c>
    </row>
    <row r="36" ht="13.5" customHeight="1">
      <c r="A36" s="88"/>
      <c r="B36" s="106" t="s">
        <v>98</v>
      </c>
      <c r="C36" s="280">
        <v>0.8819444444444434</v>
      </c>
      <c r="D36" s="280">
        <v>0.8916666666666656</v>
      </c>
      <c r="E36" s="281">
        <v>2.0</v>
      </c>
      <c r="F36" s="280">
        <v>0.8930555555555545</v>
      </c>
      <c r="G36" s="280">
        <v>0.9013888888888878</v>
      </c>
      <c r="H36" s="281">
        <v>2.0</v>
      </c>
      <c r="I36" s="280">
        <v>0.9027777777777767</v>
      </c>
      <c r="J36" s="280">
        <v>0.9104166666666655</v>
      </c>
      <c r="K36" s="281">
        <v>0.0</v>
      </c>
      <c r="L36" s="280">
        <v>0.9104166666666655</v>
      </c>
      <c r="M36" s="280">
        <v>0.9201388888888877</v>
      </c>
      <c r="N36" s="281">
        <v>0.0</v>
      </c>
      <c r="O36" s="107" t="s">
        <v>80</v>
      </c>
      <c r="P36" s="102">
        <f t="shared" si="1"/>
        <v>51</v>
      </c>
      <c r="Q36" s="102">
        <f>(M36-C36)*1440</f>
        <v>55</v>
      </c>
      <c r="R36" s="103">
        <f t="shared" si="3"/>
        <v>4</v>
      </c>
      <c r="S36" s="104">
        <f t="shared" si="4"/>
        <v>0.07843137255</v>
      </c>
      <c r="T36" s="102">
        <f t="shared" ref="T36:T39" si="6">(M36-M35)*1440</f>
        <v>30</v>
      </c>
    </row>
    <row r="37" ht="13.5" customHeight="1">
      <c r="A37" s="88"/>
      <c r="B37" s="106" t="s">
        <v>98</v>
      </c>
      <c r="C37" s="280">
        <v>0.9027777777777767</v>
      </c>
      <c r="D37" s="280">
        <v>0.9124999999999989</v>
      </c>
      <c r="E37" s="281">
        <v>2.0</v>
      </c>
      <c r="F37" s="280">
        <v>0.9138888888888878</v>
      </c>
      <c r="G37" s="280">
        <v>0.922222222222221</v>
      </c>
      <c r="H37" s="281">
        <v>2.0</v>
      </c>
      <c r="I37" s="280">
        <v>0.9236111111111099</v>
      </c>
      <c r="J37" s="280">
        <v>0.9312499999999988</v>
      </c>
      <c r="K37" s="281">
        <v>0.0</v>
      </c>
      <c r="L37" s="280">
        <v>0.9312499999999988</v>
      </c>
      <c r="M37" s="280">
        <v>0.940972222222221</v>
      </c>
      <c r="N37" s="281">
        <v>5.0</v>
      </c>
      <c r="O37" s="280">
        <v>0.9444444444444432</v>
      </c>
      <c r="P37" s="102">
        <f t="shared" si="1"/>
        <v>51</v>
      </c>
      <c r="Q37" s="102">
        <f t="shared" ref="Q37:Q38" si="7">(O37-C37)*1440</f>
        <v>60</v>
      </c>
      <c r="R37" s="103">
        <f t="shared" si="3"/>
        <v>9</v>
      </c>
      <c r="S37" s="104">
        <f t="shared" si="4"/>
        <v>0.1764705882</v>
      </c>
      <c r="T37" s="102">
        <f t="shared" si="6"/>
        <v>30</v>
      </c>
    </row>
    <row r="38" ht="13.5" customHeight="1">
      <c r="A38" s="88"/>
      <c r="B38" s="106" t="s">
        <v>98</v>
      </c>
      <c r="C38" s="280">
        <v>0.9444444444444432</v>
      </c>
      <c r="D38" s="280">
        <v>0.9541666666666654</v>
      </c>
      <c r="E38" s="281">
        <v>2.0</v>
      </c>
      <c r="F38" s="280">
        <v>0.9555555555555543</v>
      </c>
      <c r="G38" s="280">
        <v>0.9638888888888876</v>
      </c>
      <c r="H38" s="281">
        <v>2.0</v>
      </c>
      <c r="I38" s="280">
        <v>0.9652777777777765</v>
      </c>
      <c r="J38" s="280">
        <v>0.9729166666666653</v>
      </c>
      <c r="K38" s="281">
        <v>0.0</v>
      </c>
      <c r="L38" s="280">
        <v>0.9729166666666653</v>
      </c>
      <c r="M38" s="280">
        <v>0.9826388888888875</v>
      </c>
      <c r="N38" s="281">
        <v>5.0</v>
      </c>
      <c r="O38" s="280">
        <v>0.9861111111111097</v>
      </c>
      <c r="P38" s="102">
        <f t="shared" si="1"/>
        <v>51</v>
      </c>
      <c r="Q38" s="102">
        <f t="shared" si="7"/>
        <v>60</v>
      </c>
      <c r="R38" s="103">
        <f t="shared" si="3"/>
        <v>9</v>
      </c>
      <c r="S38" s="104">
        <f t="shared" si="4"/>
        <v>0.1764705882</v>
      </c>
      <c r="T38" s="102">
        <f t="shared" si="6"/>
        <v>60</v>
      </c>
    </row>
    <row r="39" ht="13.5" customHeight="1">
      <c r="A39" s="88"/>
      <c r="B39" s="106" t="s">
        <v>98</v>
      </c>
      <c r="C39" s="280">
        <v>0.9861111111111097</v>
      </c>
      <c r="D39" s="280">
        <v>0.9958333333333319</v>
      </c>
      <c r="E39" s="281">
        <v>2.0</v>
      </c>
      <c r="F39" s="280">
        <v>0.9972222222222208</v>
      </c>
      <c r="G39" s="280">
        <v>1.0055555555555542</v>
      </c>
      <c r="H39" s="281">
        <v>2.0</v>
      </c>
      <c r="I39" s="280">
        <v>1.006944444444443</v>
      </c>
      <c r="J39" s="280">
        <v>1.014583333333332</v>
      </c>
      <c r="K39" s="281">
        <v>0.0</v>
      </c>
      <c r="L39" s="280">
        <v>1.014583333333332</v>
      </c>
      <c r="M39" s="280">
        <v>1.0243055555555542</v>
      </c>
      <c r="N39" s="281">
        <v>0.0</v>
      </c>
      <c r="O39" s="107" t="s">
        <v>80</v>
      </c>
      <c r="P39" s="102">
        <f t="shared" si="1"/>
        <v>51</v>
      </c>
      <c r="Q39" s="102">
        <f>(M39-C39)*1440</f>
        <v>55</v>
      </c>
      <c r="R39" s="103">
        <f t="shared" si="3"/>
        <v>4</v>
      </c>
      <c r="S39" s="104">
        <f t="shared" si="4"/>
        <v>0.07843137255</v>
      </c>
      <c r="T39" s="102">
        <f t="shared" si="6"/>
        <v>60</v>
      </c>
    </row>
    <row r="40" ht="13.5" customHeight="1">
      <c r="A40" s="282"/>
      <c r="B40" s="62"/>
      <c r="P40" s="283"/>
      <c r="Q40" s="112">
        <f>SUM(Q5:Q39)/60</f>
        <v>34.83333333</v>
      </c>
      <c r="R40" s="283"/>
    </row>
    <row r="41" ht="14.25" customHeight="1">
      <c r="A41" s="284" t="s">
        <v>82</v>
      </c>
      <c r="B41" s="160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</row>
    <row r="42" ht="13.5" customHeight="1">
      <c r="A42" s="88"/>
      <c r="B42" s="62"/>
      <c r="C42" s="124" t="s">
        <v>83</v>
      </c>
      <c r="D42" s="279" t="s">
        <v>155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S42" s="126"/>
    </row>
    <row r="43" ht="13.5" customHeight="1">
      <c r="A43" s="88"/>
      <c r="B43" s="62"/>
      <c r="C43" s="18" t="s">
        <v>62</v>
      </c>
      <c r="D43" s="18" t="s">
        <v>85</v>
      </c>
      <c r="E43" s="85"/>
      <c r="F43" s="18" t="s">
        <v>62</v>
      </c>
      <c r="G43" s="18" t="s">
        <v>85</v>
      </c>
      <c r="H43" s="85"/>
      <c r="I43" s="18" t="s">
        <v>62</v>
      </c>
      <c r="J43" s="18" t="s">
        <v>85</v>
      </c>
      <c r="K43" s="85"/>
      <c r="L43" s="18" t="s">
        <v>62</v>
      </c>
      <c r="M43" s="18" t="s">
        <v>85</v>
      </c>
      <c r="N43" s="85"/>
      <c r="O43" s="18" t="s">
        <v>62</v>
      </c>
      <c r="P43" s="129"/>
      <c r="Q43" s="129"/>
      <c r="R43" s="129"/>
      <c r="S43" s="129"/>
    </row>
    <row r="44" ht="13.5" customHeight="1">
      <c r="A44" s="88"/>
      <c r="B44" s="89" t="s">
        <v>63</v>
      </c>
      <c r="C44" s="285" t="s">
        <v>86</v>
      </c>
      <c r="D44" s="285" t="s">
        <v>156</v>
      </c>
      <c r="E44" s="91" t="s">
        <v>69</v>
      </c>
      <c r="F44" s="285" t="s">
        <v>156</v>
      </c>
      <c r="G44" s="286" t="s">
        <v>87</v>
      </c>
      <c r="H44" s="91" t="s">
        <v>69</v>
      </c>
      <c r="I44" s="286" t="s">
        <v>87</v>
      </c>
      <c r="J44" s="285" t="s">
        <v>70</v>
      </c>
      <c r="K44" s="91" t="s">
        <v>69</v>
      </c>
      <c r="L44" s="285" t="s">
        <v>70</v>
      </c>
      <c r="M44" s="286" t="s">
        <v>86</v>
      </c>
      <c r="N44" s="91" t="s">
        <v>69</v>
      </c>
      <c r="O44" s="287" t="s">
        <v>86</v>
      </c>
      <c r="P44" s="134"/>
      <c r="Q44" s="134"/>
      <c r="R44" s="134"/>
      <c r="S44" s="134"/>
    </row>
    <row r="45" ht="13.5" customHeight="1">
      <c r="A45" s="88"/>
      <c r="B45" s="93" t="s">
        <v>72</v>
      </c>
      <c r="C45" s="285">
        <v>1.0</v>
      </c>
      <c r="D45" s="18">
        <v>898.0</v>
      </c>
      <c r="E45" s="94"/>
      <c r="F45" s="18">
        <v>898.0</v>
      </c>
      <c r="G45" s="18">
        <v>441.0</v>
      </c>
      <c r="H45" s="94"/>
      <c r="I45" s="18">
        <v>441.0</v>
      </c>
      <c r="J45" s="18">
        <v>335.0</v>
      </c>
      <c r="K45" s="94"/>
      <c r="L45" s="18">
        <v>335.0</v>
      </c>
      <c r="M45" s="18">
        <v>1.0</v>
      </c>
      <c r="N45" s="94"/>
      <c r="O45" s="288">
        <v>1.0</v>
      </c>
      <c r="P45" s="95" t="s">
        <v>73</v>
      </c>
      <c r="Q45" s="95" t="s">
        <v>74</v>
      </c>
      <c r="R45" s="95" t="s">
        <v>69</v>
      </c>
      <c r="S45" s="95" t="s">
        <v>75</v>
      </c>
      <c r="T45" s="96" t="s">
        <v>76</v>
      </c>
    </row>
    <row r="46" ht="13.5" customHeight="1">
      <c r="A46" s="88"/>
      <c r="B46" s="97" t="s">
        <v>89</v>
      </c>
      <c r="C46" s="289">
        <v>0.2986111111111111</v>
      </c>
      <c r="D46" s="280">
        <v>0.3076388888888889</v>
      </c>
      <c r="E46" s="281">
        <v>3.0</v>
      </c>
      <c r="F46" s="280">
        <v>0.30972222222222223</v>
      </c>
      <c r="G46" s="280">
        <v>0.3180555555555556</v>
      </c>
      <c r="H46" s="281">
        <v>3.0</v>
      </c>
      <c r="I46" s="280">
        <v>0.3201388888888889</v>
      </c>
      <c r="J46" s="280">
        <v>0.3277777777777778</v>
      </c>
      <c r="K46" s="281">
        <v>0.0</v>
      </c>
      <c r="L46" s="280">
        <v>0.3277777777777778</v>
      </c>
      <c r="M46" s="280">
        <v>0.3368055555555556</v>
      </c>
      <c r="N46" s="281">
        <v>5.0</v>
      </c>
      <c r="O46" s="280">
        <v>0.3402777777777778</v>
      </c>
      <c r="P46" s="103">
        <f t="shared" ref="P46:P77" si="8">Q46-R46</f>
        <v>49</v>
      </c>
      <c r="Q46" s="103">
        <f t="shared" ref="Q46:Q73" si="9">(O46-C46)*1440</f>
        <v>60</v>
      </c>
      <c r="R46" s="103">
        <f t="shared" ref="R46:R77" si="10">N46+K46+H46+E46</f>
        <v>11</v>
      </c>
      <c r="S46" s="104">
        <f t="shared" ref="S46:S77" si="11">R46/P46</f>
        <v>0.2244897959</v>
      </c>
      <c r="T46" s="142"/>
    </row>
    <row r="47" ht="13.5" customHeight="1">
      <c r="A47" s="88"/>
      <c r="B47" s="106" t="s">
        <v>77</v>
      </c>
      <c r="C47" s="289">
        <v>0.3194444444444444</v>
      </c>
      <c r="D47" s="280">
        <v>0.3284722222222222</v>
      </c>
      <c r="E47" s="281">
        <v>2.0</v>
      </c>
      <c r="F47" s="280">
        <v>0.3298611111111111</v>
      </c>
      <c r="G47" s="280">
        <v>0.3388888888888889</v>
      </c>
      <c r="H47" s="281">
        <v>1.0</v>
      </c>
      <c r="I47" s="280">
        <v>0.33958333333333335</v>
      </c>
      <c r="J47" s="280">
        <v>0.3479166666666667</v>
      </c>
      <c r="K47" s="281">
        <v>0.0</v>
      </c>
      <c r="L47" s="280">
        <v>0.3479166666666667</v>
      </c>
      <c r="M47" s="280">
        <v>0.35763888888888895</v>
      </c>
      <c r="N47" s="281">
        <v>5.0</v>
      </c>
      <c r="O47" s="280">
        <v>0.36111111111111116</v>
      </c>
      <c r="P47" s="103">
        <f t="shared" si="8"/>
        <v>52</v>
      </c>
      <c r="Q47" s="103">
        <f t="shared" si="9"/>
        <v>60</v>
      </c>
      <c r="R47" s="103">
        <f t="shared" si="10"/>
        <v>8</v>
      </c>
      <c r="S47" s="104">
        <f t="shared" si="11"/>
        <v>0.1538461538</v>
      </c>
      <c r="T47" s="142">
        <f t="shared" ref="T47:T73" si="12">(O47-O46)*1440</f>
        <v>30</v>
      </c>
    </row>
    <row r="48" ht="13.5" customHeight="1">
      <c r="A48" s="88"/>
      <c r="B48" s="106" t="s">
        <v>77</v>
      </c>
      <c r="C48" s="280">
        <v>0.3402777777777778</v>
      </c>
      <c r="D48" s="280">
        <v>0.3493055555555556</v>
      </c>
      <c r="E48" s="281">
        <v>2.0</v>
      </c>
      <c r="F48" s="280">
        <v>0.3506944444444445</v>
      </c>
      <c r="G48" s="280">
        <v>0.3597222222222223</v>
      </c>
      <c r="H48" s="281">
        <v>1.0</v>
      </c>
      <c r="I48" s="280">
        <v>0.3604166666666667</v>
      </c>
      <c r="J48" s="280">
        <v>0.3687500000000001</v>
      </c>
      <c r="K48" s="281">
        <v>0.0</v>
      </c>
      <c r="L48" s="280">
        <v>0.3687500000000001</v>
      </c>
      <c r="M48" s="280">
        <v>0.3784722222222223</v>
      </c>
      <c r="N48" s="281">
        <v>5.0</v>
      </c>
      <c r="O48" s="280">
        <v>0.38194444444444453</v>
      </c>
      <c r="P48" s="103">
        <f t="shared" si="8"/>
        <v>52</v>
      </c>
      <c r="Q48" s="103">
        <f t="shared" si="9"/>
        <v>60</v>
      </c>
      <c r="R48" s="103">
        <f t="shared" si="10"/>
        <v>8</v>
      </c>
      <c r="S48" s="104">
        <f t="shared" si="11"/>
        <v>0.1538461538</v>
      </c>
      <c r="T48" s="142">
        <f t="shared" si="12"/>
        <v>30</v>
      </c>
    </row>
    <row r="49" ht="13.5" customHeight="1">
      <c r="A49" s="88"/>
      <c r="B49" s="106" t="s">
        <v>77</v>
      </c>
      <c r="C49" s="280">
        <v>0.36111111111111116</v>
      </c>
      <c r="D49" s="280">
        <v>0.37013888888888896</v>
      </c>
      <c r="E49" s="281">
        <v>2.0</v>
      </c>
      <c r="F49" s="280">
        <v>0.37152777777777785</v>
      </c>
      <c r="G49" s="280">
        <v>0.38055555555555565</v>
      </c>
      <c r="H49" s="281">
        <v>1.0</v>
      </c>
      <c r="I49" s="280">
        <v>0.3812500000000001</v>
      </c>
      <c r="J49" s="280">
        <v>0.38958333333333345</v>
      </c>
      <c r="K49" s="281">
        <v>0.0</v>
      </c>
      <c r="L49" s="280">
        <v>0.38958333333333345</v>
      </c>
      <c r="M49" s="280">
        <v>0.3993055555555557</v>
      </c>
      <c r="N49" s="281">
        <v>5.0</v>
      </c>
      <c r="O49" s="280">
        <v>0.4027777777777779</v>
      </c>
      <c r="P49" s="103">
        <f t="shared" si="8"/>
        <v>52</v>
      </c>
      <c r="Q49" s="103">
        <f t="shared" si="9"/>
        <v>60</v>
      </c>
      <c r="R49" s="103">
        <f t="shared" si="10"/>
        <v>8</v>
      </c>
      <c r="S49" s="104">
        <f t="shared" si="11"/>
        <v>0.1538461538</v>
      </c>
      <c r="T49" s="142">
        <f t="shared" si="12"/>
        <v>30</v>
      </c>
    </row>
    <row r="50" ht="13.5" customHeight="1">
      <c r="A50" s="88"/>
      <c r="B50" s="106" t="s">
        <v>77</v>
      </c>
      <c r="C50" s="280">
        <v>0.38194444444444453</v>
      </c>
      <c r="D50" s="280">
        <v>0.39097222222222233</v>
      </c>
      <c r="E50" s="281">
        <v>2.0</v>
      </c>
      <c r="F50" s="280">
        <v>0.3923611111111112</v>
      </c>
      <c r="G50" s="280">
        <v>0.401388888888889</v>
      </c>
      <c r="H50" s="281">
        <v>1.0</v>
      </c>
      <c r="I50" s="280">
        <v>0.40208333333333346</v>
      </c>
      <c r="J50" s="280">
        <v>0.4104166666666668</v>
      </c>
      <c r="K50" s="281">
        <v>0.0</v>
      </c>
      <c r="L50" s="280">
        <v>0.4104166666666668</v>
      </c>
      <c r="M50" s="280">
        <v>0.42013888888888906</v>
      </c>
      <c r="N50" s="281">
        <v>5.0</v>
      </c>
      <c r="O50" s="280">
        <v>0.42361111111111127</v>
      </c>
      <c r="P50" s="103">
        <f t="shared" si="8"/>
        <v>52</v>
      </c>
      <c r="Q50" s="103">
        <f t="shared" si="9"/>
        <v>60</v>
      </c>
      <c r="R50" s="103">
        <f t="shared" si="10"/>
        <v>8</v>
      </c>
      <c r="S50" s="104">
        <f t="shared" si="11"/>
        <v>0.1538461538</v>
      </c>
      <c r="T50" s="142">
        <f t="shared" si="12"/>
        <v>30</v>
      </c>
    </row>
    <row r="51" ht="13.5" customHeight="1">
      <c r="A51" s="88"/>
      <c r="B51" s="106" t="s">
        <v>77</v>
      </c>
      <c r="C51" s="280">
        <v>0.4027777777777779</v>
      </c>
      <c r="D51" s="280">
        <v>0.4118055555555557</v>
      </c>
      <c r="E51" s="281">
        <v>2.0</v>
      </c>
      <c r="F51" s="280">
        <v>0.4131944444444446</v>
      </c>
      <c r="G51" s="280">
        <v>0.4222222222222224</v>
      </c>
      <c r="H51" s="281">
        <v>1.0</v>
      </c>
      <c r="I51" s="280">
        <v>0.42291666666666683</v>
      </c>
      <c r="J51" s="280">
        <v>0.4312500000000002</v>
      </c>
      <c r="K51" s="281">
        <v>0.0</v>
      </c>
      <c r="L51" s="280">
        <v>0.4312500000000002</v>
      </c>
      <c r="M51" s="280">
        <v>0.44097222222222243</v>
      </c>
      <c r="N51" s="281">
        <v>5.0</v>
      </c>
      <c r="O51" s="280">
        <v>0.44444444444444464</v>
      </c>
      <c r="P51" s="103">
        <f t="shared" si="8"/>
        <v>52</v>
      </c>
      <c r="Q51" s="103">
        <f t="shared" si="9"/>
        <v>60</v>
      </c>
      <c r="R51" s="103">
        <f t="shared" si="10"/>
        <v>8</v>
      </c>
      <c r="S51" s="104">
        <f t="shared" si="11"/>
        <v>0.1538461538</v>
      </c>
      <c r="T51" s="142">
        <f t="shared" si="12"/>
        <v>30</v>
      </c>
    </row>
    <row r="52" ht="13.5" customHeight="1">
      <c r="A52" s="88"/>
      <c r="B52" s="106" t="s">
        <v>77</v>
      </c>
      <c r="C52" s="280">
        <v>0.42361111111111127</v>
      </c>
      <c r="D52" s="280">
        <v>0.4326388888888891</v>
      </c>
      <c r="E52" s="281">
        <v>2.0</v>
      </c>
      <c r="F52" s="280">
        <v>0.43402777777777796</v>
      </c>
      <c r="G52" s="280">
        <v>0.44305555555555576</v>
      </c>
      <c r="H52" s="281">
        <v>1.0</v>
      </c>
      <c r="I52" s="280">
        <v>0.4437500000000002</v>
      </c>
      <c r="J52" s="280">
        <v>0.45208333333333356</v>
      </c>
      <c r="K52" s="281">
        <v>0.0</v>
      </c>
      <c r="L52" s="280">
        <v>0.45208333333333356</v>
      </c>
      <c r="M52" s="280">
        <v>0.4618055555555558</v>
      </c>
      <c r="N52" s="281">
        <v>5.0</v>
      </c>
      <c r="O52" s="280">
        <v>0.465277777777778</v>
      </c>
      <c r="P52" s="103">
        <f t="shared" si="8"/>
        <v>52</v>
      </c>
      <c r="Q52" s="103">
        <f t="shared" si="9"/>
        <v>60</v>
      </c>
      <c r="R52" s="103">
        <f t="shared" si="10"/>
        <v>8</v>
      </c>
      <c r="S52" s="104">
        <f t="shared" si="11"/>
        <v>0.1538461538</v>
      </c>
      <c r="T52" s="142">
        <f t="shared" si="12"/>
        <v>30</v>
      </c>
    </row>
    <row r="53" ht="13.5" customHeight="1">
      <c r="A53" s="88"/>
      <c r="B53" s="106" t="s">
        <v>77</v>
      </c>
      <c r="C53" s="280">
        <v>0.44444444444444464</v>
      </c>
      <c r="D53" s="280">
        <v>0.45347222222222244</v>
      </c>
      <c r="E53" s="281">
        <v>2.0</v>
      </c>
      <c r="F53" s="280">
        <v>0.4548611111111113</v>
      </c>
      <c r="G53" s="280">
        <v>0.46388888888888913</v>
      </c>
      <c r="H53" s="281">
        <v>1.0</v>
      </c>
      <c r="I53" s="280">
        <v>0.46458333333333357</v>
      </c>
      <c r="J53" s="280">
        <v>0.47291666666666693</v>
      </c>
      <c r="K53" s="281">
        <v>0.0</v>
      </c>
      <c r="L53" s="280">
        <v>0.47291666666666693</v>
      </c>
      <c r="M53" s="280">
        <v>0.4826388888888892</v>
      </c>
      <c r="N53" s="281">
        <v>5.0</v>
      </c>
      <c r="O53" s="280">
        <v>0.4861111111111114</v>
      </c>
      <c r="P53" s="103">
        <f t="shared" si="8"/>
        <v>52</v>
      </c>
      <c r="Q53" s="103">
        <f t="shared" si="9"/>
        <v>60</v>
      </c>
      <c r="R53" s="103">
        <f t="shared" si="10"/>
        <v>8</v>
      </c>
      <c r="S53" s="104">
        <f t="shared" si="11"/>
        <v>0.1538461538</v>
      </c>
      <c r="T53" s="142">
        <f t="shared" si="12"/>
        <v>30</v>
      </c>
    </row>
    <row r="54" ht="13.5" customHeight="1">
      <c r="A54" s="88"/>
      <c r="B54" s="106" t="s">
        <v>78</v>
      </c>
      <c r="C54" s="280">
        <v>0.465277777777778</v>
      </c>
      <c r="D54" s="280">
        <v>0.4743055555555558</v>
      </c>
      <c r="E54" s="281">
        <v>2.0</v>
      </c>
      <c r="F54" s="280">
        <v>0.4756944444444447</v>
      </c>
      <c r="G54" s="280">
        <v>0.4847222222222225</v>
      </c>
      <c r="H54" s="281">
        <v>1.0</v>
      </c>
      <c r="I54" s="280">
        <v>0.48541666666666694</v>
      </c>
      <c r="J54" s="280">
        <v>0.4937500000000003</v>
      </c>
      <c r="K54" s="281">
        <v>0.0</v>
      </c>
      <c r="L54" s="280">
        <v>0.4937500000000003</v>
      </c>
      <c r="M54" s="280">
        <v>0.504166666666667</v>
      </c>
      <c r="N54" s="281">
        <v>4.0</v>
      </c>
      <c r="O54" s="280">
        <v>0.5069444444444448</v>
      </c>
      <c r="P54" s="103">
        <f t="shared" si="8"/>
        <v>53</v>
      </c>
      <c r="Q54" s="103">
        <f t="shared" si="9"/>
        <v>60</v>
      </c>
      <c r="R54" s="103">
        <f t="shared" si="10"/>
        <v>7</v>
      </c>
      <c r="S54" s="104">
        <f t="shared" si="11"/>
        <v>0.1320754717</v>
      </c>
      <c r="T54" s="142">
        <f t="shared" si="12"/>
        <v>30</v>
      </c>
    </row>
    <row r="55" ht="13.5" customHeight="1">
      <c r="A55" s="88"/>
      <c r="B55" s="106" t="s">
        <v>78</v>
      </c>
      <c r="C55" s="280">
        <v>0.4861111111111114</v>
      </c>
      <c r="D55" s="280">
        <v>0.4951388888888892</v>
      </c>
      <c r="E55" s="281">
        <v>2.0</v>
      </c>
      <c r="F55" s="280">
        <v>0.49652777777777807</v>
      </c>
      <c r="G55" s="280">
        <v>0.5055555555555559</v>
      </c>
      <c r="H55" s="281">
        <v>1.0</v>
      </c>
      <c r="I55" s="280">
        <v>0.5062500000000003</v>
      </c>
      <c r="J55" s="280">
        <v>0.5145833333333336</v>
      </c>
      <c r="K55" s="281">
        <v>0.0</v>
      </c>
      <c r="L55" s="280">
        <v>0.5145833333333336</v>
      </c>
      <c r="M55" s="280">
        <v>0.5250000000000002</v>
      </c>
      <c r="N55" s="281">
        <v>4.0</v>
      </c>
      <c r="O55" s="280">
        <v>0.527777777777778</v>
      </c>
      <c r="P55" s="103">
        <f t="shared" si="8"/>
        <v>53</v>
      </c>
      <c r="Q55" s="103">
        <f t="shared" si="9"/>
        <v>60</v>
      </c>
      <c r="R55" s="103">
        <f t="shared" si="10"/>
        <v>7</v>
      </c>
      <c r="S55" s="104">
        <f t="shared" si="11"/>
        <v>0.1320754717</v>
      </c>
      <c r="T55" s="142">
        <f t="shared" si="12"/>
        <v>30</v>
      </c>
    </row>
    <row r="56" ht="13.5" customHeight="1">
      <c r="A56" s="88"/>
      <c r="B56" s="106" t="s">
        <v>78</v>
      </c>
      <c r="C56" s="280">
        <v>0.5069444444444448</v>
      </c>
      <c r="D56" s="280">
        <v>0.5159722222222225</v>
      </c>
      <c r="E56" s="281">
        <v>2.0</v>
      </c>
      <c r="F56" s="280">
        <v>0.5173611111111114</v>
      </c>
      <c r="G56" s="280">
        <v>0.5263888888888891</v>
      </c>
      <c r="H56" s="281">
        <v>1.0</v>
      </c>
      <c r="I56" s="280">
        <v>0.5270833333333336</v>
      </c>
      <c r="J56" s="280">
        <v>0.5354166666666669</v>
      </c>
      <c r="K56" s="281">
        <v>0.0</v>
      </c>
      <c r="L56" s="280">
        <v>0.5354166666666669</v>
      </c>
      <c r="M56" s="280">
        <v>0.5458333333333335</v>
      </c>
      <c r="N56" s="281">
        <v>4.0</v>
      </c>
      <c r="O56" s="280">
        <v>0.5486111111111113</v>
      </c>
      <c r="P56" s="103">
        <f t="shared" si="8"/>
        <v>53</v>
      </c>
      <c r="Q56" s="103">
        <f t="shared" si="9"/>
        <v>60</v>
      </c>
      <c r="R56" s="103">
        <f t="shared" si="10"/>
        <v>7</v>
      </c>
      <c r="S56" s="104">
        <f t="shared" si="11"/>
        <v>0.1320754717</v>
      </c>
      <c r="T56" s="142">
        <f t="shared" si="12"/>
        <v>30</v>
      </c>
    </row>
    <row r="57" ht="13.5" customHeight="1">
      <c r="A57" s="88"/>
      <c r="B57" s="106" t="s">
        <v>78</v>
      </c>
      <c r="C57" s="280">
        <v>0.527777777777778</v>
      </c>
      <c r="D57" s="280">
        <v>0.5368055555555558</v>
      </c>
      <c r="E57" s="281">
        <v>2.0</v>
      </c>
      <c r="F57" s="280">
        <v>0.5381944444444446</v>
      </c>
      <c r="G57" s="280">
        <v>0.5472222222222224</v>
      </c>
      <c r="H57" s="281">
        <v>1.0</v>
      </c>
      <c r="I57" s="280">
        <v>0.5479166666666668</v>
      </c>
      <c r="J57" s="280">
        <v>0.5562500000000001</v>
      </c>
      <c r="K57" s="281">
        <v>0.0</v>
      </c>
      <c r="L57" s="280">
        <v>0.5562500000000001</v>
      </c>
      <c r="M57" s="280">
        <v>0.5666666666666668</v>
      </c>
      <c r="N57" s="281">
        <v>4.0</v>
      </c>
      <c r="O57" s="280">
        <v>0.5694444444444445</v>
      </c>
      <c r="P57" s="103">
        <f t="shared" si="8"/>
        <v>53</v>
      </c>
      <c r="Q57" s="103">
        <f t="shared" si="9"/>
        <v>60</v>
      </c>
      <c r="R57" s="103">
        <f t="shared" si="10"/>
        <v>7</v>
      </c>
      <c r="S57" s="104">
        <f t="shared" si="11"/>
        <v>0.1320754717</v>
      </c>
      <c r="T57" s="142">
        <f t="shared" si="12"/>
        <v>30</v>
      </c>
    </row>
    <row r="58" ht="13.5" customHeight="1">
      <c r="A58" s="88"/>
      <c r="B58" s="106" t="s">
        <v>78</v>
      </c>
      <c r="C58" s="280">
        <v>0.5486111111111113</v>
      </c>
      <c r="D58" s="280">
        <v>0.557638888888889</v>
      </c>
      <c r="E58" s="281">
        <v>2.0</v>
      </c>
      <c r="F58" s="280">
        <v>0.5590277777777779</v>
      </c>
      <c r="G58" s="280">
        <v>0.5680555555555556</v>
      </c>
      <c r="H58" s="281">
        <v>1.0</v>
      </c>
      <c r="I58" s="280">
        <v>0.5687500000000001</v>
      </c>
      <c r="J58" s="280">
        <v>0.5770833333333334</v>
      </c>
      <c r="K58" s="281">
        <v>0.0</v>
      </c>
      <c r="L58" s="280">
        <v>0.5770833333333334</v>
      </c>
      <c r="M58" s="280">
        <v>0.5875</v>
      </c>
      <c r="N58" s="281">
        <v>4.0</v>
      </c>
      <c r="O58" s="280">
        <v>0.5902777777777778</v>
      </c>
      <c r="P58" s="103">
        <f t="shared" si="8"/>
        <v>53</v>
      </c>
      <c r="Q58" s="103">
        <f t="shared" si="9"/>
        <v>60</v>
      </c>
      <c r="R58" s="103">
        <f t="shared" si="10"/>
        <v>7</v>
      </c>
      <c r="S58" s="104">
        <f t="shared" si="11"/>
        <v>0.1320754717</v>
      </c>
      <c r="T58" s="142">
        <f t="shared" si="12"/>
        <v>30</v>
      </c>
    </row>
    <row r="59" ht="13.5" customHeight="1">
      <c r="A59" s="88"/>
      <c r="B59" s="106" t="s">
        <v>78</v>
      </c>
      <c r="C59" s="280">
        <v>0.5694444444444445</v>
      </c>
      <c r="D59" s="280">
        <v>0.5784722222222223</v>
      </c>
      <c r="E59" s="281">
        <v>2.0</v>
      </c>
      <c r="F59" s="280">
        <v>0.5798611111111112</v>
      </c>
      <c r="G59" s="280">
        <v>0.5888888888888889</v>
      </c>
      <c r="H59" s="281">
        <v>1.0</v>
      </c>
      <c r="I59" s="280">
        <v>0.5895833333333333</v>
      </c>
      <c r="J59" s="280">
        <v>0.5979166666666667</v>
      </c>
      <c r="K59" s="281">
        <v>0.0</v>
      </c>
      <c r="L59" s="280">
        <v>0.5979166666666667</v>
      </c>
      <c r="M59" s="280">
        <v>0.6083333333333333</v>
      </c>
      <c r="N59" s="281">
        <v>4.0</v>
      </c>
      <c r="O59" s="280">
        <v>0.611111111111111</v>
      </c>
      <c r="P59" s="103">
        <f t="shared" si="8"/>
        <v>53</v>
      </c>
      <c r="Q59" s="103">
        <f t="shared" si="9"/>
        <v>60</v>
      </c>
      <c r="R59" s="103">
        <f t="shared" si="10"/>
        <v>7</v>
      </c>
      <c r="S59" s="104">
        <f t="shared" si="11"/>
        <v>0.1320754717</v>
      </c>
      <c r="T59" s="142">
        <f t="shared" si="12"/>
        <v>30</v>
      </c>
    </row>
    <row r="60" ht="13.5" customHeight="1">
      <c r="A60" s="88"/>
      <c r="B60" s="106" t="s">
        <v>78</v>
      </c>
      <c r="C60" s="280">
        <v>0.5902777777777778</v>
      </c>
      <c r="D60" s="280">
        <v>0.5993055555555555</v>
      </c>
      <c r="E60" s="281">
        <v>2.0</v>
      </c>
      <c r="F60" s="280">
        <v>0.6006944444444444</v>
      </c>
      <c r="G60" s="280">
        <v>0.6097222222222222</v>
      </c>
      <c r="H60" s="281">
        <v>1.0</v>
      </c>
      <c r="I60" s="280">
        <v>0.6104166666666666</v>
      </c>
      <c r="J60" s="280">
        <v>0.6187499999999999</v>
      </c>
      <c r="K60" s="281">
        <v>0.0</v>
      </c>
      <c r="L60" s="280">
        <v>0.6187499999999999</v>
      </c>
      <c r="M60" s="280">
        <v>0.6291666666666665</v>
      </c>
      <c r="N60" s="281">
        <v>4.0</v>
      </c>
      <c r="O60" s="280">
        <v>0.6319444444444443</v>
      </c>
      <c r="P60" s="103">
        <f t="shared" si="8"/>
        <v>53</v>
      </c>
      <c r="Q60" s="103">
        <f t="shared" si="9"/>
        <v>60</v>
      </c>
      <c r="R60" s="103">
        <f t="shared" si="10"/>
        <v>7</v>
      </c>
      <c r="S60" s="104">
        <f t="shared" si="11"/>
        <v>0.1320754717</v>
      </c>
      <c r="T60" s="142">
        <f t="shared" si="12"/>
        <v>30</v>
      </c>
    </row>
    <row r="61" ht="13.5" customHeight="1">
      <c r="A61" s="88"/>
      <c r="B61" s="106" t="s">
        <v>78</v>
      </c>
      <c r="C61" s="280">
        <v>0.611111111111111</v>
      </c>
      <c r="D61" s="280">
        <v>0.6201388888888888</v>
      </c>
      <c r="E61" s="281">
        <v>2.0</v>
      </c>
      <c r="F61" s="280">
        <v>0.6215277777777777</v>
      </c>
      <c r="G61" s="280">
        <v>0.6305555555555554</v>
      </c>
      <c r="H61" s="281">
        <v>1.0</v>
      </c>
      <c r="I61" s="280">
        <v>0.6312499999999999</v>
      </c>
      <c r="J61" s="280">
        <v>0.6395833333333332</v>
      </c>
      <c r="K61" s="281">
        <v>0.0</v>
      </c>
      <c r="L61" s="280">
        <v>0.6395833333333332</v>
      </c>
      <c r="M61" s="280">
        <v>0.6499999999999998</v>
      </c>
      <c r="N61" s="281">
        <v>4.0</v>
      </c>
      <c r="O61" s="280">
        <v>0.6527777777777776</v>
      </c>
      <c r="P61" s="103">
        <f t="shared" si="8"/>
        <v>53</v>
      </c>
      <c r="Q61" s="103">
        <f t="shared" si="9"/>
        <v>60</v>
      </c>
      <c r="R61" s="103">
        <f t="shared" si="10"/>
        <v>7</v>
      </c>
      <c r="S61" s="104">
        <f t="shared" si="11"/>
        <v>0.1320754717</v>
      </c>
      <c r="T61" s="142">
        <f t="shared" si="12"/>
        <v>30</v>
      </c>
    </row>
    <row r="62" ht="13.5" customHeight="1">
      <c r="A62" s="88"/>
      <c r="B62" s="106" t="s">
        <v>78</v>
      </c>
      <c r="C62" s="280">
        <v>0.6319444444444443</v>
      </c>
      <c r="D62" s="280">
        <v>0.640972222222222</v>
      </c>
      <c r="E62" s="281">
        <v>2.0</v>
      </c>
      <c r="F62" s="280">
        <v>0.6423611111111109</v>
      </c>
      <c r="G62" s="280">
        <v>0.6513888888888887</v>
      </c>
      <c r="H62" s="281">
        <v>1.0</v>
      </c>
      <c r="I62" s="280">
        <v>0.6520833333333331</v>
      </c>
      <c r="J62" s="280">
        <v>0.6604166666666664</v>
      </c>
      <c r="K62" s="281">
        <v>0.0</v>
      </c>
      <c r="L62" s="280">
        <v>0.6604166666666664</v>
      </c>
      <c r="M62" s="280">
        <v>0.6708333333333331</v>
      </c>
      <c r="N62" s="281">
        <v>4.0</v>
      </c>
      <c r="O62" s="280">
        <v>0.6736111111111108</v>
      </c>
      <c r="P62" s="103">
        <f t="shared" si="8"/>
        <v>53</v>
      </c>
      <c r="Q62" s="103">
        <f t="shared" si="9"/>
        <v>60</v>
      </c>
      <c r="R62" s="103">
        <f t="shared" si="10"/>
        <v>7</v>
      </c>
      <c r="S62" s="104">
        <f t="shared" si="11"/>
        <v>0.1320754717</v>
      </c>
      <c r="T62" s="142">
        <f t="shared" si="12"/>
        <v>30</v>
      </c>
    </row>
    <row r="63" ht="13.5" customHeight="1">
      <c r="A63" s="88"/>
      <c r="B63" s="106" t="s">
        <v>78</v>
      </c>
      <c r="C63" s="280">
        <v>0.6527777777777776</v>
      </c>
      <c r="D63" s="280">
        <v>0.6618055555555553</v>
      </c>
      <c r="E63" s="281">
        <v>2.0</v>
      </c>
      <c r="F63" s="280">
        <v>0.6631944444444442</v>
      </c>
      <c r="G63" s="280">
        <v>0.6722222222222219</v>
      </c>
      <c r="H63" s="281">
        <v>1.0</v>
      </c>
      <c r="I63" s="280">
        <v>0.6729166666666664</v>
      </c>
      <c r="J63" s="280">
        <v>0.6812499999999997</v>
      </c>
      <c r="K63" s="281">
        <v>0.0</v>
      </c>
      <c r="L63" s="280">
        <v>0.6812499999999997</v>
      </c>
      <c r="M63" s="280">
        <v>0.6916666666666663</v>
      </c>
      <c r="N63" s="281">
        <v>4.0</v>
      </c>
      <c r="O63" s="280">
        <v>0.6944444444444441</v>
      </c>
      <c r="P63" s="103">
        <f t="shared" si="8"/>
        <v>53</v>
      </c>
      <c r="Q63" s="103">
        <f t="shared" si="9"/>
        <v>60</v>
      </c>
      <c r="R63" s="103">
        <f t="shared" si="10"/>
        <v>7</v>
      </c>
      <c r="S63" s="104">
        <f t="shared" si="11"/>
        <v>0.1320754717</v>
      </c>
      <c r="T63" s="142">
        <f t="shared" si="12"/>
        <v>30</v>
      </c>
    </row>
    <row r="64" ht="13.5" customHeight="1">
      <c r="A64" s="88"/>
      <c r="B64" s="106" t="s">
        <v>78</v>
      </c>
      <c r="C64" s="280">
        <v>0.6736111111111108</v>
      </c>
      <c r="D64" s="280">
        <v>0.6826388888888886</v>
      </c>
      <c r="E64" s="281">
        <v>2.0</v>
      </c>
      <c r="F64" s="280">
        <v>0.6840277777777775</v>
      </c>
      <c r="G64" s="280">
        <v>0.6930555555555552</v>
      </c>
      <c r="H64" s="281">
        <v>1.0</v>
      </c>
      <c r="I64" s="280">
        <v>0.6937499999999996</v>
      </c>
      <c r="J64" s="280">
        <v>0.702083333333333</v>
      </c>
      <c r="K64" s="281">
        <v>0.0</v>
      </c>
      <c r="L64" s="280">
        <v>0.702083333333333</v>
      </c>
      <c r="M64" s="280">
        <v>0.7124999999999996</v>
      </c>
      <c r="N64" s="281">
        <v>4.0</v>
      </c>
      <c r="O64" s="280">
        <v>0.7152777777777773</v>
      </c>
      <c r="P64" s="103">
        <f t="shared" si="8"/>
        <v>53</v>
      </c>
      <c r="Q64" s="103">
        <f t="shared" si="9"/>
        <v>60</v>
      </c>
      <c r="R64" s="103">
        <f t="shared" si="10"/>
        <v>7</v>
      </c>
      <c r="S64" s="104">
        <f t="shared" si="11"/>
        <v>0.1320754717</v>
      </c>
      <c r="T64" s="142">
        <f t="shared" si="12"/>
        <v>30</v>
      </c>
    </row>
    <row r="65" ht="13.5" customHeight="1">
      <c r="A65" s="88"/>
      <c r="B65" s="106" t="s">
        <v>79</v>
      </c>
      <c r="C65" s="280">
        <v>0.6944444444444441</v>
      </c>
      <c r="D65" s="280">
        <v>0.7041666666666663</v>
      </c>
      <c r="E65" s="281">
        <v>2.0</v>
      </c>
      <c r="F65" s="280">
        <v>0.7055555555555552</v>
      </c>
      <c r="G65" s="280">
        <v>0.7138888888888885</v>
      </c>
      <c r="H65" s="281">
        <v>2.0</v>
      </c>
      <c r="I65" s="280">
        <v>0.7152777777777773</v>
      </c>
      <c r="J65" s="280">
        <v>0.7229166666666662</v>
      </c>
      <c r="K65" s="281">
        <v>0.0</v>
      </c>
      <c r="L65" s="280">
        <v>0.7229166666666662</v>
      </c>
      <c r="M65" s="280">
        <v>0.7326388888888884</v>
      </c>
      <c r="N65" s="281">
        <v>5.0</v>
      </c>
      <c r="O65" s="280">
        <v>0.7361111111111106</v>
      </c>
      <c r="P65" s="103">
        <f t="shared" si="8"/>
        <v>51</v>
      </c>
      <c r="Q65" s="103">
        <f t="shared" si="9"/>
        <v>60</v>
      </c>
      <c r="R65" s="103">
        <f t="shared" si="10"/>
        <v>9</v>
      </c>
      <c r="S65" s="104">
        <f t="shared" si="11"/>
        <v>0.1764705882</v>
      </c>
      <c r="T65" s="142">
        <f t="shared" si="12"/>
        <v>30</v>
      </c>
    </row>
    <row r="66" ht="13.5" customHeight="1">
      <c r="A66" s="88"/>
      <c r="B66" s="106" t="s">
        <v>79</v>
      </c>
      <c r="C66" s="280">
        <v>0.7152777777777773</v>
      </c>
      <c r="D66" s="280">
        <v>0.7249999999999995</v>
      </c>
      <c r="E66" s="281">
        <v>2.0</v>
      </c>
      <c r="F66" s="280">
        <v>0.7263888888888884</v>
      </c>
      <c r="G66" s="280">
        <v>0.7347222222222217</v>
      </c>
      <c r="H66" s="281">
        <v>2.0</v>
      </c>
      <c r="I66" s="280">
        <v>0.7361111111111106</v>
      </c>
      <c r="J66" s="280">
        <v>0.7437499999999995</v>
      </c>
      <c r="K66" s="281">
        <v>0.0</v>
      </c>
      <c r="L66" s="280">
        <v>0.7437499999999995</v>
      </c>
      <c r="M66" s="280">
        <v>0.7534722222222217</v>
      </c>
      <c r="N66" s="281">
        <v>5.0</v>
      </c>
      <c r="O66" s="280">
        <v>0.7569444444444439</v>
      </c>
      <c r="P66" s="103">
        <f t="shared" si="8"/>
        <v>51</v>
      </c>
      <c r="Q66" s="103">
        <f t="shared" si="9"/>
        <v>60</v>
      </c>
      <c r="R66" s="103">
        <f t="shared" si="10"/>
        <v>9</v>
      </c>
      <c r="S66" s="104">
        <f t="shared" si="11"/>
        <v>0.1764705882</v>
      </c>
      <c r="T66" s="142">
        <f t="shared" si="12"/>
        <v>30</v>
      </c>
    </row>
    <row r="67" ht="13.5" customHeight="1">
      <c r="A67" s="88"/>
      <c r="B67" s="106" t="s">
        <v>79</v>
      </c>
      <c r="C67" s="280">
        <v>0.7361111111111106</v>
      </c>
      <c r="D67" s="280">
        <v>0.7458333333333328</v>
      </c>
      <c r="E67" s="281">
        <v>2.0</v>
      </c>
      <c r="F67" s="280">
        <v>0.7472222222222217</v>
      </c>
      <c r="G67" s="280">
        <v>0.755555555555555</v>
      </c>
      <c r="H67" s="281">
        <v>2.0</v>
      </c>
      <c r="I67" s="280">
        <v>0.7569444444444439</v>
      </c>
      <c r="J67" s="280">
        <v>0.7645833333333327</v>
      </c>
      <c r="K67" s="281">
        <v>0.0</v>
      </c>
      <c r="L67" s="280">
        <v>0.7645833333333327</v>
      </c>
      <c r="M67" s="280">
        <v>0.7743055555555549</v>
      </c>
      <c r="N67" s="281">
        <v>5.0</v>
      </c>
      <c r="O67" s="280">
        <v>0.7777777777777771</v>
      </c>
      <c r="P67" s="103">
        <f t="shared" si="8"/>
        <v>51</v>
      </c>
      <c r="Q67" s="103">
        <f t="shared" si="9"/>
        <v>60</v>
      </c>
      <c r="R67" s="103">
        <f t="shared" si="10"/>
        <v>9</v>
      </c>
      <c r="S67" s="104">
        <f t="shared" si="11"/>
        <v>0.1764705882</v>
      </c>
      <c r="T67" s="142">
        <f t="shared" si="12"/>
        <v>30</v>
      </c>
    </row>
    <row r="68" ht="13.5" customHeight="1">
      <c r="A68" s="88"/>
      <c r="B68" s="106" t="s">
        <v>79</v>
      </c>
      <c r="C68" s="280">
        <v>0.7569444444444439</v>
      </c>
      <c r="D68" s="280">
        <v>0.766666666666666</v>
      </c>
      <c r="E68" s="281">
        <v>2.0</v>
      </c>
      <c r="F68" s="280">
        <v>0.7680555555555549</v>
      </c>
      <c r="G68" s="280">
        <v>0.7763888888888882</v>
      </c>
      <c r="H68" s="281">
        <v>2.0</v>
      </c>
      <c r="I68" s="280">
        <v>0.7777777777777771</v>
      </c>
      <c r="J68" s="280">
        <v>0.785416666666666</v>
      </c>
      <c r="K68" s="281">
        <v>0.0</v>
      </c>
      <c r="L68" s="280">
        <v>0.785416666666666</v>
      </c>
      <c r="M68" s="280">
        <v>0.7951388888888882</v>
      </c>
      <c r="N68" s="281">
        <v>5.0</v>
      </c>
      <c r="O68" s="280">
        <v>0.7986111111111104</v>
      </c>
      <c r="P68" s="103">
        <f t="shared" si="8"/>
        <v>51</v>
      </c>
      <c r="Q68" s="103">
        <f t="shared" si="9"/>
        <v>60</v>
      </c>
      <c r="R68" s="103">
        <f t="shared" si="10"/>
        <v>9</v>
      </c>
      <c r="S68" s="104">
        <f t="shared" si="11"/>
        <v>0.1764705882</v>
      </c>
      <c r="T68" s="142">
        <f t="shared" si="12"/>
        <v>30</v>
      </c>
    </row>
    <row r="69" ht="13.5" customHeight="1">
      <c r="A69" s="88"/>
      <c r="B69" s="106" t="s">
        <v>79</v>
      </c>
      <c r="C69" s="280">
        <v>0.7777777777777771</v>
      </c>
      <c r="D69" s="280">
        <v>0.7874999999999993</v>
      </c>
      <c r="E69" s="281">
        <v>2.0</v>
      </c>
      <c r="F69" s="280">
        <v>0.7888888888888882</v>
      </c>
      <c r="G69" s="280">
        <v>0.7972222222222215</v>
      </c>
      <c r="H69" s="281">
        <v>2.0</v>
      </c>
      <c r="I69" s="280">
        <v>0.7986111111111104</v>
      </c>
      <c r="J69" s="280">
        <v>0.8062499999999992</v>
      </c>
      <c r="K69" s="281">
        <v>0.0</v>
      </c>
      <c r="L69" s="280">
        <v>0.8062499999999992</v>
      </c>
      <c r="M69" s="280">
        <v>0.8159722222222214</v>
      </c>
      <c r="N69" s="281">
        <v>5.0</v>
      </c>
      <c r="O69" s="280">
        <v>0.8194444444444436</v>
      </c>
      <c r="P69" s="103">
        <f t="shared" si="8"/>
        <v>51</v>
      </c>
      <c r="Q69" s="103">
        <f t="shared" si="9"/>
        <v>60</v>
      </c>
      <c r="R69" s="103">
        <f t="shared" si="10"/>
        <v>9</v>
      </c>
      <c r="S69" s="104">
        <f t="shared" si="11"/>
        <v>0.1764705882</v>
      </c>
      <c r="T69" s="142">
        <f t="shared" si="12"/>
        <v>30</v>
      </c>
    </row>
    <row r="70" ht="13.5" customHeight="1">
      <c r="A70" s="88"/>
      <c r="B70" s="106" t="s">
        <v>79</v>
      </c>
      <c r="C70" s="280">
        <v>0.7986111111111104</v>
      </c>
      <c r="D70" s="280">
        <v>0.8083333333333326</v>
      </c>
      <c r="E70" s="281">
        <v>2.0</v>
      </c>
      <c r="F70" s="280">
        <v>0.8097222222222215</v>
      </c>
      <c r="G70" s="280">
        <v>0.8180555555555548</v>
      </c>
      <c r="H70" s="281">
        <v>2.0</v>
      </c>
      <c r="I70" s="280">
        <v>0.8194444444444436</v>
      </c>
      <c r="J70" s="280">
        <v>0.8270833333333325</v>
      </c>
      <c r="K70" s="281">
        <v>0.0</v>
      </c>
      <c r="L70" s="280">
        <v>0.8270833333333325</v>
      </c>
      <c r="M70" s="280">
        <v>0.8368055555555547</v>
      </c>
      <c r="N70" s="281">
        <v>5.0</v>
      </c>
      <c r="O70" s="280">
        <v>0.8402777777777769</v>
      </c>
      <c r="P70" s="103">
        <f t="shared" si="8"/>
        <v>51</v>
      </c>
      <c r="Q70" s="103">
        <f t="shared" si="9"/>
        <v>60</v>
      </c>
      <c r="R70" s="103">
        <f t="shared" si="10"/>
        <v>9</v>
      </c>
      <c r="S70" s="104">
        <f t="shared" si="11"/>
        <v>0.1764705882</v>
      </c>
      <c r="T70" s="142">
        <f t="shared" si="12"/>
        <v>30</v>
      </c>
    </row>
    <row r="71" ht="13.5" customHeight="1">
      <c r="A71" s="88"/>
      <c r="B71" s="106" t="s">
        <v>98</v>
      </c>
      <c r="C71" s="280">
        <v>0.8194444444444436</v>
      </c>
      <c r="D71" s="280">
        <v>0.8291666666666658</v>
      </c>
      <c r="E71" s="281">
        <v>2.0</v>
      </c>
      <c r="F71" s="280">
        <v>0.8305555555555547</v>
      </c>
      <c r="G71" s="280">
        <v>0.838888888888888</v>
      </c>
      <c r="H71" s="281">
        <v>2.0</v>
      </c>
      <c r="I71" s="280">
        <v>0.8402777777777769</v>
      </c>
      <c r="J71" s="280">
        <v>0.8479166666666658</v>
      </c>
      <c r="K71" s="281">
        <v>0.0</v>
      </c>
      <c r="L71" s="280">
        <v>0.8479166666666658</v>
      </c>
      <c r="M71" s="280">
        <v>0.857638888888888</v>
      </c>
      <c r="N71" s="281">
        <v>5.0</v>
      </c>
      <c r="O71" s="280">
        <v>0.8611111111111102</v>
      </c>
      <c r="P71" s="103">
        <f t="shared" si="8"/>
        <v>51</v>
      </c>
      <c r="Q71" s="103">
        <f t="shared" si="9"/>
        <v>60</v>
      </c>
      <c r="R71" s="103">
        <f t="shared" si="10"/>
        <v>9</v>
      </c>
      <c r="S71" s="104">
        <f t="shared" si="11"/>
        <v>0.1764705882</v>
      </c>
      <c r="T71" s="142">
        <f t="shared" si="12"/>
        <v>30</v>
      </c>
    </row>
    <row r="72" ht="13.5" customHeight="1">
      <c r="A72" s="88"/>
      <c r="B72" s="106" t="s">
        <v>98</v>
      </c>
      <c r="C72" s="280">
        <v>0.8402777777777769</v>
      </c>
      <c r="D72" s="280">
        <v>0.8499999999999991</v>
      </c>
      <c r="E72" s="281">
        <v>2.0</v>
      </c>
      <c r="F72" s="280">
        <v>0.851388888888888</v>
      </c>
      <c r="G72" s="280">
        <v>0.8597222222222213</v>
      </c>
      <c r="H72" s="281">
        <v>2.0</v>
      </c>
      <c r="I72" s="280">
        <v>0.8611111111111102</v>
      </c>
      <c r="J72" s="280">
        <v>0.868749999999999</v>
      </c>
      <c r="K72" s="281">
        <v>0.0</v>
      </c>
      <c r="L72" s="280">
        <v>0.868749999999999</v>
      </c>
      <c r="M72" s="280">
        <v>0.8784722222222212</v>
      </c>
      <c r="N72" s="281">
        <v>5.0</v>
      </c>
      <c r="O72" s="280">
        <v>0.8819444444444434</v>
      </c>
      <c r="P72" s="103">
        <f t="shared" si="8"/>
        <v>51</v>
      </c>
      <c r="Q72" s="103">
        <f t="shared" si="9"/>
        <v>60</v>
      </c>
      <c r="R72" s="103">
        <f t="shared" si="10"/>
        <v>9</v>
      </c>
      <c r="S72" s="104">
        <f t="shared" si="11"/>
        <v>0.1764705882</v>
      </c>
      <c r="T72" s="142">
        <f t="shared" si="12"/>
        <v>30</v>
      </c>
    </row>
    <row r="73" ht="13.5" customHeight="1">
      <c r="A73" s="88"/>
      <c r="B73" s="106" t="s">
        <v>98</v>
      </c>
      <c r="C73" s="280">
        <v>0.8611111111111102</v>
      </c>
      <c r="D73" s="280">
        <v>0.8708333333333323</v>
      </c>
      <c r="E73" s="281">
        <v>2.0</v>
      </c>
      <c r="F73" s="280">
        <v>0.8722222222222212</v>
      </c>
      <c r="G73" s="280">
        <v>0.8805555555555545</v>
      </c>
      <c r="H73" s="281">
        <v>2.0</v>
      </c>
      <c r="I73" s="280">
        <v>0.8819444444444434</v>
      </c>
      <c r="J73" s="280">
        <v>0.8895833333333323</v>
      </c>
      <c r="K73" s="281">
        <v>0.0</v>
      </c>
      <c r="L73" s="280">
        <v>0.8895833333333323</v>
      </c>
      <c r="M73" s="280">
        <v>0.8993055555555545</v>
      </c>
      <c r="N73" s="281">
        <v>5.0</v>
      </c>
      <c r="O73" s="280">
        <v>0.9027777777777767</v>
      </c>
      <c r="P73" s="103">
        <f t="shared" si="8"/>
        <v>51</v>
      </c>
      <c r="Q73" s="103">
        <f t="shared" si="9"/>
        <v>60</v>
      </c>
      <c r="R73" s="103">
        <f t="shared" si="10"/>
        <v>9</v>
      </c>
      <c r="S73" s="104">
        <f t="shared" si="11"/>
        <v>0.1764705882</v>
      </c>
      <c r="T73" s="142">
        <f t="shared" si="12"/>
        <v>30</v>
      </c>
    </row>
    <row r="74" ht="13.5" customHeight="1">
      <c r="A74" s="88"/>
      <c r="B74" s="106" t="s">
        <v>98</v>
      </c>
      <c r="C74" s="280">
        <v>0.8819444444444434</v>
      </c>
      <c r="D74" s="280">
        <v>0.8916666666666656</v>
      </c>
      <c r="E74" s="281">
        <v>2.0</v>
      </c>
      <c r="F74" s="280">
        <v>0.8930555555555545</v>
      </c>
      <c r="G74" s="280">
        <v>0.9013888888888878</v>
      </c>
      <c r="H74" s="281">
        <v>2.0</v>
      </c>
      <c r="I74" s="280">
        <v>0.9027777777777767</v>
      </c>
      <c r="J74" s="280">
        <v>0.9104166666666655</v>
      </c>
      <c r="K74" s="281">
        <v>0.0</v>
      </c>
      <c r="L74" s="280">
        <v>0.9104166666666655</v>
      </c>
      <c r="M74" s="280">
        <v>0.9201388888888877</v>
      </c>
      <c r="N74" s="281">
        <v>0.0</v>
      </c>
      <c r="O74" s="107" t="s">
        <v>80</v>
      </c>
      <c r="P74" s="103">
        <f t="shared" si="8"/>
        <v>51</v>
      </c>
      <c r="Q74" s="103">
        <f>(M74-C74)*1440</f>
        <v>55</v>
      </c>
      <c r="R74" s="103">
        <f t="shared" si="10"/>
        <v>4</v>
      </c>
      <c r="S74" s="104">
        <f t="shared" si="11"/>
        <v>0.07843137255</v>
      </c>
      <c r="T74" s="142">
        <f t="shared" ref="T74:T77" si="13">(M74-M73)*1440</f>
        <v>30</v>
      </c>
    </row>
    <row r="75" ht="13.5" customHeight="1">
      <c r="A75" s="88"/>
      <c r="B75" s="106" t="s">
        <v>98</v>
      </c>
      <c r="C75" s="280">
        <v>0.9027777777777767</v>
      </c>
      <c r="D75" s="280">
        <v>0.9124999999999989</v>
      </c>
      <c r="E75" s="281">
        <v>2.0</v>
      </c>
      <c r="F75" s="280">
        <v>0.9138888888888878</v>
      </c>
      <c r="G75" s="280">
        <v>0.922222222222221</v>
      </c>
      <c r="H75" s="281">
        <v>2.0</v>
      </c>
      <c r="I75" s="280">
        <v>0.9236111111111099</v>
      </c>
      <c r="J75" s="280">
        <v>0.9312499999999988</v>
      </c>
      <c r="K75" s="281">
        <v>0.0</v>
      </c>
      <c r="L75" s="280">
        <v>0.9312499999999988</v>
      </c>
      <c r="M75" s="280">
        <v>0.940972222222221</v>
      </c>
      <c r="N75" s="281">
        <v>5.0</v>
      </c>
      <c r="O75" s="280">
        <v>0.9444444444444432</v>
      </c>
      <c r="P75" s="103">
        <f t="shared" si="8"/>
        <v>51</v>
      </c>
      <c r="Q75" s="103">
        <f t="shared" ref="Q75:Q76" si="14">(O75-C75)*1440</f>
        <v>60</v>
      </c>
      <c r="R75" s="103">
        <f t="shared" si="10"/>
        <v>9</v>
      </c>
      <c r="S75" s="104">
        <f t="shared" si="11"/>
        <v>0.1764705882</v>
      </c>
      <c r="T75" s="142">
        <f t="shared" si="13"/>
        <v>30</v>
      </c>
    </row>
    <row r="76" ht="13.5" customHeight="1">
      <c r="A76" s="88"/>
      <c r="B76" s="106" t="s">
        <v>98</v>
      </c>
      <c r="C76" s="280">
        <v>0.9444444444444432</v>
      </c>
      <c r="D76" s="280">
        <v>0.9541666666666654</v>
      </c>
      <c r="E76" s="281">
        <v>2.0</v>
      </c>
      <c r="F76" s="280">
        <v>0.9555555555555543</v>
      </c>
      <c r="G76" s="280">
        <v>0.9638888888888876</v>
      </c>
      <c r="H76" s="281">
        <v>2.0</v>
      </c>
      <c r="I76" s="280">
        <v>0.9652777777777765</v>
      </c>
      <c r="J76" s="280">
        <v>0.9729166666666653</v>
      </c>
      <c r="K76" s="281">
        <v>0.0</v>
      </c>
      <c r="L76" s="280">
        <v>0.9729166666666653</v>
      </c>
      <c r="M76" s="280">
        <v>0.9826388888888875</v>
      </c>
      <c r="N76" s="281">
        <v>5.0</v>
      </c>
      <c r="O76" s="280">
        <v>0.9861111111111097</v>
      </c>
      <c r="P76" s="103">
        <f t="shared" si="8"/>
        <v>51</v>
      </c>
      <c r="Q76" s="103">
        <f t="shared" si="14"/>
        <v>60</v>
      </c>
      <c r="R76" s="103">
        <f t="shared" si="10"/>
        <v>9</v>
      </c>
      <c r="S76" s="104">
        <f t="shared" si="11"/>
        <v>0.1764705882</v>
      </c>
      <c r="T76" s="142">
        <f t="shared" si="13"/>
        <v>60</v>
      </c>
    </row>
    <row r="77" ht="13.5" customHeight="1">
      <c r="A77" s="88"/>
      <c r="B77" s="106" t="s">
        <v>98</v>
      </c>
      <c r="C77" s="280">
        <v>0.9861111111111097</v>
      </c>
      <c r="D77" s="280">
        <v>0.9958333333333319</v>
      </c>
      <c r="E77" s="281">
        <v>2.0</v>
      </c>
      <c r="F77" s="280">
        <v>0.9972222222222208</v>
      </c>
      <c r="G77" s="280">
        <v>1.0055555555555542</v>
      </c>
      <c r="H77" s="281">
        <v>2.0</v>
      </c>
      <c r="I77" s="280">
        <v>1.006944444444443</v>
      </c>
      <c r="J77" s="280">
        <v>1.014583333333332</v>
      </c>
      <c r="K77" s="281">
        <v>0.0</v>
      </c>
      <c r="L77" s="280">
        <v>1.014583333333332</v>
      </c>
      <c r="M77" s="280">
        <v>1.0243055555555542</v>
      </c>
      <c r="N77" s="281">
        <v>0.0</v>
      </c>
      <c r="O77" s="107" t="s">
        <v>80</v>
      </c>
      <c r="P77" s="103">
        <f t="shared" si="8"/>
        <v>51</v>
      </c>
      <c r="Q77" s="103">
        <f>(M77-C77)*1440</f>
        <v>55</v>
      </c>
      <c r="R77" s="103">
        <f t="shared" si="10"/>
        <v>4</v>
      </c>
      <c r="S77" s="104">
        <f t="shared" si="11"/>
        <v>0.07843137255</v>
      </c>
      <c r="T77" s="142">
        <f t="shared" si="13"/>
        <v>60</v>
      </c>
    </row>
    <row r="78" ht="13.5" customHeight="1">
      <c r="A78" s="108"/>
      <c r="B78" s="62"/>
      <c r="P78" s="283"/>
      <c r="Q78" s="112">
        <f>SUM(Q46:Q77)/60</f>
        <v>31.83333333</v>
      </c>
    </row>
    <row r="79" ht="13.5" customHeight="1">
      <c r="A79" s="290"/>
      <c r="B79" s="160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291"/>
      <c r="Q79" s="192"/>
      <c r="R79" s="191"/>
      <c r="S79" s="193"/>
      <c r="T79" s="118"/>
    </row>
    <row r="80" ht="13.5" customHeight="1">
      <c r="A80" s="284" t="s">
        <v>99</v>
      </c>
      <c r="B80" s="62"/>
      <c r="C80" s="124" t="s">
        <v>83</v>
      </c>
      <c r="D80" s="279" t="s">
        <v>155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S80" s="126"/>
    </row>
    <row r="81" ht="13.5" customHeight="1">
      <c r="A81" s="88"/>
      <c r="B81" s="62"/>
      <c r="C81" s="18" t="s">
        <v>62</v>
      </c>
      <c r="D81" s="18" t="s">
        <v>85</v>
      </c>
      <c r="E81" s="85"/>
      <c r="F81" s="18" t="s">
        <v>62</v>
      </c>
      <c r="G81" s="18" t="s">
        <v>85</v>
      </c>
      <c r="H81" s="85"/>
      <c r="I81" s="18" t="s">
        <v>62</v>
      </c>
      <c r="J81" s="18" t="s">
        <v>85</v>
      </c>
      <c r="K81" s="85"/>
      <c r="L81" s="18" t="s">
        <v>62</v>
      </c>
      <c r="M81" s="18" t="s">
        <v>85</v>
      </c>
      <c r="N81" s="85"/>
      <c r="O81" s="18" t="s">
        <v>62</v>
      </c>
      <c r="P81" s="129"/>
      <c r="Q81" s="129"/>
      <c r="R81" s="129"/>
      <c r="S81" s="129"/>
    </row>
    <row r="82" ht="13.5" customHeight="1">
      <c r="A82" s="88"/>
      <c r="B82" s="89" t="s">
        <v>63</v>
      </c>
      <c r="C82" s="285" t="s">
        <v>86</v>
      </c>
      <c r="D82" s="285" t="s">
        <v>156</v>
      </c>
      <c r="E82" s="91" t="s">
        <v>69</v>
      </c>
      <c r="F82" s="285" t="s">
        <v>156</v>
      </c>
      <c r="G82" s="286" t="s">
        <v>87</v>
      </c>
      <c r="H82" s="91" t="s">
        <v>69</v>
      </c>
      <c r="I82" s="286" t="s">
        <v>87</v>
      </c>
      <c r="J82" s="285" t="s">
        <v>70</v>
      </c>
      <c r="K82" s="91" t="s">
        <v>69</v>
      </c>
      <c r="L82" s="285" t="s">
        <v>70</v>
      </c>
      <c r="M82" s="286" t="s">
        <v>86</v>
      </c>
      <c r="N82" s="91" t="s">
        <v>69</v>
      </c>
      <c r="O82" s="287" t="s">
        <v>86</v>
      </c>
      <c r="P82" s="134"/>
      <c r="Q82" s="134"/>
      <c r="R82" s="134"/>
      <c r="S82" s="134"/>
    </row>
    <row r="83" ht="13.5" customHeight="1">
      <c r="A83" s="88"/>
      <c r="B83" s="93" t="s">
        <v>72</v>
      </c>
      <c r="C83" s="285">
        <v>1.0</v>
      </c>
      <c r="D83" s="18">
        <v>898.0</v>
      </c>
      <c r="E83" s="94"/>
      <c r="F83" s="18">
        <v>898.0</v>
      </c>
      <c r="G83" s="18">
        <v>441.0</v>
      </c>
      <c r="H83" s="94"/>
      <c r="I83" s="18">
        <v>441.0</v>
      </c>
      <c r="J83" s="18">
        <v>335.0</v>
      </c>
      <c r="K83" s="94"/>
      <c r="L83" s="18">
        <v>335.0</v>
      </c>
      <c r="M83" s="18">
        <v>1.0</v>
      </c>
      <c r="N83" s="94"/>
      <c r="O83" s="288">
        <v>1.0</v>
      </c>
      <c r="P83" s="95" t="s">
        <v>73</v>
      </c>
      <c r="Q83" s="95" t="s">
        <v>74</v>
      </c>
      <c r="R83" s="95" t="s">
        <v>69</v>
      </c>
      <c r="S83" s="95" t="s">
        <v>75</v>
      </c>
      <c r="T83" s="96" t="s">
        <v>76</v>
      </c>
    </row>
    <row r="84" ht="13.5" customHeight="1">
      <c r="A84" s="88"/>
      <c r="B84" s="97" t="s">
        <v>89</v>
      </c>
      <c r="C84" s="289">
        <v>0.3402777777777778</v>
      </c>
      <c r="D84" s="280">
        <v>0.3493055555555556</v>
      </c>
      <c r="E84" s="281">
        <v>3.0</v>
      </c>
      <c r="F84" s="280">
        <v>0.3513888888888889</v>
      </c>
      <c r="G84" s="280">
        <v>0.3597222222222223</v>
      </c>
      <c r="H84" s="281">
        <v>3.0</v>
      </c>
      <c r="I84" s="280">
        <v>0.3618055555555556</v>
      </c>
      <c r="J84" s="280">
        <v>0.36944444444444446</v>
      </c>
      <c r="K84" s="281">
        <v>0.0</v>
      </c>
      <c r="L84" s="280">
        <v>0.36944444444444446</v>
      </c>
      <c r="M84" s="280">
        <v>0.37847222222222227</v>
      </c>
      <c r="N84" s="281">
        <v>5.0</v>
      </c>
      <c r="O84" s="280">
        <v>0.3819444444444445</v>
      </c>
      <c r="P84" s="103">
        <f t="shared" ref="P84:P98" si="15">Q84-R84</f>
        <v>49</v>
      </c>
      <c r="Q84" s="103">
        <f t="shared" ref="Q84:Q97" si="16">(O84-C84)*1440</f>
        <v>60</v>
      </c>
      <c r="R84" s="103">
        <f t="shared" ref="R84:R98" si="17">N84+K84+H84+E84</f>
        <v>11</v>
      </c>
      <c r="S84" s="104">
        <f t="shared" ref="S84:S98" si="18">R84/P84</f>
        <v>0.2244897959</v>
      </c>
      <c r="T84" s="142"/>
    </row>
    <row r="85" ht="13.5" customHeight="1">
      <c r="A85" s="88"/>
      <c r="B85" s="106" t="s">
        <v>77</v>
      </c>
      <c r="C85" s="280">
        <v>0.3819444444444445</v>
      </c>
      <c r="D85" s="280">
        <v>0.3909722222222223</v>
      </c>
      <c r="E85" s="281">
        <v>2.0</v>
      </c>
      <c r="F85" s="280">
        <v>0.39236111111111116</v>
      </c>
      <c r="G85" s="280">
        <v>0.40138888888888896</v>
      </c>
      <c r="H85" s="281">
        <v>1.0</v>
      </c>
      <c r="I85" s="280">
        <v>0.4020833333333334</v>
      </c>
      <c r="J85" s="280">
        <v>0.41041666666666676</v>
      </c>
      <c r="K85" s="281">
        <v>0.0</v>
      </c>
      <c r="L85" s="280">
        <v>0.41041666666666676</v>
      </c>
      <c r="M85" s="280">
        <v>0.420138888888889</v>
      </c>
      <c r="N85" s="281">
        <v>5.0</v>
      </c>
      <c r="O85" s="280">
        <v>0.4236111111111112</v>
      </c>
      <c r="P85" s="103">
        <f t="shared" si="15"/>
        <v>52</v>
      </c>
      <c r="Q85" s="103">
        <f t="shared" si="16"/>
        <v>60</v>
      </c>
      <c r="R85" s="103">
        <f t="shared" si="17"/>
        <v>8</v>
      </c>
      <c r="S85" s="104">
        <f t="shared" si="18"/>
        <v>0.1538461538</v>
      </c>
      <c r="T85" s="142">
        <f t="shared" ref="T85:T97" si="19">(O85-O84)*1440</f>
        <v>60</v>
      </c>
    </row>
    <row r="86" ht="13.5" customHeight="1">
      <c r="A86" s="88"/>
      <c r="B86" s="106" t="s">
        <v>77</v>
      </c>
      <c r="C86" s="280">
        <v>0.4236111111111112</v>
      </c>
      <c r="D86" s="280">
        <v>0.432638888888889</v>
      </c>
      <c r="E86" s="281">
        <v>2.0</v>
      </c>
      <c r="F86" s="280">
        <v>0.4340277777777779</v>
      </c>
      <c r="G86" s="280">
        <v>0.4430555555555557</v>
      </c>
      <c r="H86" s="281">
        <v>1.0</v>
      </c>
      <c r="I86" s="280">
        <v>0.44375000000000014</v>
      </c>
      <c r="J86" s="280">
        <v>0.4520833333333335</v>
      </c>
      <c r="K86" s="281">
        <v>0.0</v>
      </c>
      <c r="L86" s="280">
        <v>0.4520833333333335</v>
      </c>
      <c r="M86" s="280">
        <v>0.46180555555555575</v>
      </c>
      <c r="N86" s="281">
        <v>5.0</v>
      </c>
      <c r="O86" s="280">
        <v>0.46527777777777796</v>
      </c>
      <c r="P86" s="103">
        <f t="shared" si="15"/>
        <v>52</v>
      </c>
      <c r="Q86" s="103">
        <f t="shared" si="16"/>
        <v>60</v>
      </c>
      <c r="R86" s="103">
        <f t="shared" si="17"/>
        <v>8</v>
      </c>
      <c r="S86" s="104">
        <f t="shared" si="18"/>
        <v>0.1538461538</v>
      </c>
      <c r="T86" s="142">
        <f t="shared" si="19"/>
        <v>60</v>
      </c>
    </row>
    <row r="87" ht="13.5" customHeight="1">
      <c r="A87" s="88"/>
      <c r="B87" s="106" t="s">
        <v>77</v>
      </c>
      <c r="C87" s="280">
        <v>0.46527777777777796</v>
      </c>
      <c r="D87" s="280">
        <v>0.47430555555555576</v>
      </c>
      <c r="E87" s="281">
        <v>2.0</v>
      </c>
      <c r="F87" s="280">
        <v>0.47569444444444464</v>
      </c>
      <c r="G87" s="280">
        <v>0.48472222222222244</v>
      </c>
      <c r="H87" s="281">
        <v>1.0</v>
      </c>
      <c r="I87" s="280">
        <v>0.4854166666666669</v>
      </c>
      <c r="J87" s="280">
        <v>0.49375000000000024</v>
      </c>
      <c r="K87" s="281">
        <v>0.0</v>
      </c>
      <c r="L87" s="280">
        <v>0.49375000000000024</v>
      </c>
      <c r="M87" s="280">
        <v>0.5034722222222224</v>
      </c>
      <c r="N87" s="281">
        <v>5.0</v>
      </c>
      <c r="O87" s="280">
        <v>0.5069444444444446</v>
      </c>
      <c r="P87" s="103">
        <f t="shared" si="15"/>
        <v>52</v>
      </c>
      <c r="Q87" s="103">
        <f t="shared" si="16"/>
        <v>60</v>
      </c>
      <c r="R87" s="103">
        <f t="shared" si="17"/>
        <v>8</v>
      </c>
      <c r="S87" s="104">
        <f t="shared" si="18"/>
        <v>0.1538461538</v>
      </c>
      <c r="T87" s="142">
        <f t="shared" si="19"/>
        <v>60</v>
      </c>
    </row>
    <row r="88" ht="13.5" customHeight="1">
      <c r="A88" s="88"/>
      <c r="B88" s="106" t="s">
        <v>78</v>
      </c>
      <c r="C88" s="280">
        <v>0.5069444444444446</v>
      </c>
      <c r="D88" s="280">
        <v>0.5159722222222224</v>
      </c>
      <c r="E88" s="281">
        <v>2.0</v>
      </c>
      <c r="F88" s="280">
        <v>0.5173611111111113</v>
      </c>
      <c r="G88" s="280">
        <v>0.526388888888889</v>
      </c>
      <c r="H88" s="281">
        <v>1.0</v>
      </c>
      <c r="I88" s="280">
        <v>0.5270833333333335</v>
      </c>
      <c r="J88" s="280">
        <v>0.5354166666666668</v>
      </c>
      <c r="K88" s="281">
        <v>0.0</v>
      </c>
      <c r="L88" s="280">
        <v>0.5354166666666668</v>
      </c>
      <c r="M88" s="280">
        <v>0.5458333333333334</v>
      </c>
      <c r="N88" s="281">
        <v>4.0</v>
      </c>
      <c r="O88" s="280">
        <v>0.5486111111111112</v>
      </c>
      <c r="P88" s="103">
        <f t="shared" si="15"/>
        <v>53</v>
      </c>
      <c r="Q88" s="103">
        <f t="shared" si="16"/>
        <v>60</v>
      </c>
      <c r="R88" s="103">
        <f t="shared" si="17"/>
        <v>7</v>
      </c>
      <c r="S88" s="104">
        <f t="shared" si="18"/>
        <v>0.1320754717</v>
      </c>
      <c r="T88" s="142">
        <f t="shared" si="19"/>
        <v>60</v>
      </c>
    </row>
    <row r="89" ht="13.5" customHeight="1">
      <c r="A89" s="88"/>
      <c r="B89" s="106" t="s">
        <v>78</v>
      </c>
      <c r="C89" s="280">
        <v>0.5486111111111112</v>
      </c>
      <c r="D89" s="280">
        <v>0.5576388888888889</v>
      </c>
      <c r="E89" s="281">
        <v>2.0</v>
      </c>
      <c r="F89" s="280">
        <v>0.5590277777777778</v>
      </c>
      <c r="G89" s="280">
        <v>0.5680555555555555</v>
      </c>
      <c r="H89" s="281">
        <v>1.0</v>
      </c>
      <c r="I89" s="280">
        <v>0.56875</v>
      </c>
      <c r="J89" s="280">
        <v>0.5770833333333333</v>
      </c>
      <c r="K89" s="281">
        <v>0.0</v>
      </c>
      <c r="L89" s="280">
        <v>0.5770833333333333</v>
      </c>
      <c r="M89" s="280">
        <v>0.5874999999999999</v>
      </c>
      <c r="N89" s="281">
        <v>4.0</v>
      </c>
      <c r="O89" s="280">
        <v>0.5902777777777777</v>
      </c>
      <c r="P89" s="103">
        <f t="shared" si="15"/>
        <v>53</v>
      </c>
      <c r="Q89" s="103">
        <f t="shared" si="16"/>
        <v>60</v>
      </c>
      <c r="R89" s="103">
        <f t="shared" si="17"/>
        <v>7</v>
      </c>
      <c r="S89" s="104">
        <f t="shared" si="18"/>
        <v>0.1320754717</v>
      </c>
      <c r="T89" s="142">
        <f t="shared" si="19"/>
        <v>60</v>
      </c>
    </row>
    <row r="90" ht="13.5" customHeight="1">
      <c r="A90" s="88"/>
      <c r="B90" s="106" t="s">
        <v>78</v>
      </c>
      <c r="C90" s="280">
        <v>0.5902777777777777</v>
      </c>
      <c r="D90" s="280">
        <v>0.5993055555555554</v>
      </c>
      <c r="E90" s="281">
        <v>2.0</v>
      </c>
      <c r="F90" s="280">
        <v>0.6006944444444443</v>
      </c>
      <c r="G90" s="280">
        <v>0.609722222222222</v>
      </c>
      <c r="H90" s="281">
        <v>1.0</v>
      </c>
      <c r="I90" s="280">
        <v>0.6104166666666665</v>
      </c>
      <c r="J90" s="280">
        <v>0.6187499999999998</v>
      </c>
      <c r="K90" s="281">
        <v>0.0</v>
      </c>
      <c r="L90" s="280">
        <v>0.6187499999999998</v>
      </c>
      <c r="M90" s="280">
        <v>0.6291666666666664</v>
      </c>
      <c r="N90" s="281">
        <v>4.0</v>
      </c>
      <c r="O90" s="280">
        <v>0.6319444444444442</v>
      </c>
      <c r="P90" s="103">
        <f t="shared" si="15"/>
        <v>53</v>
      </c>
      <c r="Q90" s="103">
        <f t="shared" si="16"/>
        <v>60</v>
      </c>
      <c r="R90" s="103">
        <f t="shared" si="17"/>
        <v>7</v>
      </c>
      <c r="S90" s="104">
        <f t="shared" si="18"/>
        <v>0.1320754717</v>
      </c>
      <c r="T90" s="142">
        <f t="shared" si="19"/>
        <v>60</v>
      </c>
    </row>
    <row r="91" ht="13.5" customHeight="1">
      <c r="A91" s="88"/>
      <c r="B91" s="106" t="s">
        <v>78</v>
      </c>
      <c r="C91" s="280">
        <v>0.6319444444444442</v>
      </c>
      <c r="D91" s="280">
        <v>0.6409722222222219</v>
      </c>
      <c r="E91" s="281">
        <v>2.0</v>
      </c>
      <c r="F91" s="280">
        <v>0.6423611111111108</v>
      </c>
      <c r="G91" s="280">
        <v>0.6513888888888886</v>
      </c>
      <c r="H91" s="281">
        <v>1.0</v>
      </c>
      <c r="I91" s="280">
        <v>0.652083333333333</v>
      </c>
      <c r="J91" s="280">
        <v>0.6604166666666663</v>
      </c>
      <c r="K91" s="281">
        <v>0.0</v>
      </c>
      <c r="L91" s="280">
        <v>0.6604166666666663</v>
      </c>
      <c r="M91" s="280">
        <v>0.670833333333333</v>
      </c>
      <c r="N91" s="281">
        <v>4.0</v>
      </c>
      <c r="O91" s="280">
        <v>0.6736111111111107</v>
      </c>
      <c r="P91" s="103">
        <f t="shared" si="15"/>
        <v>53</v>
      </c>
      <c r="Q91" s="103">
        <f t="shared" si="16"/>
        <v>60</v>
      </c>
      <c r="R91" s="103">
        <f t="shared" si="17"/>
        <v>7</v>
      </c>
      <c r="S91" s="104">
        <f t="shared" si="18"/>
        <v>0.1320754717</v>
      </c>
      <c r="T91" s="142">
        <f t="shared" si="19"/>
        <v>60</v>
      </c>
    </row>
    <row r="92" ht="13.5" customHeight="1">
      <c r="A92" s="88"/>
      <c r="B92" s="106" t="s">
        <v>78</v>
      </c>
      <c r="C92" s="280">
        <v>0.6736111111111107</v>
      </c>
      <c r="D92" s="280">
        <v>0.6826388888888885</v>
      </c>
      <c r="E92" s="281">
        <v>2.0</v>
      </c>
      <c r="F92" s="280">
        <v>0.6840277777777773</v>
      </c>
      <c r="G92" s="280">
        <v>0.6930555555555551</v>
      </c>
      <c r="H92" s="281">
        <v>1.0</v>
      </c>
      <c r="I92" s="280">
        <v>0.6937499999999995</v>
      </c>
      <c r="J92" s="280">
        <v>0.7020833333333328</v>
      </c>
      <c r="K92" s="281">
        <v>0.0</v>
      </c>
      <c r="L92" s="280">
        <v>0.7020833333333328</v>
      </c>
      <c r="M92" s="280">
        <v>0.7124999999999995</v>
      </c>
      <c r="N92" s="281">
        <v>4.0</v>
      </c>
      <c r="O92" s="280">
        <v>0.7152777777777772</v>
      </c>
      <c r="P92" s="103">
        <f t="shared" si="15"/>
        <v>53</v>
      </c>
      <c r="Q92" s="103">
        <f t="shared" si="16"/>
        <v>60</v>
      </c>
      <c r="R92" s="103">
        <f t="shared" si="17"/>
        <v>7</v>
      </c>
      <c r="S92" s="104">
        <f t="shared" si="18"/>
        <v>0.1320754717</v>
      </c>
      <c r="T92" s="142">
        <f t="shared" si="19"/>
        <v>60</v>
      </c>
    </row>
    <row r="93" ht="13.5" customHeight="1">
      <c r="A93" s="88"/>
      <c r="B93" s="106" t="s">
        <v>79</v>
      </c>
      <c r="C93" s="280">
        <v>0.7152777777777772</v>
      </c>
      <c r="D93" s="280">
        <v>0.7249999999999994</v>
      </c>
      <c r="E93" s="281">
        <v>2.0</v>
      </c>
      <c r="F93" s="280">
        <v>0.7263888888888883</v>
      </c>
      <c r="G93" s="280">
        <v>0.7347222222222216</v>
      </c>
      <c r="H93" s="281">
        <v>2.0</v>
      </c>
      <c r="I93" s="280">
        <v>0.7361111111111105</v>
      </c>
      <c r="J93" s="280">
        <v>0.7437499999999994</v>
      </c>
      <c r="K93" s="281">
        <v>0.0</v>
      </c>
      <c r="L93" s="280">
        <v>0.7437499999999994</v>
      </c>
      <c r="M93" s="280">
        <v>0.7534722222222215</v>
      </c>
      <c r="N93" s="281">
        <v>5.0</v>
      </c>
      <c r="O93" s="280">
        <v>0.7569444444444438</v>
      </c>
      <c r="P93" s="103">
        <f t="shared" si="15"/>
        <v>51</v>
      </c>
      <c r="Q93" s="103">
        <f t="shared" si="16"/>
        <v>60</v>
      </c>
      <c r="R93" s="103">
        <f t="shared" si="17"/>
        <v>9</v>
      </c>
      <c r="S93" s="104">
        <f t="shared" si="18"/>
        <v>0.1764705882</v>
      </c>
      <c r="T93" s="142">
        <f t="shared" si="19"/>
        <v>60</v>
      </c>
    </row>
    <row r="94" ht="13.5" customHeight="1">
      <c r="A94" s="88"/>
      <c r="B94" s="106" t="s">
        <v>79</v>
      </c>
      <c r="C94" s="280">
        <v>0.7569444444444438</v>
      </c>
      <c r="D94" s="280">
        <v>0.7666666666666659</v>
      </c>
      <c r="E94" s="281">
        <v>2.0</v>
      </c>
      <c r="F94" s="280">
        <v>0.7680555555555548</v>
      </c>
      <c r="G94" s="280">
        <v>0.7763888888888881</v>
      </c>
      <c r="H94" s="281">
        <v>2.0</v>
      </c>
      <c r="I94" s="280">
        <v>0.777777777777777</v>
      </c>
      <c r="J94" s="280">
        <v>0.7854166666666659</v>
      </c>
      <c r="K94" s="281">
        <v>0.0</v>
      </c>
      <c r="L94" s="280">
        <v>0.7854166666666659</v>
      </c>
      <c r="M94" s="280">
        <v>0.7951388888888881</v>
      </c>
      <c r="N94" s="281">
        <v>5.0</v>
      </c>
      <c r="O94" s="280">
        <v>0.7986111111111103</v>
      </c>
      <c r="P94" s="103">
        <f t="shared" si="15"/>
        <v>51</v>
      </c>
      <c r="Q94" s="103">
        <f t="shared" si="16"/>
        <v>60</v>
      </c>
      <c r="R94" s="103">
        <f t="shared" si="17"/>
        <v>9</v>
      </c>
      <c r="S94" s="104">
        <f t="shared" si="18"/>
        <v>0.1764705882</v>
      </c>
      <c r="T94" s="142">
        <f t="shared" si="19"/>
        <v>60</v>
      </c>
    </row>
    <row r="95" ht="13.5" customHeight="1">
      <c r="A95" s="88"/>
      <c r="B95" s="106" t="s">
        <v>79</v>
      </c>
      <c r="C95" s="280">
        <v>0.7986111111111103</v>
      </c>
      <c r="D95" s="280">
        <v>0.8083333333333325</v>
      </c>
      <c r="E95" s="281">
        <v>2.0</v>
      </c>
      <c r="F95" s="280">
        <v>0.8097222222222213</v>
      </c>
      <c r="G95" s="280">
        <v>0.8180555555555546</v>
      </c>
      <c r="H95" s="281">
        <v>2.0</v>
      </c>
      <c r="I95" s="280">
        <v>0.8194444444444435</v>
      </c>
      <c r="J95" s="280">
        <v>0.8270833333333324</v>
      </c>
      <c r="K95" s="281">
        <v>0.0</v>
      </c>
      <c r="L95" s="280">
        <v>0.8270833333333324</v>
      </c>
      <c r="M95" s="280">
        <v>0.8368055555555546</v>
      </c>
      <c r="N95" s="281">
        <v>5.0</v>
      </c>
      <c r="O95" s="280">
        <v>0.8402777777777768</v>
      </c>
      <c r="P95" s="103">
        <f t="shared" si="15"/>
        <v>51</v>
      </c>
      <c r="Q95" s="103">
        <f t="shared" si="16"/>
        <v>60</v>
      </c>
      <c r="R95" s="103">
        <f t="shared" si="17"/>
        <v>9</v>
      </c>
      <c r="S95" s="104">
        <f t="shared" si="18"/>
        <v>0.1764705882</v>
      </c>
      <c r="T95" s="142">
        <f t="shared" si="19"/>
        <v>60</v>
      </c>
    </row>
    <row r="96" ht="13.5" customHeight="1">
      <c r="A96" s="88"/>
      <c r="B96" s="106" t="s">
        <v>79</v>
      </c>
      <c r="C96" s="280">
        <v>0.8402777777777768</v>
      </c>
      <c r="D96" s="280">
        <v>0.849999999999999</v>
      </c>
      <c r="E96" s="281">
        <v>2.0</v>
      </c>
      <c r="F96" s="280">
        <v>0.8513888888888879</v>
      </c>
      <c r="G96" s="280">
        <v>0.8597222222222212</v>
      </c>
      <c r="H96" s="281">
        <v>2.0</v>
      </c>
      <c r="I96" s="280">
        <v>0.86111111111111</v>
      </c>
      <c r="J96" s="280">
        <v>0.8687499999999989</v>
      </c>
      <c r="K96" s="281">
        <v>0.0</v>
      </c>
      <c r="L96" s="280">
        <v>0.8687499999999989</v>
      </c>
      <c r="M96" s="280">
        <v>0.8784722222222211</v>
      </c>
      <c r="N96" s="281">
        <v>5.0</v>
      </c>
      <c r="O96" s="280">
        <v>0.8819444444444433</v>
      </c>
      <c r="P96" s="103">
        <f t="shared" si="15"/>
        <v>51</v>
      </c>
      <c r="Q96" s="103">
        <f t="shared" si="16"/>
        <v>60</v>
      </c>
      <c r="R96" s="103">
        <f t="shared" si="17"/>
        <v>9</v>
      </c>
      <c r="S96" s="104">
        <f t="shared" si="18"/>
        <v>0.1764705882</v>
      </c>
      <c r="T96" s="142">
        <f t="shared" si="19"/>
        <v>60</v>
      </c>
    </row>
    <row r="97" ht="13.5" customHeight="1">
      <c r="A97" s="88"/>
      <c r="B97" s="106" t="s">
        <v>98</v>
      </c>
      <c r="C97" s="280">
        <v>0.8819444444444433</v>
      </c>
      <c r="D97" s="280">
        <v>0.8916666666666655</v>
      </c>
      <c r="E97" s="281">
        <v>2.0</v>
      </c>
      <c r="F97" s="280">
        <v>0.8930555555555544</v>
      </c>
      <c r="G97" s="280">
        <v>0.9013888888888877</v>
      </c>
      <c r="H97" s="281">
        <v>2.0</v>
      </c>
      <c r="I97" s="280">
        <v>0.9027777777777766</v>
      </c>
      <c r="J97" s="280">
        <v>0.9104166666666654</v>
      </c>
      <c r="K97" s="281">
        <v>0.0</v>
      </c>
      <c r="L97" s="280">
        <v>0.9104166666666654</v>
      </c>
      <c r="M97" s="280">
        <v>0.9201388888888876</v>
      </c>
      <c r="N97" s="281">
        <v>5.0</v>
      </c>
      <c r="O97" s="280">
        <v>0.9236111111111098</v>
      </c>
      <c r="P97" s="103">
        <f t="shared" si="15"/>
        <v>51</v>
      </c>
      <c r="Q97" s="103">
        <f t="shared" si="16"/>
        <v>60</v>
      </c>
      <c r="R97" s="103">
        <f t="shared" si="17"/>
        <v>9</v>
      </c>
      <c r="S97" s="104">
        <f t="shared" si="18"/>
        <v>0.1764705882</v>
      </c>
      <c r="T97" s="142">
        <f t="shared" si="19"/>
        <v>60</v>
      </c>
    </row>
    <row r="98" ht="13.5" customHeight="1">
      <c r="A98" s="88"/>
      <c r="B98" s="106" t="s">
        <v>98</v>
      </c>
      <c r="C98" s="280">
        <v>0.9236111111111098</v>
      </c>
      <c r="D98" s="280">
        <v>0.933333333333332</v>
      </c>
      <c r="E98" s="281">
        <v>2.0</v>
      </c>
      <c r="F98" s="280">
        <v>0.9347222222222209</v>
      </c>
      <c r="G98" s="280">
        <v>0.9430555555555542</v>
      </c>
      <c r="H98" s="281">
        <v>2.0</v>
      </c>
      <c r="I98" s="280">
        <v>0.9444444444444431</v>
      </c>
      <c r="J98" s="280">
        <v>0.952083333333332</v>
      </c>
      <c r="K98" s="281">
        <v>0.0</v>
      </c>
      <c r="L98" s="280">
        <v>0.952083333333332</v>
      </c>
      <c r="M98" s="280">
        <v>0.9618055555555541</v>
      </c>
      <c r="N98" s="281">
        <v>0.0</v>
      </c>
      <c r="O98" s="107" t="s">
        <v>80</v>
      </c>
      <c r="P98" s="103">
        <f t="shared" si="15"/>
        <v>51</v>
      </c>
      <c r="Q98" s="103">
        <f>(M98-C98)*1440</f>
        <v>55</v>
      </c>
      <c r="R98" s="103">
        <f t="shared" si="17"/>
        <v>4</v>
      </c>
      <c r="S98" s="104">
        <f t="shared" si="18"/>
        <v>0.07843137255</v>
      </c>
      <c r="T98" s="142">
        <f>(M98-M97)*1440</f>
        <v>60</v>
      </c>
    </row>
    <row r="99" ht="13.5" customHeight="1">
      <c r="A99" s="108"/>
      <c r="B99" s="62"/>
      <c r="Q99" s="112">
        <f>SUM(Q84:Q98)/60</f>
        <v>14.91666667</v>
      </c>
      <c r="R99" s="283"/>
    </row>
    <row r="100" ht="13.5" customHeight="1">
      <c r="B100" s="62"/>
    </row>
    <row r="101" ht="13.5" customHeight="1">
      <c r="B101" s="62"/>
    </row>
    <row r="102" ht="13.5" customHeight="1">
      <c r="B102" s="62"/>
    </row>
    <row r="103" ht="13.5" customHeight="1">
      <c r="B103" s="62"/>
    </row>
    <row r="104" ht="13.5" customHeight="1">
      <c r="B104" s="62"/>
    </row>
    <row r="105" ht="13.5" customHeight="1">
      <c r="B105" s="62"/>
    </row>
    <row r="106" ht="13.5" customHeight="1">
      <c r="B106" s="62"/>
    </row>
    <row r="107" ht="13.5" customHeight="1">
      <c r="B107" s="62"/>
    </row>
    <row r="108" ht="13.5" customHeight="1">
      <c r="B108" s="62"/>
    </row>
    <row r="109" ht="13.5" customHeight="1">
      <c r="B109" s="62"/>
    </row>
    <row r="110" ht="13.5" customHeight="1">
      <c r="B110" s="62"/>
    </row>
    <row r="111" ht="13.5" customHeight="1">
      <c r="B111" s="62"/>
    </row>
    <row r="112" ht="13.5" customHeight="1">
      <c r="B112" s="62"/>
    </row>
    <row r="113" ht="13.5" customHeight="1">
      <c r="B113" s="62"/>
    </row>
    <row r="114" ht="13.5" customHeight="1">
      <c r="B114" s="62"/>
    </row>
    <row r="115" ht="13.5" customHeight="1">
      <c r="B115" s="62"/>
    </row>
    <row r="116" ht="13.5" customHeight="1">
      <c r="B116" s="62"/>
    </row>
    <row r="117" ht="13.5" customHeight="1">
      <c r="B117" s="62"/>
    </row>
    <row r="118" ht="13.5" customHeight="1">
      <c r="B118" s="62"/>
    </row>
    <row r="119" ht="13.5" customHeight="1">
      <c r="B119" s="62"/>
    </row>
    <row r="120" ht="13.5" customHeight="1">
      <c r="B120" s="62"/>
    </row>
    <row r="121" ht="13.5" customHeight="1">
      <c r="B121" s="62"/>
    </row>
    <row r="122" ht="13.5" customHeight="1">
      <c r="B122" s="62"/>
    </row>
    <row r="123" ht="13.5" customHeight="1">
      <c r="B123" s="62"/>
    </row>
    <row r="124" ht="13.5" customHeight="1">
      <c r="B124" s="62"/>
    </row>
    <row r="125" ht="13.5" customHeight="1">
      <c r="B125" s="62"/>
    </row>
    <row r="126" ht="13.5" customHeight="1">
      <c r="B126" s="62"/>
    </row>
    <row r="127" ht="13.5" customHeight="1">
      <c r="B127" s="62"/>
    </row>
    <row r="128" ht="13.5" customHeight="1">
      <c r="B128" s="62"/>
    </row>
    <row r="129" ht="13.5" customHeight="1">
      <c r="B129" s="62"/>
    </row>
    <row r="130" ht="13.5" customHeight="1">
      <c r="B130" s="62"/>
    </row>
    <row r="131" ht="13.5" customHeight="1">
      <c r="B131" s="62"/>
    </row>
    <row r="132" ht="13.5" customHeight="1">
      <c r="B132" s="62"/>
    </row>
    <row r="133" ht="13.5" customHeight="1">
      <c r="B133" s="62"/>
    </row>
    <row r="134" ht="13.5" customHeight="1">
      <c r="B134" s="62"/>
    </row>
    <row r="135" ht="13.5" customHeight="1">
      <c r="B135" s="62"/>
    </row>
    <row r="136" ht="13.5" customHeight="1">
      <c r="B136" s="62"/>
    </row>
    <row r="137" ht="13.5" customHeight="1">
      <c r="B137" s="62"/>
    </row>
    <row r="138" ht="13.5" customHeight="1">
      <c r="B138" s="62"/>
    </row>
    <row r="139" ht="13.5" customHeight="1">
      <c r="B139" s="62"/>
    </row>
    <row r="140" ht="13.5" customHeight="1">
      <c r="B140" s="62"/>
    </row>
    <row r="141" ht="13.5" customHeight="1">
      <c r="B141" s="62"/>
    </row>
    <row r="142" ht="13.5" customHeight="1">
      <c r="B142" s="62"/>
    </row>
    <row r="143" ht="13.5" customHeight="1">
      <c r="B143" s="62"/>
    </row>
    <row r="144" ht="13.5" customHeight="1">
      <c r="B144" s="62"/>
    </row>
    <row r="145" ht="13.5" customHeight="1">
      <c r="B145" s="62"/>
    </row>
    <row r="146" ht="13.5" customHeight="1">
      <c r="B146" s="62"/>
    </row>
    <row r="147" ht="13.5" customHeight="1">
      <c r="B147" s="62"/>
    </row>
    <row r="148" ht="13.5" customHeight="1">
      <c r="B148" s="62"/>
    </row>
    <row r="149" ht="13.5" customHeight="1">
      <c r="B149" s="62"/>
    </row>
    <row r="150" ht="13.5" customHeight="1">
      <c r="B150" s="62"/>
    </row>
    <row r="151" ht="13.5" customHeight="1">
      <c r="B151" s="62"/>
    </row>
    <row r="152" ht="13.5" customHeight="1">
      <c r="B152" s="62"/>
    </row>
    <row r="153" ht="13.5" customHeight="1">
      <c r="B153" s="62"/>
    </row>
    <row r="154" ht="13.5" customHeight="1">
      <c r="B154" s="62"/>
    </row>
    <row r="155" ht="13.5" customHeight="1">
      <c r="B155" s="62"/>
    </row>
    <row r="156" ht="13.5" customHeight="1">
      <c r="B156" s="62"/>
    </row>
    <row r="157" ht="13.5" customHeight="1">
      <c r="B157" s="62"/>
    </row>
    <row r="158" ht="13.5" customHeight="1">
      <c r="B158" s="62"/>
    </row>
    <row r="159" ht="13.5" customHeight="1">
      <c r="B159" s="62"/>
    </row>
    <row r="160" ht="13.5" customHeight="1">
      <c r="B160" s="62"/>
    </row>
    <row r="161" ht="13.5" customHeight="1">
      <c r="B161" s="62"/>
    </row>
    <row r="162" ht="13.5" customHeight="1">
      <c r="B162" s="62"/>
    </row>
    <row r="163" ht="13.5" customHeight="1">
      <c r="B163" s="62"/>
    </row>
    <row r="164" ht="13.5" customHeight="1">
      <c r="B164" s="62"/>
    </row>
    <row r="165" ht="13.5" customHeight="1">
      <c r="B165" s="62"/>
    </row>
    <row r="166" ht="13.5" customHeight="1">
      <c r="B166" s="62"/>
    </row>
    <row r="167" ht="13.5" customHeight="1">
      <c r="B167" s="62"/>
    </row>
    <row r="168" ht="13.5" customHeight="1">
      <c r="B168" s="62"/>
    </row>
    <row r="169" ht="13.5" customHeight="1">
      <c r="B169" s="62"/>
    </row>
    <row r="170" ht="13.5" customHeight="1">
      <c r="B170" s="62"/>
    </row>
    <row r="171" ht="13.5" customHeight="1">
      <c r="B171" s="62"/>
    </row>
    <row r="172" ht="13.5" customHeight="1">
      <c r="B172" s="62"/>
    </row>
    <row r="173" ht="13.5" customHeight="1">
      <c r="B173" s="62"/>
    </row>
    <row r="174" ht="13.5" customHeight="1">
      <c r="B174" s="62"/>
    </row>
    <row r="175" ht="13.5" customHeight="1">
      <c r="B175" s="62"/>
    </row>
    <row r="176" ht="13.5" customHeight="1">
      <c r="B176" s="62"/>
    </row>
    <row r="177" ht="13.5" customHeight="1">
      <c r="B177" s="62"/>
    </row>
    <row r="178" ht="13.5" customHeight="1">
      <c r="B178" s="62"/>
    </row>
    <row r="179" ht="13.5" customHeight="1">
      <c r="B179" s="62"/>
    </row>
    <row r="180" ht="13.5" customHeight="1">
      <c r="B180" s="62"/>
    </row>
    <row r="181" ht="13.5" customHeight="1">
      <c r="B181" s="62"/>
    </row>
    <row r="182" ht="13.5" customHeight="1">
      <c r="B182" s="62"/>
    </row>
    <row r="183" ht="13.5" customHeight="1">
      <c r="B183" s="62"/>
    </row>
    <row r="184" ht="13.5" customHeight="1">
      <c r="B184" s="62"/>
    </row>
    <row r="185" ht="13.5" customHeight="1">
      <c r="B185" s="62"/>
    </row>
    <row r="186" ht="13.5" customHeight="1">
      <c r="B186" s="62"/>
    </row>
    <row r="187" ht="13.5" customHeight="1">
      <c r="B187" s="62"/>
    </row>
    <row r="188" ht="13.5" customHeight="1">
      <c r="B188" s="62"/>
    </row>
    <row r="189" ht="13.5" customHeight="1">
      <c r="B189" s="62"/>
    </row>
    <row r="190" ht="13.5" customHeight="1">
      <c r="B190" s="62"/>
    </row>
    <row r="191" ht="13.5" customHeight="1">
      <c r="B191" s="62"/>
    </row>
    <row r="192" ht="13.5" customHeight="1">
      <c r="B192" s="62"/>
    </row>
    <row r="193" ht="13.5" customHeight="1">
      <c r="B193" s="62"/>
    </row>
    <row r="194" ht="13.5" customHeight="1">
      <c r="B194" s="62"/>
    </row>
    <row r="195" ht="13.5" customHeight="1">
      <c r="B195" s="62"/>
    </row>
    <row r="196" ht="13.5" customHeight="1">
      <c r="B196" s="62"/>
    </row>
    <row r="197" ht="13.5" customHeight="1">
      <c r="B197" s="62"/>
    </row>
    <row r="198" ht="13.5" customHeight="1">
      <c r="B198" s="62"/>
    </row>
    <row r="199" ht="13.5" customHeight="1">
      <c r="B199" s="62"/>
    </row>
    <row r="200" ht="13.5" customHeight="1">
      <c r="B200" s="62"/>
    </row>
    <row r="201" ht="13.5" customHeight="1">
      <c r="B201" s="62"/>
    </row>
    <row r="202" ht="13.5" customHeight="1">
      <c r="B202" s="62"/>
    </row>
    <row r="203" ht="13.5" customHeight="1">
      <c r="B203" s="62"/>
    </row>
    <row r="204" ht="13.5" customHeight="1">
      <c r="B204" s="62"/>
    </row>
    <row r="205" ht="13.5" customHeight="1">
      <c r="B205" s="62"/>
    </row>
    <row r="206" ht="13.5" customHeight="1">
      <c r="B206" s="62"/>
    </row>
    <row r="207" ht="13.5" customHeight="1">
      <c r="B207" s="62"/>
    </row>
    <row r="208" ht="13.5" customHeight="1">
      <c r="B208" s="62"/>
    </row>
    <row r="209" ht="13.5" customHeight="1">
      <c r="B209" s="62"/>
    </row>
    <row r="210" ht="13.5" customHeight="1">
      <c r="B210" s="62"/>
    </row>
    <row r="211" ht="13.5" customHeight="1">
      <c r="B211" s="62"/>
    </row>
    <row r="212" ht="13.5" customHeight="1">
      <c r="B212" s="62"/>
    </row>
    <row r="213" ht="13.5" customHeight="1">
      <c r="B213" s="62"/>
    </row>
    <row r="214" ht="13.5" customHeight="1">
      <c r="B214" s="62"/>
    </row>
    <row r="215" ht="13.5" customHeight="1">
      <c r="B215" s="62"/>
    </row>
    <row r="216" ht="13.5" customHeight="1">
      <c r="B216" s="62"/>
    </row>
    <row r="217" ht="13.5" customHeight="1">
      <c r="B217" s="62"/>
    </row>
    <row r="218" ht="13.5" customHeight="1">
      <c r="B218" s="62"/>
    </row>
    <row r="219" ht="13.5" customHeight="1">
      <c r="B219" s="62"/>
    </row>
    <row r="220" ht="13.5" customHeight="1">
      <c r="B220" s="62"/>
    </row>
    <row r="221" ht="13.5" customHeight="1">
      <c r="B221" s="62"/>
    </row>
    <row r="222" ht="13.5" customHeight="1">
      <c r="B222" s="62"/>
    </row>
    <row r="223" ht="13.5" customHeight="1">
      <c r="B223" s="62"/>
    </row>
    <row r="224" ht="13.5" customHeight="1">
      <c r="B224" s="62"/>
    </row>
    <row r="225" ht="13.5" customHeight="1">
      <c r="B225" s="62"/>
    </row>
    <row r="226" ht="13.5" customHeight="1">
      <c r="B226" s="62"/>
    </row>
    <row r="227" ht="13.5" customHeight="1">
      <c r="B227" s="62"/>
    </row>
    <row r="228" ht="13.5" customHeight="1">
      <c r="B228" s="62"/>
    </row>
    <row r="229" ht="13.5" customHeight="1">
      <c r="B229" s="62"/>
    </row>
    <row r="230" ht="13.5" customHeight="1">
      <c r="B230" s="62"/>
    </row>
    <row r="231" ht="13.5" customHeight="1">
      <c r="B231" s="62"/>
    </row>
    <row r="232" ht="13.5" customHeight="1">
      <c r="B232" s="62"/>
    </row>
    <row r="233" ht="13.5" customHeight="1">
      <c r="B233" s="62"/>
    </row>
    <row r="234" ht="13.5" customHeight="1">
      <c r="B234" s="62"/>
    </row>
    <row r="235" ht="13.5" customHeight="1">
      <c r="B235" s="62"/>
    </row>
    <row r="236" ht="13.5" customHeight="1">
      <c r="B236" s="62"/>
    </row>
    <row r="237" ht="13.5" customHeight="1">
      <c r="B237" s="62"/>
    </row>
    <row r="238" ht="13.5" customHeight="1">
      <c r="B238" s="62"/>
    </row>
    <row r="239" ht="13.5" customHeight="1">
      <c r="B239" s="62"/>
    </row>
    <row r="240" ht="13.5" customHeight="1">
      <c r="B240" s="62"/>
    </row>
    <row r="241" ht="13.5" customHeight="1">
      <c r="B241" s="62"/>
    </row>
    <row r="242" ht="13.5" customHeight="1">
      <c r="B242" s="62"/>
    </row>
    <row r="243" ht="13.5" customHeight="1">
      <c r="B243" s="62"/>
    </row>
    <row r="244" ht="13.5" customHeight="1">
      <c r="B244" s="62"/>
    </row>
    <row r="245" ht="13.5" customHeight="1">
      <c r="B245" s="62"/>
    </row>
    <row r="246" ht="13.5" customHeight="1">
      <c r="B246" s="62"/>
    </row>
    <row r="247" ht="13.5" customHeight="1">
      <c r="B247" s="62"/>
    </row>
    <row r="248" ht="13.5" customHeight="1">
      <c r="B248" s="62"/>
    </row>
    <row r="249" ht="13.5" customHeight="1">
      <c r="B249" s="62"/>
    </row>
    <row r="250" ht="13.5" customHeight="1">
      <c r="B250" s="62"/>
    </row>
    <row r="251" ht="13.5" customHeight="1">
      <c r="B251" s="62"/>
    </row>
    <row r="252" ht="13.5" customHeight="1">
      <c r="B252" s="62"/>
    </row>
    <row r="253" ht="13.5" customHeight="1">
      <c r="B253" s="62"/>
    </row>
    <row r="254" ht="13.5" customHeight="1">
      <c r="B254" s="62"/>
    </row>
    <row r="255" ht="13.5" customHeight="1">
      <c r="B255" s="62"/>
    </row>
    <row r="256" ht="13.5" customHeight="1">
      <c r="B256" s="62"/>
    </row>
    <row r="257" ht="13.5" customHeight="1">
      <c r="B257" s="62"/>
    </row>
    <row r="258" ht="13.5" customHeight="1">
      <c r="B258" s="62"/>
    </row>
    <row r="259" ht="13.5" customHeight="1">
      <c r="B259" s="62"/>
    </row>
    <row r="260" ht="13.5" customHeight="1">
      <c r="B260" s="62"/>
    </row>
    <row r="261" ht="13.5" customHeight="1">
      <c r="B261" s="62"/>
    </row>
    <row r="262" ht="13.5" customHeight="1">
      <c r="B262" s="62"/>
    </row>
    <row r="263" ht="13.5" customHeight="1">
      <c r="B263" s="62"/>
    </row>
    <row r="264" ht="13.5" customHeight="1">
      <c r="B264" s="62"/>
    </row>
    <row r="265" ht="13.5" customHeight="1">
      <c r="B265" s="62"/>
    </row>
    <row r="266" ht="13.5" customHeight="1">
      <c r="B266" s="62"/>
    </row>
    <row r="267" ht="13.5" customHeight="1">
      <c r="B267" s="62"/>
    </row>
    <row r="268" ht="13.5" customHeight="1">
      <c r="B268" s="62"/>
    </row>
    <row r="269" ht="13.5" customHeight="1">
      <c r="B269" s="62"/>
    </row>
    <row r="270" ht="13.5" customHeight="1">
      <c r="B270" s="62"/>
    </row>
    <row r="271" ht="13.5" customHeight="1">
      <c r="B271" s="62"/>
    </row>
    <row r="272" ht="13.5" customHeight="1">
      <c r="B272" s="62"/>
    </row>
    <row r="273" ht="13.5" customHeight="1">
      <c r="B273" s="62"/>
    </row>
    <row r="274" ht="13.5" customHeight="1">
      <c r="B274" s="62"/>
    </row>
    <row r="275" ht="13.5" customHeight="1">
      <c r="B275" s="62"/>
    </row>
    <row r="276" ht="13.5" customHeight="1">
      <c r="B276" s="62"/>
    </row>
    <row r="277" ht="13.5" customHeight="1">
      <c r="B277" s="62"/>
    </row>
    <row r="278" ht="13.5" customHeight="1">
      <c r="B278" s="62"/>
    </row>
    <row r="279" ht="13.5" customHeight="1">
      <c r="B279" s="62"/>
    </row>
    <row r="280" ht="13.5" customHeight="1">
      <c r="B280" s="62"/>
    </row>
    <row r="281" ht="13.5" customHeight="1">
      <c r="B281" s="62"/>
    </row>
    <row r="282" ht="13.5" customHeight="1">
      <c r="B282" s="62"/>
    </row>
    <row r="283" ht="13.5" customHeight="1">
      <c r="B283" s="62"/>
    </row>
    <row r="284" ht="13.5" customHeight="1">
      <c r="B284" s="62"/>
    </row>
    <row r="285" ht="13.5" customHeight="1">
      <c r="B285" s="62"/>
    </row>
    <row r="286" ht="13.5" customHeight="1">
      <c r="B286" s="62"/>
    </row>
    <row r="287" ht="13.5" customHeight="1">
      <c r="B287" s="62"/>
    </row>
    <row r="288" ht="13.5" customHeight="1">
      <c r="B288" s="62"/>
    </row>
    <row r="289" ht="13.5" customHeight="1">
      <c r="B289" s="62"/>
    </row>
    <row r="290" ht="13.5" customHeight="1">
      <c r="B290" s="62"/>
    </row>
    <row r="291" ht="13.5" customHeight="1">
      <c r="B291" s="62"/>
    </row>
    <row r="292" ht="13.5" customHeight="1">
      <c r="B292" s="62"/>
    </row>
    <row r="293" ht="13.5" customHeight="1">
      <c r="B293" s="62"/>
    </row>
    <row r="294" ht="13.5" customHeight="1">
      <c r="B294" s="62"/>
    </row>
    <row r="295" ht="13.5" customHeight="1">
      <c r="B295" s="62"/>
    </row>
    <row r="296" ht="13.5" customHeight="1">
      <c r="B296" s="62"/>
    </row>
    <row r="297" ht="13.5" customHeight="1">
      <c r="B297" s="62"/>
    </row>
    <row r="298" ht="13.5" customHeight="1">
      <c r="B298" s="62"/>
    </row>
    <row r="299" ht="13.5" customHeight="1">
      <c r="B299" s="62"/>
    </row>
    <row r="300" ht="13.5" customHeight="1">
      <c r="B300" s="62"/>
    </row>
    <row r="301" ht="13.5" customHeight="1">
      <c r="B301" s="62"/>
    </row>
    <row r="302" ht="13.5" customHeight="1">
      <c r="B302" s="62"/>
    </row>
    <row r="303" ht="13.5" customHeight="1">
      <c r="B303" s="62"/>
    </row>
    <row r="304" ht="13.5" customHeight="1">
      <c r="B304" s="62"/>
    </row>
    <row r="305" ht="13.5" customHeight="1">
      <c r="B305" s="62"/>
    </row>
    <row r="306" ht="13.5" customHeight="1">
      <c r="B306" s="62"/>
    </row>
    <row r="307" ht="13.5" customHeight="1">
      <c r="B307" s="62"/>
    </row>
    <row r="308" ht="13.5" customHeight="1">
      <c r="B308" s="62"/>
    </row>
    <row r="309" ht="13.5" customHeight="1">
      <c r="B309" s="62"/>
    </row>
    <row r="310" ht="13.5" customHeight="1">
      <c r="B310" s="62"/>
    </row>
    <row r="311" ht="13.5" customHeight="1">
      <c r="B311" s="62"/>
    </row>
    <row r="312" ht="13.5" customHeight="1">
      <c r="B312" s="62"/>
    </row>
    <row r="313" ht="13.5" customHeight="1">
      <c r="B313" s="62"/>
    </row>
    <row r="314" ht="13.5" customHeight="1">
      <c r="B314" s="62"/>
    </row>
    <row r="315" ht="13.5" customHeight="1">
      <c r="B315" s="62"/>
    </row>
    <row r="316" ht="13.5" customHeight="1">
      <c r="B316" s="62"/>
    </row>
    <row r="317" ht="13.5" customHeight="1">
      <c r="B317" s="62"/>
    </row>
    <row r="318" ht="13.5" customHeight="1">
      <c r="B318" s="62"/>
    </row>
    <row r="319" ht="13.5" customHeight="1">
      <c r="B319" s="62"/>
    </row>
    <row r="320" ht="13.5" customHeight="1">
      <c r="B320" s="62"/>
    </row>
    <row r="321" ht="13.5" customHeight="1">
      <c r="B321" s="62"/>
    </row>
    <row r="322" ht="13.5" customHeight="1">
      <c r="B322" s="62"/>
    </row>
    <row r="323" ht="13.5" customHeight="1">
      <c r="B323" s="62"/>
    </row>
    <row r="324" ht="13.5" customHeight="1">
      <c r="B324" s="62"/>
    </row>
    <row r="325" ht="13.5" customHeight="1">
      <c r="B325" s="62"/>
    </row>
    <row r="326" ht="13.5" customHeight="1">
      <c r="B326" s="62"/>
    </row>
    <row r="327" ht="13.5" customHeight="1">
      <c r="B327" s="62"/>
    </row>
    <row r="328" ht="13.5" customHeight="1">
      <c r="B328" s="62"/>
    </row>
    <row r="329" ht="13.5" customHeight="1">
      <c r="B329" s="62"/>
    </row>
    <row r="330" ht="13.5" customHeight="1">
      <c r="B330" s="62"/>
    </row>
    <row r="331" ht="13.5" customHeight="1">
      <c r="B331" s="62"/>
    </row>
    <row r="332" ht="13.5" customHeight="1">
      <c r="B332" s="62"/>
    </row>
    <row r="333" ht="13.5" customHeight="1">
      <c r="B333" s="62"/>
    </row>
    <row r="334" ht="13.5" customHeight="1">
      <c r="B334" s="62"/>
    </row>
    <row r="335" ht="13.5" customHeight="1">
      <c r="B335" s="62"/>
    </row>
    <row r="336" ht="13.5" customHeight="1">
      <c r="B336" s="62"/>
    </row>
    <row r="337" ht="13.5" customHeight="1">
      <c r="B337" s="62"/>
    </row>
    <row r="338" ht="13.5" customHeight="1">
      <c r="B338" s="62"/>
    </row>
    <row r="339" ht="13.5" customHeight="1">
      <c r="B339" s="62"/>
    </row>
    <row r="340" ht="13.5" customHeight="1">
      <c r="B340" s="62"/>
    </row>
    <row r="341" ht="13.5" customHeight="1">
      <c r="B341" s="62"/>
    </row>
    <row r="342" ht="13.5" customHeight="1">
      <c r="B342" s="62"/>
    </row>
    <row r="343" ht="13.5" customHeight="1">
      <c r="B343" s="62"/>
    </row>
    <row r="344" ht="13.5" customHeight="1">
      <c r="B344" s="62"/>
    </row>
    <row r="345" ht="13.5" customHeight="1">
      <c r="B345" s="62"/>
    </row>
    <row r="346" ht="13.5" customHeight="1">
      <c r="B346" s="62"/>
    </row>
    <row r="347" ht="13.5" customHeight="1">
      <c r="B347" s="62"/>
    </row>
    <row r="348" ht="13.5" customHeight="1">
      <c r="B348" s="62"/>
    </row>
    <row r="349" ht="13.5" customHeight="1">
      <c r="B349" s="62"/>
    </row>
    <row r="350" ht="13.5" customHeight="1">
      <c r="B350" s="62"/>
    </row>
    <row r="351" ht="13.5" customHeight="1">
      <c r="B351" s="62"/>
    </row>
    <row r="352" ht="13.5" customHeight="1">
      <c r="B352" s="62"/>
    </row>
    <row r="353" ht="13.5" customHeight="1">
      <c r="B353" s="62"/>
    </row>
    <row r="354" ht="13.5" customHeight="1">
      <c r="B354" s="62"/>
    </row>
    <row r="355" ht="13.5" customHeight="1">
      <c r="B355" s="62"/>
    </row>
    <row r="356" ht="13.5" customHeight="1">
      <c r="B356" s="62"/>
    </row>
    <row r="357" ht="13.5" customHeight="1">
      <c r="B357" s="62"/>
    </row>
    <row r="358" ht="13.5" customHeight="1">
      <c r="B358" s="62"/>
    </row>
    <row r="359" ht="13.5" customHeight="1">
      <c r="B359" s="62"/>
    </row>
    <row r="360" ht="13.5" customHeight="1">
      <c r="B360" s="62"/>
    </row>
    <row r="361" ht="13.5" customHeight="1">
      <c r="B361" s="62"/>
    </row>
    <row r="362" ht="13.5" customHeight="1">
      <c r="B362" s="62"/>
    </row>
    <row r="363" ht="13.5" customHeight="1">
      <c r="B363" s="62"/>
    </row>
    <row r="364" ht="13.5" customHeight="1">
      <c r="B364" s="62"/>
    </row>
    <row r="365" ht="13.5" customHeight="1">
      <c r="B365" s="62"/>
    </row>
    <row r="366" ht="13.5" customHeight="1">
      <c r="B366" s="62"/>
    </row>
    <row r="367" ht="13.5" customHeight="1">
      <c r="B367" s="62"/>
    </row>
    <row r="368" ht="13.5" customHeight="1">
      <c r="B368" s="62"/>
    </row>
    <row r="369" ht="13.5" customHeight="1">
      <c r="B369" s="62"/>
    </row>
    <row r="370" ht="13.5" customHeight="1">
      <c r="B370" s="62"/>
    </row>
    <row r="371" ht="13.5" customHeight="1">
      <c r="B371" s="62"/>
    </row>
    <row r="372" ht="13.5" customHeight="1">
      <c r="B372" s="62"/>
    </row>
    <row r="373" ht="13.5" customHeight="1">
      <c r="B373" s="62"/>
    </row>
    <row r="374" ht="13.5" customHeight="1">
      <c r="B374" s="62"/>
    </row>
    <row r="375" ht="13.5" customHeight="1">
      <c r="B375" s="62"/>
    </row>
    <row r="376" ht="13.5" customHeight="1">
      <c r="B376" s="62"/>
    </row>
    <row r="377" ht="13.5" customHeight="1">
      <c r="B377" s="62"/>
    </row>
    <row r="378" ht="13.5" customHeight="1">
      <c r="B378" s="62"/>
    </row>
    <row r="379" ht="13.5" customHeight="1">
      <c r="B379" s="62"/>
    </row>
    <row r="380" ht="13.5" customHeight="1">
      <c r="B380" s="62"/>
    </row>
    <row r="381" ht="13.5" customHeight="1">
      <c r="B381" s="62"/>
    </row>
    <row r="382" ht="13.5" customHeight="1">
      <c r="B382" s="62"/>
    </row>
    <row r="383" ht="13.5" customHeight="1">
      <c r="B383" s="62"/>
    </row>
    <row r="384" ht="13.5" customHeight="1">
      <c r="B384" s="62"/>
    </row>
    <row r="385" ht="13.5" customHeight="1">
      <c r="B385" s="62"/>
    </row>
    <row r="386" ht="13.5" customHeight="1">
      <c r="B386" s="62"/>
    </row>
    <row r="387" ht="13.5" customHeight="1">
      <c r="B387" s="62"/>
    </row>
    <row r="388" ht="13.5" customHeight="1">
      <c r="B388" s="62"/>
    </row>
    <row r="389" ht="13.5" customHeight="1">
      <c r="B389" s="62"/>
    </row>
    <row r="390" ht="13.5" customHeight="1">
      <c r="B390" s="62"/>
    </row>
    <row r="391" ht="13.5" customHeight="1">
      <c r="B391" s="62"/>
    </row>
    <row r="392" ht="13.5" customHeight="1">
      <c r="B392" s="62"/>
    </row>
    <row r="393" ht="13.5" customHeight="1">
      <c r="B393" s="62"/>
    </row>
    <row r="394" ht="13.5" customHeight="1">
      <c r="B394" s="62"/>
    </row>
    <row r="395" ht="13.5" customHeight="1">
      <c r="B395" s="62"/>
    </row>
    <row r="396" ht="13.5" customHeight="1">
      <c r="B396" s="62"/>
    </row>
    <row r="397" ht="13.5" customHeight="1">
      <c r="B397" s="62"/>
    </row>
    <row r="398" ht="13.5" customHeight="1">
      <c r="B398" s="62"/>
    </row>
    <row r="399" ht="13.5" customHeight="1">
      <c r="B399" s="62"/>
    </row>
    <row r="400" ht="13.5" customHeight="1">
      <c r="B400" s="62"/>
    </row>
    <row r="401" ht="13.5" customHeight="1">
      <c r="B401" s="62"/>
    </row>
    <row r="402" ht="13.5" customHeight="1">
      <c r="B402" s="62"/>
    </row>
    <row r="403" ht="13.5" customHeight="1">
      <c r="B403" s="62"/>
    </row>
    <row r="404" ht="13.5" customHeight="1">
      <c r="B404" s="62"/>
    </row>
    <row r="405" ht="13.5" customHeight="1">
      <c r="B405" s="62"/>
    </row>
    <row r="406" ht="13.5" customHeight="1">
      <c r="B406" s="62"/>
    </row>
    <row r="407" ht="13.5" customHeight="1">
      <c r="B407" s="62"/>
    </row>
    <row r="408" ht="13.5" customHeight="1">
      <c r="B408" s="62"/>
    </row>
    <row r="409" ht="13.5" customHeight="1">
      <c r="B409" s="62"/>
    </row>
    <row r="410" ht="13.5" customHeight="1">
      <c r="B410" s="62"/>
    </row>
    <row r="411" ht="13.5" customHeight="1">
      <c r="B411" s="62"/>
    </row>
    <row r="412" ht="13.5" customHeight="1">
      <c r="B412" s="62"/>
    </row>
    <row r="413" ht="13.5" customHeight="1">
      <c r="B413" s="62"/>
    </row>
    <row r="414" ht="13.5" customHeight="1">
      <c r="B414" s="62"/>
    </row>
    <row r="415" ht="13.5" customHeight="1">
      <c r="B415" s="62"/>
    </row>
    <row r="416" ht="13.5" customHeight="1">
      <c r="B416" s="62"/>
    </row>
    <row r="417" ht="13.5" customHeight="1">
      <c r="B417" s="62"/>
    </row>
    <row r="418" ht="13.5" customHeight="1">
      <c r="B418" s="62"/>
    </row>
    <row r="419" ht="13.5" customHeight="1">
      <c r="B419" s="62"/>
    </row>
    <row r="420" ht="13.5" customHeight="1">
      <c r="B420" s="62"/>
    </row>
    <row r="421" ht="13.5" customHeight="1">
      <c r="B421" s="62"/>
    </row>
    <row r="422" ht="13.5" customHeight="1">
      <c r="B422" s="62"/>
    </row>
    <row r="423" ht="13.5" customHeight="1">
      <c r="B423" s="62"/>
    </row>
    <row r="424" ht="13.5" customHeight="1">
      <c r="B424" s="62"/>
    </row>
    <row r="425" ht="13.5" customHeight="1">
      <c r="B425" s="62"/>
    </row>
    <row r="426" ht="13.5" customHeight="1">
      <c r="B426" s="62"/>
    </row>
    <row r="427" ht="13.5" customHeight="1">
      <c r="B427" s="62"/>
    </row>
    <row r="428" ht="13.5" customHeight="1">
      <c r="B428" s="62"/>
    </row>
    <row r="429" ht="13.5" customHeight="1">
      <c r="B429" s="62"/>
    </row>
    <row r="430" ht="13.5" customHeight="1">
      <c r="B430" s="62"/>
    </row>
    <row r="431" ht="13.5" customHeight="1">
      <c r="B431" s="62"/>
    </row>
    <row r="432" ht="13.5" customHeight="1">
      <c r="B432" s="62"/>
    </row>
    <row r="433" ht="13.5" customHeight="1">
      <c r="B433" s="62"/>
    </row>
    <row r="434" ht="13.5" customHeight="1">
      <c r="B434" s="62"/>
    </row>
    <row r="435" ht="13.5" customHeight="1">
      <c r="B435" s="62"/>
    </row>
    <row r="436" ht="13.5" customHeight="1">
      <c r="B436" s="62"/>
    </row>
    <row r="437" ht="13.5" customHeight="1">
      <c r="B437" s="62"/>
    </row>
    <row r="438" ht="13.5" customHeight="1">
      <c r="B438" s="62"/>
    </row>
    <row r="439" ht="13.5" customHeight="1">
      <c r="B439" s="62"/>
    </row>
    <row r="440" ht="13.5" customHeight="1">
      <c r="B440" s="62"/>
    </row>
    <row r="441" ht="13.5" customHeight="1">
      <c r="B441" s="62"/>
    </row>
    <row r="442" ht="13.5" customHeight="1">
      <c r="B442" s="62"/>
    </row>
    <row r="443" ht="13.5" customHeight="1">
      <c r="B443" s="62"/>
    </row>
    <row r="444" ht="13.5" customHeight="1">
      <c r="B444" s="62"/>
    </row>
    <row r="445" ht="13.5" customHeight="1">
      <c r="B445" s="62"/>
    </row>
    <row r="446" ht="13.5" customHeight="1">
      <c r="B446" s="62"/>
    </row>
    <row r="447" ht="13.5" customHeight="1">
      <c r="B447" s="62"/>
    </row>
    <row r="448" ht="13.5" customHeight="1">
      <c r="B448" s="62"/>
    </row>
    <row r="449" ht="13.5" customHeight="1">
      <c r="B449" s="62"/>
    </row>
    <row r="450" ht="13.5" customHeight="1">
      <c r="B450" s="62"/>
    </row>
    <row r="451" ht="13.5" customHeight="1">
      <c r="B451" s="62"/>
    </row>
    <row r="452" ht="13.5" customHeight="1">
      <c r="B452" s="62"/>
    </row>
    <row r="453" ht="13.5" customHeight="1">
      <c r="B453" s="62"/>
    </row>
    <row r="454" ht="13.5" customHeight="1">
      <c r="B454" s="62"/>
    </row>
    <row r="455" ht="13.5" customHeight="1">
      <c r="B455" s="62"/>
    </row>
    <row r="456" ht="13.5" customHeight="1">
      <c r="B456" s="62"/>
    </row>
    <row r="457" ht="13.5" customHeight="1">
      <c r="B457" s="62"/>
    </row>
    <row r="458" ht="13.5" customHeight="1">
      <c r="B458" s="62"/>
    </row>
    <row r="459" ht="13.5" customHeight="1">
      <c r="B459" s="62"/>
    </row>
    <row r="460" ht="13.5" customHeight="1">
      <c r="B460" s="62"/>
    </row>
    <row r="461" ht="13.5" customHeight="1">
      <c r="B461" s="62"/>
    </row>
    <row r="462" ht="13.5" customHeight="1">
      <c r="B462" s="62"/>
    </row>
    <row r="463" ht="13.5" customHeight="1">
      <c r="B463" s="62"/>
    </row>
    <row r="464" ht="13.5" customHeight="1">
      <c r="B464" s="62"/>
    </row>
    <row r="465" ht="13.5" customHeight="1">
      <c r="B465" s="62"/>
    </row>
    <row r="466" ht="13.5" customHeight="1">
      <c r="B466" s="62"/>
    </row>
    <row r="467" ht="13.5" customHeight="1">
      <c r="B467" s="62"/>
    </row>
    <row r="468" ht="13.5" customHeight="1">
      <c r="B468" s="62"/>
    </row>
    <row r="469" ht="13.5" customHeight="1">
      <c r="B469" s="62"/>
    </row>
    <row r="470" ht="13.5" customHeight="1">
      <c r="B470" s="62"/>
    </row>
    <row r="471" ht="13.5" customHeight="1">
      <c r="B471" s="62"/>
    </row>
    <row r="472" ht="13.5" customHeight="1">
      <c r="B472" s="62"/>
    </row>
    <row r="473" ht="13.5" customHeight="1">
      <c r="B473" s="62"/>
    </row>
    <row r="474" ht="13.5" customHeight="1">
      <c r="B474" s="62"/>
    </row>
    <row r="475" ht="13.5" customHeight="1">
      <c r="B475" s="62"/>
    </row>
    <row r="476" ht="13.5" customHeight="1">
      <c r="B476" s="62"/>
    </row>
    <row r="477" ht="13.5" customHeight="1">
      <c r="B477" s="62"/>
    </row>
    <row r="478" ht="13.5" customHeight="1">
      <c r="B478" s="62"/>
    </row>
    <row r="479" ht="13.5" customHeight="1">
      <c r="B479" s="62"/>
    </row>
    <row r="480" ht="13.5" customHeight="1">
      <c r="B480" s="62"/>
    </row>
    <row r="481" ht="13.5" customHeight="1">
      <c r="B481" s="62"/>
    </row>
    <row r="482" ht="13.5" customHeight="1">
      <c r="B482" s="62"/>
    </row>
    <row r="483" ht="13.5" customHeight="1">
      <c r="B483" s="62"/>
    </row>
    <row r="484" ht="13.5" customHeight="1">
      <c r="B484" s="62"/>
    </row>
    <row r="485" ht="13.5" customHeight="1">
      <c r="B485" s="62"/>
    </row>
    <row r="486" ht="13.5" customHeight="1">
      <c r="B486" s="62"/>
    </row>
    <row r="487" ht="13.5" customHeight="1">
      <c r="B487" s="62"/>
    </row>
    <row r="488" ht="13.5" customHeight="1">
      <c r="B488" s="62"/>
    </row>
    <row r="489" ht="13.5" customHeight="1">
      <c r="B489" s="62"/>
    </row>
    <row r="490" ht="13.5" customHeight="1">
      <c r="B490" s="62"/>
    </row>
    <row r="491" ht="13.5" customHeight="1">
      <c r="B491" s="62"/>
    </row>
    <row r="492" ht="13.5" customHeight="1">
      <c r="B492" s="62"/>
    </row>
    <row r="493" ht="13.5" customHeight="1">
      <c r="B493" s="62"/>
    </row>
    <row r="494" ht="13.5" customHeight="1">
      <c r="B494" s="62"/>
    </row>
    <row r="495" ht="13.5" customHeight="1">
      <c r="B495" s="62"/>
    </row>
    <row r="496" ht="13.5" customHeight="1">
      <c r="B496" s="62"/>
    </row>
    <row r="497" ht="13.5" customHeight="1">
      <c r="B497" s="62"/>
    </row>
    <row r="498" ht="13.5" customHeight="1">
      <c r="B498" s="62"/>
    </row>
    <row r="499" ht="13.5" customHeight="1">
      <c r="B499" s="62"/>
    </row>
    <row r="500" ht="13.5" customHeight="1">
      <c r="B500" s="62"/>
    </row>
    <row r="501" ht="13.5" customHeight="1">
      <c r="B501" s="62"/>
    </row>
    <row r="502" ht="13.5" customHeight="1">
      <c r="B502" s="62"/>
    </row>
    <row r="503" ht="13.5" customHeight="1">
      <c r="B503" s="62"/>
    </row>
    <row r="504" ht="13.5" customHeight="1">
      <c r="B504" s="62"/>
    </row>
    <row r="505" ht="13.5" customHeight="1">
      <c r="B505" s="62"/>
    </row>
    <row r="506" ht="13.5" customHeight="1">
      <c r="B506" s="62"/>
    </row>
    <row r="507" ht="13.5" customHeight="1">
      <c r="B507" s="62"/>
    </row>
    <row r="508" ht="13.5" customHeight="1">
      <c r="B508" s="62"/>
    </row>
    <row r="509" ht="13.5" customHeight="1">
      <c r="B509" s="62"/>
    </row>
    <row r="510" ht="13.5" customHeight="1">
      <c r="B510" s="62"/>
    </row>
    <row r="511" ht="13.5" customHeight="1">
      <c r="B511" s="62"/>
    </row>
    <row r="512" ht="13.5" customHeight="1">
      <c r="B512" s="62"/>
    </row>
    <row r="513" ht="13.5" customHeight="1">
      <c r="B513" s="62"/>
    </row>
    <row r="514" ht="13.5" customHeight="1">
      <c r="B514" s="62"/>
    </row>
    <row r="515" ht="13.5" customHeight="1">
      <c r="B515" s="62"/>
    </row>
    <row r="516" ht="13.5" customHeight="1">
      <c r="B516" s="62"/>
    </row>
    <row r="517" ht="13.5" customHeight="1">
      <c r="B517" s="62"/>
    </row>
    <row r="518" ht="13.5" customHeight="1">
      <c r="B518" s="62"/>
    </row>
    <row r="519" ht="13.5" customHeight="1">
      <c r="B519" s="62"/>
    </row>
    <row r="520" ht="13.5" customHeight="1">
      <c r="B520" s="62"/>
    </row>
    <row r="521" ht="13.5" customHeight="1">
      <c r="B521" s="62"/>
    </row>
    <row r="522" ht="13.5" customHeight="1">
      <c r="B522" s="62"/>
    </row>
    <row r="523" ht="13.5" customHeight="1">
      <c r="B523" s="62"/>
    </row>
    <row r="524" ht="13.5" customHeight="1">
      <c r="B524" s="62"/>
    </row>
    <row r="525" ht="13.5" customHeight="1">
      <c r="B525" s="62"/>
    </row>
    <row r="526" ht="13.5" customHeight="1">
      <c r="B526" s="62"/>
    </row>
    <row r="527" ht="13.5" customHeight="1">
      <c r="B527" s="62"/>
    </row>
    <row r="528" ht="13.5" customHeight="1">
      <c r="B528" s="62"/>
    </row>
    <row r="529" ht="13.5" customHeight="1">
      <c r="B529" s="62"/>
    </row>
    <row r="530" ht="13.5" customHeight="1">
      <c r="B530" s="62"/>
    </row>
    <row r="531" ht="13.5" customHeight="1">
      <c r="B531" s="62"/>
    </row>
    <row r="532" ht="13.5" customHeight="1">
      <c r="B532" s="62"/>
    </row>
    <row r="533" ht="13.5" customHeight="1">
      <c r="B533" s="62"/>
    </row>
    <row r="534" ht="13.5" customHeight="1">
      <c r="B534" s="62"/>
    </row>
    <row r="535" ht="13.5" customHeight="1">
      <c r="B535" s="62"/>
    </row>
    <row r="536" ht="13.5" customHeight="1">
      <c r="B536" s="62"/>
    </row>
    <row r="537" ht="13.5" customHeight="1">
      <c r="B537" s="62"/>
    </row>
    <row r="538" ht="13.5" customHeight="1">
      <c r="B538" s="62"/>
    </row>
    <row r="539" ht="13.5" customHeight="1">
      <c r="B539" s="62"/>
    </row>
    <row r="540" ht="13.5" customHeight="1">
      <c r="B540" s="62"/>
    </row>
    <row r="541" ht="13.5" customHeight="1">
      <c r="B541" s="62"/>
    </row>
    <row r="542" ht="13.5" customHeight="1">
      <c r="B542" s="62"/>
    </row>
    <row r="543" ht="13.5" customHeight="1">
      <c r="B543" s="62"/>
    </row>
    <row r="544" ht="13.5" customHeight="1">
      <c r="B544" s="62"/>
    </row>
    <row r="545" ht="13.5" customHeight="1">
      <c r="B545" s="62"/>
    </row>
    <row r="546" ht="13.5" customHeight="1">
      <c r="B546" s="62"/>
    </row>
    <row r="547" ht="13.5" customHeight="1">
      <c r="B547" s="62"/>
    </row>
    <row r="548" ht="13.5" customHeight="1">
      <c r="B548" s="62"/>
    </row>
    <row r="549" ht="13.5" customHeight="1">
      <c r="B549" s="62"/>
    </row>
    <row r="550" ht="13.5" customHeight="1">
      <c r="B550" s="62"/>
    </row>
    <row r="551" ht="13.5" customHeight="1">
      <c r="B551" s="62"/>
    </row>
    <row r="552" ht="13.5" customHeight="1">
      <c r="B552" s="62"/>
    </row>
    <row r="553" ht="13.5" customHeight="1">
      <c r="B553" s="62"/>
    </row>
    <row r="554" ht="13.5" customHeight="1">
      <c r="B554" s="62"/>
    </row>
    <row r="555" ht="13.5" customHeight="1">
      <c r="B555" s="62"/>
    </row>
    <row r="556" ht="13.5" customHeight="1">
      <c r="B556" s="62"/>
    </row>
    <row r="557" ht="13.5" customHeight="1">
      <c r="B557" s="62"/>
    </row>
    <row r="558" ht="13.5" customHeight="1">
      <c r="B558" s="62"/>
    </row>
    <row r="559" ht="13.5" customHeight="1">
      <c r="B559" s="62"/>
    </row>
    <row r="560" ht="13.5" customHeight="1">
      <c r="B560" s="62"/>
    </row>
    <row r="561" ht="13.5" customHeight="1">
      <c r="B561" s="62"/>
    </row>
    <row r="562" ht="13.5" customHeight="1">
      <c r="B562" s="62"/>
    </row>
    <row r="563" ht="13.5" customHeight="1">
      <c r="B563" s="62"/>
    </row>
    <row r="564" ht="13.5" customHeight="1">
      <c r="B564" s="62"/>
    </row>
    <row r="565" ht="13.5" customHeight="1">
      <c r="B565" s="62"/>
    </row>
    <row r="566" ht="13.5" customHeight="1">
      <c r="B566" s="62"/>
    </row>
    <row r="567" ht="13.5" customHeight="1">
      <c r="B567" s="62"/>
    </row>
    <row r="568" ht="13.5" customHeight="1">
      <c r="B568" s="62"/>
    </row>
    <row r="569" ht="13.5" customHeight="1">
      <c r="B569" s="62"/>
    </row>
    <row r="570" ht="13.5" customHeight="1">
      <c r="B570" s="62"/>
    </row>
    <row r="571" ht="13.5" customHeight="1">
      <c r="B571" s="62"/>
    </row>
    <row r="572" ht="13.5" customHeight="1">
      <c r="B572" s="62"/>
    </row>
    <row r="573" ht="13.5" customHeight="1">
      <c r="B573" s="62"/>
    </row>
    <row r="574" ht="13.5" customHeight="1">
      <c r="B574" s="62"/>
    </row>
    <row r="575" ht="13.5" customHeight="1">
      <c r="B575" s="62"/>
    </row>
    <row r="576" ht="13.5" customHeight="1">
      <c r="B576" s="62"/>
    </row>
    <row r="577" ht="13.5" customHeight="1">
      <c r="B577" s="62"/>
    </row>
    <row r="578" ht="13.5" customHeight="1">
      <c r="B578" s="62"/>
    </row>
    <row r="579" ht="13.5" customHeight="1">
      <c r="B579" s="62"/>
    </row>
    <row r="580" ht="13.5" customHeight="1">
      <c r="B580" s="62"/>
    </row>
    <row r="581" ht="13.5" customHeight="1">
      <c r="B581" s="62"/>
    </row>
    <row r="582" ht="13.5" customHeight="1">
      <c r="B582" s="62"/>
    </row>
    <row r="583" ht="13.5" customHeight="1">
      <c r="B583" s="62"/>
    </row>
    <row r="584" ht="13.5" customHeight="1">
      <c r="B584" s="62"/>
    </row>
    <row r="585" ht="13.5" customHeight="1">
      <c r="B585" s="62"/>
    </row>
    <row r="586" ht="13.5" customHeight="1">
      <c r="B586" s="62"/>
    </row>
    <row r="587" ht="13.5" customHeight="1">
      <c r="B587" s="62"/>
    </row>
    <row r="588" ht="13.5" customHeight="1">
      <c r="B588" s="62"/>
    </row>
    <row r="589" ht="13.5" customHeight="1">
      <c r="B589" s="62"/>
    </row>
    <row r="590" ht="13.5" customHeight="1">
      <c r="B590" s="62"/>
    </row>
    <row r="591" ht="13.5" customHeight="1">
      <c r="B591" s="62"/>
    </row>
    <row r="592" ht="13.5" customHeight="1">
      <c r="B592" s="62"/>
    </row>
    <row r="593" ht="13.5" customHeight="1">
      <c r="B593" s="62"/>
    </row>
    <row r="594" ht="13.5" customHeight="1">
      <c r="B594" s="62"/>
    </row>
    <row r="595" ht="13.5" customHeight="1">
      <c r="B595" s="62"/>
    </row>
    <row r="596" ht="13.5" customHeight="1">
      <c r="B596" s="62"/>
    </row>
    <row r="597" ht="13.5" customHeight="1">
      <c r="B597" s="62"/>
    </row>
    <row r="598" ht="13.5" customHeight="1">
      <c r="B598" s="62"/>
    </row>
    <row r="599" ht="13.5" customHeight="1">
      <c r="B599" s="62"/>
    </row>
    <row r="600" ht="13.5" customHeight="1">
      <c r="B600" s="62"/>
    </row>
    <row r="601" ht="13.5" customHeight="1">
      <c r="B601" s="62"/>
    </row>
    <row r="602" ht="13.5" customHeight="1">
      <c r="B602" s="62"/>
    </row>
    <row r="603" ht="13.5" customHeight="1">
      <c r="B603" s="62"/>
    </row>
    <row r="604" ht="13.5" customHeight="1">
      <c r="B604" s="62"/>
    </row>
    <row r="605" ht="13.5" customHeight="1">
      <c r="B605" s="62"/>
    </row>
    <row r="606" ht="13.5" customHeight="1">
      <c r="B606" s="62"/>
    </row>
    <row r="607" ht="13.5" customHeight="1">
      <c r="B607" s="62"/>
    </row>
    <row r="608" ht="13.5" customHeight="1">
      <c r="B608" s="62"/>
    </row>
    <row r="609" ht="13.5" customHeight="1">
      <c r="B609" s="62"/>
    </row>
    <row r="610" ht="13.5" customHeight="1">
      <c r="B610" s="62"/>
    </row>
    <row r="611" ht="13.5" customHeight="1">
      <c r="B611" s="62"/>
    </row>
    <row r="612" ht="13.5" customHeight="1">
      <c r="B612" s="62"/>
    </row>
    <row r="613" ht="13.5" customHeight="1">
      <c r="B613" s="62"/>
    </row>
    <row r="614" ht="13.5" customHeight="1">
      <c r="B614" s="62"/>
    </row>
    <row r="615" ht="13.5" customHeight="1">
      <c r="B615" s="62"/>
    </row>
    <row r="616" ht="13.5" customHeight="1">
      <c r="B616" s="62"/>
    </row>
    <row r="617" ht="13.5" customHeight="1">
      <c r="B617" s="62"/>
    </row>
    <row r="618" ht="13.5" customHeight="1">
      <c r="B618" s="62"/>
    </row>
    <row r="619" ht="13.5" customHeight="1">
      <c r="B619" s="62"/>
    </row>
    <row r="620" ht="13.5" customHeight="1">
      <c r="B620" s="62"/>
    </row>
    <row r="621" ht="13.5" customHeight="1">
      <c r="B621" s="62"/>
    </row>
    <row r="622" ht="13.5" customHeight="1">
      <c r="B622" s="62"/>
    </row>
    <row r="623" ht="13.5" customHeight="1">
      <c r="B623" s="62"/>
    </row>
    <row r="624" ht="13.5" customHeight="1">
      <c r="B624" s="62"/>
    </row>
    <row r="625" ht="13.5" customHeight="1">
      <c r="B625" s="62"/>
    </row>
    <row r="626" ht="13.5" customHeight="1">
      <c r="B626" s="62"/>
    </row>
    <row r="627" ht="13.5" customHeight="1">
      <c r="B627" s="62"/>
    </row>
    <row r="628" ht="13.5" customHeight="1">
      <c r="B628" s="62"/>
    </row>
    <row r="629" ht="13.5" customHeight="1">
      <c r="B629" s="62"/>
    </row>
    <row r="630" ht="13.5" customHeight="1">
      <c r="B630" s="62"/>
    </row>
    <row r="631" ht="13.5" customHeight="1">
      <c r="B631" s="62"/>
    </row>
    <row r="632" ht="13.5" customHeight="1">
      <c r="B632" s="62"/>
    </row>
    <row r="633" ht="13.5" customHeight="1">
      <c r="B633" s="62"/>
    </row>
    <row r="634" ht="13.5" customHeight="1">
      <c r="B634" s="62"/>
    </row>
    <row r="635" ht="13.5" customHeight="1">
      <c r="B635" s="62"/>
    </row>
    <row r="636" ht="13.5" customHeight="1">
      <c r="B636" s="62"/>
    </row>
    <row r="637" ht="13.5" customHeight="1">
      <c r="B637" s="62"/>
    </row>
    <row r="638" ht="13.5" customHeight="1">
      <c r="B638" s="62"/>
    </row>
    <row r="639" ht="13.5" customHeight="1">
      <c r="B639" s="62"/>
    </row>
    <row r="640" ht="13.5" customHeight="1">
      <c r="B640" s="62"/>
    </row>
    <row r="641" ht="13.5" customHeight="1">
      <c r="B641" s="62"/>
    </row>
    <row r="642" ht="13.5" customHeight="1">
      <c r="B642" s="62"/>
    </row>
    <row r="643" ht="13.5" customHeight="1">
      <c r="B643" s="62"/>
    </row>
    <row r="644" ht="13.5" customHeight="1">
      <c r="B644" s="62"/>
    </row>
    <row r="645" ht="13.5" customHeight="1">
      <c r="B645" s="62"/>
    </row>
    <row r="646" ht="13.5" customHeight="1">
      <c r="B646" s="62"/>
    </row>
    <row r="647" ht="13.5" customHeight="1">
      <c r="B647" s="62"/>
    </row>
    <row r="648" ht="13.5" customHeight="1">
      <c r="B648" s="62"/>
    </row>
    <row r="649" ht="13.5" customHeight="1">
      <c r="B649" s="62"/>
    </row>
    <row r="650" ht="13.5" customHeight="1">
      <c r="B650" s="62"/>
    </row>
    <row r="651" ht="13.5" customHeight="1">
      <c r="B651" s="62"/>
    </row>
    <row r="652" ht="13.5" customHeight="1">
      <c r="B652" s="62"/>
    </row>
    <row r="653" ht="13.5" customHeight="1">
      <c r="B653" s="62"/>
    </row>
    <row r="654" ht="13.5" customHeight="1">
      <c r="B654" s="62"/>
    </row>
    <row r="655" ht="13.5" customHeight="1">
      <c r="B655" s="62"/>
    </row>
    <row r="656" ht="13.5" customHeight="1">
      <c r="B656" s="62"/>
    </row>
    <row r="657" ht="13.5" customHeight="1">
      <c r="B657" s="62"/>
    </row>
    <row r="658" ht="13.5" customHeight="1">
      <c r="B658" s="62"/>
    </row>
    <row r="659" ht="13.5" customHeight="1">
      <c r="B659" s="62"/>
    </row>
    <row r="660" ht="13.5" customHeight="1">
      <c r="B660" s="62"/>
    </row>
    <row r="661" ht="13.5" customHeight="1">
      <c r="B661" s="62"/>
    </row>
    <row r="662" ht="13.5" customHeight="1">
      <c r="B662" s="62"/>
    </row>
    <row r="663" ht="13.5" customHeight="1">
      <c r="B663" s="62"/>
    </row>
    <row r="664" ht="13.5" customHeight="1">
      <c r="B664" s="62"/>
    </row>
    <row r="665" ht="13.5" customHeight="1">
      <c r="B665" s="62"/>
    </row>
    <row r="666" ht="13.5" customHeight="1">
      <c r="B666" s="62"/>
    </row>
    <row r="667" ht="13.5" customHeight="1">
      <c r="B667" s="62"/>
    </row>
    <row r="668" ht="13.5" customHeight="1">
      <c r="B668" s="62"/>
    </row>
    <row r="669" ht="13.5" customHeight="1">
      <c r="B669" s="62"/>
    </row>
    <row r="670" ht="13.5" customHeight="1">
      <c r="B670" s="62"/>
    </row>
    <row r="671" ht="13.5" customHeight="1">
      <c r="B671" s="62"/>
    </row>
    <row r="672" ht="13.5" customHeight="1">
      <c r="B672" s="62"/>
    </row>
    <row r="673" ht="13.5" customHeight="1">
      <c r="B673" s="62"/>
    </row>
    <row r="674" ht="13.5" customHeight="1">
      <c r="B674" s="62"/>
    </row>
    <row r="675" ht="13.5" customHeight="1">
      <c r="B675" s="62"/>
    </row>
    <row r="676" ht="13.5" customHeight="1">
      <c r="B676" s="62"/>
    </row>
    <row r="677" ht="13.5" customHeight="1">
      <c r="B677" s="62"/>
    </row>
    <row r="678" ht="13.5" customHeight="1">
      <c r="B678" s="62"/>
    </row>
    <row r="679" ht="13.5" customHeight="1">
      <c r="B679" s="62"/>
    </row>
    <row r="680" ht="13.5" customHeight="1">
      <c r="B680" s="62"/>
    </row>
    <row r="681" ht="13.5" customHeight="1">
      <c r="B681" s="62"/>
    </row>
    <row r="682" ht="13.5" customHeight="1">
      <c r="B682" s="62"/>
    </row>
    <row r="683" ht="13.5" customHeight="1">
      <c r="B683" s="62"/>
    </row>
    <row r="684" ht="13.5" customHeight="1">
      <c r="B684" s="62"/>
    </row>
    <row r="685" ht="13.5" customHeight="1">
      <c r="B685" s="62"/>
    </row>
    <row r="686" ht="13.5" customHeight="1">
      <c r="B686" s="62"/>
    </row>
    <row r="687" ht="13.5" customHeight="1">
      <c r="B687" s="62"/>
    </row>
    <row r="688" ht="13.5" customHeight="1">
      <c r="B688" s="62"/>
    </row>
    <row r="689" ht="13.5" customHeight="1">
      <c r="B689" s="62"/>
    </row>
    <row r="690" ht="13.5" customHeight="1">
      <c r="B690" s="62"/>
    </row>
    <row r="691" ht="13.5" customHeight="1">
      <c r="B691" s="62"/>
    </row>
    <row r="692" ht="13.5" customHeight="1">
      <c r="B692" s="62"/>
    </row>
    <row r="693" ht="13.5" customHeight="1">
      <c r="B693" s="62"/>
    </row>
    <row r="694" ht="13.5" customHeight="1">
      <c r="B694" s="62"/>
    </row>
    <row r="695" ht="13.5" customHeight="1">
      <c r="B695" s="62"/>
    </row>
    <row r="696" ht="13.5" customHeight="1">
      <c r="B696" s="62"/>
    </row>
    <row r="697" ht="13.5" customHeight="1">
      <c r="B697" s="62"/>
    </row>
    <row r="698" ht="13.5" customHeight="1">
      <c r="B698" s="62"/>
    </row>
    <row r="699" ht="13.5" customHeight="1">
      <c r="B699" s="62"/>
    </row>
    <row r="700" ht="13.5" customHeight="1">
      <c r="B700" s="62"/>
    </row>
    <row r="701" ht="13.5" customHeight="1">
      <c r="B701" s="62"/>
    </row>
    <row r="702" ht="13.5" customHeight="1">
      <c r="B702" s="62"/>
    </row>
    <row r="703" ht="13.5" customHeight="1">
      <c r="B703" s="62"/>
    </row>
    <row r="704" ht="13.5" customHeight="1">
      <c r="B704" s="62"/>
    </row>
    <row r="705" ht="13.5" customHeight="1">
      <c r="B705" s="62"/>
    </row>
    <row r="706" ht="13.5" customHeight="1">
      <c r="B706" s="62"/>
    </row>
    <row r="707" ht="13.5" customHeight="1">
      <c r="B707" s="62"/>
    </row>
    <row r="708" ht="13.5" customHeight="1">
      <c r="B708" s="62"/>
    </row>
    <row r="709" ht="13.5" customHeight="1">
      <c r="B709" s="62"/>
    </row>
    <row r="710" ht="13.5" customHeight="1">
      <c r="B710" s="62"/>
    </row>
    <row r="711" ht="13.5" customHeight="1">
      <c r="B711" s="62"/>
    </row>
    <row r="712" ht="13.5" customHeight="1">
      <c r="B712" s="62"/>
    </row>
    <row r="713" ht="13.5" customHeight="1">
      <c r="B713" s="62"/>
    </row>
    <row r="714" ht="13.5" customHeight="1">
      <c r="B714" s="62"/>
    </row>
    <row r="715" ht="13.5" customHeight="1">
      <c r="B715" s="62"/>
    </row>
    <row r="716" ht="13.5" customHeight="1">
      <c r="B716" s="62"/>
    </row>
    <row r="717" ht="13.5" customHeight="1">
      <c r="B717" s="62"/>
    </row>
    <row r="718" ht="13.5" customHeight="1">
      <c r="B718" s="62"/>
    </row>
    <row r="719" ht="13.5" customHeight="1">
      <c r="B719" s="62"/>
    </row>
    <row r="720" ht="13.5" customHeight="1">
      <c r="B720" s="62"/>
    </row>
    <row r="721" ht="13.5" customHeight="1">
      <c r="B721" s="62"/>
    </row>
    <row r="722" ht="13.5" customHeight="1">
      <c r="B722" s="62"/>
    </row>
    <row r="723" ht="13.5" customHeight="1">
      <c r="B723" s="62"/>
    </row>
    <row r="724" ht="13.5" customHeight="1">
      <c r="B724" s="62"/>
    </row>
    <row r="725" ht="13.5" customHeight="1">
      <c r="B725" s="62"/>
    </row>
    <row r="726" ht="13.5" customHeight="1">
      <c r="B726" s="62"/>
    </row>
    <row r="727" ht="13.5" customHeight="1">
      <c r="B727" s="62"/>
    </row>
    <row r="728" ht="13.5" customHeight="1">
      <c r="B728" s="62"/>
    </row>
    <row r="729" ht="13.5" customHeight="1">
      <c r="B729" s="62"/>
    </row>
    <row r="730" ht="13.5" customHeight="1">
      <c r="B730" s="62"/>
    </row>
    <row r="731" ht="13.5" customHeight="1">
      <c r="B731" s="62"/>
    </row>
    <row r="732" ht="13.5" customHeight="1">
      <c r="B732" s="62"/>
    </row>
    <row r="733" ht="13.5" customHeight="1">
      <c r="B733" s="62"/>
    </row>
    <row r="734" ht="13.5" customHeight="1">
      <c r="B734" s="62"/>
    </row>
    <row r="735" ht="13.5" customHeight="1">
      <c r="B735" s="62"/>
    </row>
    <row r="736" ht="13.5" customHeight="1">
      <c r="B736" s="62"/>
    </row>
    <row r="737" ht="13.5" customHeight="1">
      <c r="B737" s="62"/>
    </row>
    <row r="738" ht="13.5" customHeight="1">
      <c r="B738" s="62"/>
    </row>
    <row r="739" ht="13.5" customHeight="1">
      <c r="B739" s="62"/>
    </row>
    <row r="740" ht="13.5" customHeight="1">
      <c r="B740" s="62"/>
    </row>
    <row r="741" ht="13.5" customHeight="1">
      <c r="B741" s="62"/>
    </row>
    <row r="742" ht="13.5" customHeight="1">
      <c r="B742" s="62"/>
    </row>
    <row r="743" ht="13.5" customHeight="1">
      <c r="B743" s="62"/>
    </row>
    <row r="744" ht="13.5" customHeight="1">
      <c r="B744" s="62"/>
    </row>
    <row r="745" ht="13.5" customHeight="1">
      <c r="B745" s="62"/>
    </row>
    <row r="746" ht="13.5" customHeight="1">
      <c r="B746" s="62"/>
    </row>
    <row r="747" ht="13.5" customHeight="1">
      <c r="B747" s="62"/>
    </row>
    <row r="748" ht="13.5" customHeight="1">
      <c r="B748" s="62"/>
    </row>
    <row r="749" ht="13.5" customHeight="1">
      <c r="B749" s="62"/>
    </row>
    <row r="750" ht="13.5" customHeight="1">
      <c r="B750" s="62"/>
    </row>
    <row r="751" ht="13.5" customHeight="1">
      <c r="B751" s="62"/>
    </row>
    <row r="752" ht="13.5" customHeight="1">
      <c r="B752" s="62"/>
    </row>
    <row r="753" ht="13.5" customHeight="1">
      <c r="B753" s="62"/>
    </row>
    <row r="754" ht="13.5" customHeight="1">
      <c r="B754" s="62"/>
    </row>
    <row r="755" ht="13.5" customHeight="1">
      <c r="B755" s="62"/>
    </row>
    <row r="756" ht="13.5" customHeight="1">
      <c r="B756" s="62"/>
    </row>
    <row r="757" ht="13.5" customHeight="1">
      <c r="B757" s="62"/>
    </row>
    <row r="758" ht="13.5" customHeight="1">
      <c r="B758" s="62"/>
    </row>
    <row r="759" ht="13.5" customHeight="1">
      <c r="B759" s="62"/>
    </row>
    <row r="760" ht="13.5" customHeight="1">
      <c r="B760" s="62"/>
    </row>
    <row r="761" ht="13.5" customHeight="1">
      <c r="B761" s="62"/>
    </row>
    <row r="762" ht="13.5" customHeight="1">
      <c r="B762" s="62"/>
    </row>
    <row r="763" ht="13.5" customHeight="1">
      <c r="B763" s="62"/>
    </row>
    <row r="764" ht="13.5" customHeight="1">
      <c r="B764" s="62"/>
    </row>
    <row r="765" ht="13.5" customHeight="1">
      <c r="B765" s="62"/>
    </row>
    <row r="766" ht="13.5" customHeight="1">
      <c r="B766" s="62"/>
    </row>
    <row r="767" ht="13.5" customHeight="1">
      <c r="B767" s="62"/>
    </row>
    <row r="768" ht="13.5" customHeight="1">
      <c r="B768" s="62"/>
    </row>
    <row r="769" ht="13.5" customHeight="1">
      <c r="B769" s="62"/>
    </row>
    <row r="770" ht="13.5" customHeight="1">
      <c r="B770" s="62"/>
    </row>
    <row r="771" ht="13.5" customHeight="1">
      <c r="B771" s="62"/>
    </row>
    <row r="772" ht="13.5" customHeight="1">
      <c r="B772" s="62"/>
    </row>
    <row r="773" ht="13.5" customHeight="1">
      <c r="B773" s="62"/>
    </row>
    <row r="774" ht="13.5" customHeight="1">
      <c r="B774" s="62"/>
    </row>
    <row r="775" ht="13.5" customHeight="1">
      <c r="B775" s="62"/>
    </row>
    <row r="776" ht="13.5" customHeight="1">
      <c r="B776" s="62"/>
    </row>
    <row r="777" ht="13.5" customHeight="1">
      <c r="B777" s="62"/>
    </row>
    <row r="778" ht="13.5" customHeight="1">
      <c r="B778" s="62"/>
    </row>
    <row r="779" ht="13.5" customHeight="1">
      <c r="B779" s="62"/>
    </row>
    <row r="780" ht="13.5" customHeight="1">
      <c r="B780" s="62"/>
    </row>
    <row r="781" ht="13.5" customHeight="1">
      <c r="B781" s="62"/>
    </row>
    <row r="782" ht="13.5" customHeight="1">
      <c r="B782" s="62"/>
    </row>
    <row r="783" ht="13.5" customHeight="1">
      <c r="B783" s="62"/>
    </row>
    <row r="784" ht="13.5" customHeight="1">
      <c r="B784" s="62"/>
    </row>
    <row r="785" ht="13.5" customHeight="1">
      <c r="B785" s="62"/>
    </row>
    <row r="786" ht="13.5" customHeight="1">
      <c r="B786" s="62"/>
    </row>
    <row r="787" ht="13.5" customHeight="1">
      <c r="B787" s="62"/>
    </row>
    <row r="788" ht="13.5" customHeight="1">
      <c r="B788" s="62"/>
    </row>
    <row r="789" ht="13.5" customHeight="1">
      <c r="B789" s="62"/>
    </row>
    <row r="790" ht="13.5" customHeight="1">
      <c r="B790" s="62"/>
    </row>
    <row r="791" ht="13.5" customHeight="1">
      <c r="B791" s="62"/>
    </row>
    <row r="792" ht="13.5" customHeight="1">
      <c r="B792" s="62"/>
    </row>
    <row r="793" ht="13.5" customHeight="1">
      <c r="B793" s="62"/>
    </row>
    <row r="794" ht="13.5" customHeight="1">
      <c r="B794" s="62"/>
    </row>
    <row r="795" ht="13.5" customHeight="1">
      <c r="B795" s="62"/>
    </row>
    <row r="796" ht="13.5" customHeight="1">
      <c r="B796" s="62"/>
    </row>
    <row r="797" ht="13.5" customHeight="1">
      <c r="B797" s="62"/>
    </row>
    <row r="798" ht="13.5" customHeight="1">
      <c r="B798" s="62"/>
    </row>
    <row r="799" ht="13.5" customHeight="1">
      <c r="B799" s="62"/>
    </row>
    <row r="800" ht="13.5" customHeight="1">
      <c r="B800" s="62"/>
    </row>
    <row r="801" ht="13.5" customHeight="1">
      <c r="B801" s="62"/>
    </row>
    <row r="802" ht="13.5" customHeight="1">
      <c r="B802" s="62"/>
    </row>
    <row r="803" ht="13.5" customHeight="1">
      <c r="B803" s="62"/>
    </row>
    <row r="804" ht="13.5" customHeight="1">
      <c r="B804" s="62"/>
    </row>
    <row r="805" ht="13.5" customHeight="1">
      <c r="B805" s="62"/>
    </row>
    <row r="806" ht="13.5" customHeight="1">
      <c r="B806" s="62"/>
    </row>
    <row r="807" ht="13.5" customHeight="1">
      <c r="B807" s="62"/>
    </row>
    <row r="808" ht="13.5" customHeight="1">
      <c r="B808" s="62"/>
    </row>
    <row r="809" ht="13.5" customHeight="1">
      <c r="B809" s="62"/>
    </row>
    <row r="810" ht="13.5" customHeight="1">
      <c r="B810" s="62"/>
    </row>
    <row r="811" ht="13.5" customHeight="1">
      <c r="B811" s="62"/>
    </row>
    <row r="812" ht="13.5" customHeight="1">
      <c r="B812" s="62"/>
    </row>
    <row r="813" ht="13.5" customHeight="1">
      <c r="B813" s="62"/>
    </row>
    <row r="814" ht="13.5" customHeight="1">
      <c r="B814" s="62"/>
    </row>
    <row r="815" ht="13.5" customHeight="1">
      <c r="B815" s="62"/>
    </row>
    <row r="816" ht="13.5" customHeight="1">
      <c r="B816" s="62"/>
    </row>
    <row r="817" ht="13.5" customHeight="1">
      <c r="B817" s="62"/>
    </row>
    <row r="818" ht="13.5" customHeight="1">
      <c r="B818" s="62"/>
    </row>
    <row r="819" ht="13.5" customHeight="1">
      <c r="B819" s="62"/>
    </row>
    <row r="820" ht="13.5" customHeight="1">
      <c r="B820" s="62"/>
    </row>
    <row r="821" ht="13.5" customHeight="1">
      <c r="B821" s="62"/>
    </row>
    <row r="822" ht="13.5" customHeight="1">
      <c r="B822" s="62"/>
    </row>
    <row r="823" ht="13.5" customHeight="1">
      <c r="B823" s="62"/>
    </row>
    <row r="824" ht="13.5" customHeight="1">
      <c r="B824" s="62"/>
    </row>
    <row r="825" ht="13.5" customHeight="1">
      <c r="B825" s="62"/>
    </row>
    <row r="826" ht="13.5" customHeight="1">
      <c r="B826" s="62"/>
    </row>
    <row r="827" ht="13.5" customHeight="1">
      <c r="B827" s="62"/>
    </row>
    <row r="828" ht="13.5" customHeight="1">
      <c r="B828" s="62"/>
    </row>
    <row r="829" ht="13.5" customHeight="1">
      <c r="B829" s="62"/>
    </row>
    <row r="830" ht="13.5" customHeight="1">
      <c r="B830" s="62"/>
    </row>
    <row r="831" ht="13.5" customHeight="1">
      <c r="B831" s="62"/>
    </row>
    <row r="832" ht="13.5" customHeight="1">
      <c r="B832" s="62"/>
    </row>
    <row r="833" ht="13.5" customHeight="1">
      <c r="B833" s="62"/>
    </row>
    <row r="834" ht="13.5" customHeight="1">
      <c r="B834" s="62"/>
    </row>
    <row r="835" ht="13.5" customHeight="1">
      <c r="B835" s="62"/>
    </row>
    <row r="836" ht="13.5" customHeight="1">
      <c r="B836" s="62"/>
    </row>
    <row r="837" ht="13.5" customHeight="1">
      <c r="B837" s="62"/>
    </row>
    <row r="838" ht="13.5" customHeight="1">
      <c r="B838" s="62"/>
    </row>
    <row r="839" ht="13.5" customHeight="1">
      <c r="B839" s="62"/>
    </row>
    <row r="840" ht="13.5" customHeight="1">
      <c r="B840" s="62"/>
    </row>
    <row r="841" ht="13.5" customHeight="1">
      <c r="B841" s="62"/>
    </row>
    <row r="842" ht="13.5" customHeight="1">
      <c r="B842" s="62"/>
    </row>
    <row r="843" ht="13.5" customHeight="1">
      <c r="B843" s="62"/>
    </row>
    <row r="844" ht="13.5" customHeight="1">
      <c r="B844" s="62"/>
    </row>
    <row r="845" ht="13.5" customHeight="1">
      <c r="B845" s="62"/>
    </row>
    <row r="846" ht="13.5" customHeight="1">
      <c r="B846" s="62"/>
    </row>
    <row r="847" ht="13.5" customHeight="1">
      <c r="B847" s="62"/>
    </row>
    <row r="848" ht="13.5" customHeight="1">
      <c r="B848" s="62"/>
    </row>
    <row r="849" ht="13.5" customHeight="1">
      <c r="B849" s="62"/>
    </row>
    <row r="850" ht="13.5" customHeight="1">
      <c r="B850" s="62"/>
    </row>
    <row r="851" ht="13.5" customHeight="1">
      <c r="B851" s="62"/>
    </row>
    <row r="852" ht="13.5" customHeight="1">
      <c r="B852" s="62"/>
    </row>
    <row r="853" ht="13.5" customHeight="1">
      <c r="B853" s="62"/>
    </row>
    <row r="854" ht="13.5" customHeight="1">
      <c r="B854" s="62"/>
    </row>
    <row r="855" ht="13.5" customHeight="1">
      <c r="B855" s="62"/>
    </row>
    <row r="856" ht="13.5" customHeight="1">
      <c r="B856" s="62"/>
    </row>
    <row r="857" ht="13.5" customHeight="1">
      <c r="B857" s="62"/>
    </row>
    <row r="858" ht="13.5" customHeight="1">
      <c r="B858" s="62"/>
    </row>
    <row r="859" ht="13.5" customHeight="1">
      <c r="B859" s="62"/>
    </row>
    <row r="860" ht="13.5" customHeight="1">
      <c r="B860" s="62"/>
    </row>
    <row r="861" ht="13.5" customHeight="1">
      <c r="B861" s="62"/>
    </row>
    <row r="862" ht="13.5" customHeight="1">
      <c r="B862" s="62"/>
    </row>
    <row r="863" ht="13.5" customHeight="1">
      <c r="B863" s="62"/>
    </row>
    <row r="864" ht="13.5" customHeight="1">
      <c r="B864" s="62"/>
    </row>
    <row r="865" ht="13.5" customHeight="1">
      <c r="B865" s="62"/>
    </row>
    <row r="866" ht="13.5" customHeight="1">
      <c r="B866" s="62"/>
    </row>
    <row r="867" ht="13.5" customHeight="1">
      <c r="B867" s="62"/>
    </row>
    <row r="868" ht="13.5" customHeight="1">
      <c r="B868" s="62"/>
    </row>
    <row r="869" ht="13.5" customHeight="1">
      <c r="B869" s="62"/>
    </row>
    <row r="870" ht="13.5" customHeight="1">
      <c r="B870" s="62"/>
    </row>
    <row r="871" ht="13.5" customHeight="1">
      <c r="B871" s="62"/>
    </row>
    <row r="872" ht="13.5" customHeight="1">
      <c r="B872" s="62"/>
    </row>
    <row r="873" ht="13.5" customHeight="1">
      <c r="B873" s="62"/>
    </row>
    <row r="874" ht="13.5" customHeight="1">
      <c r="B874" s="62"/>
    </row>
    <row r="875" ht="13.5" customHeight="1">
      <c r="B875" s="62"/>
    </row>
    <row r="876" ht="13.5" customHeight="1">
      <c r="B876" s="62"/>
    </row>
    <row r="877" ht="13.5" customHeight="1">
      <c r="B877" s="62"/>
    </row>
    <row r="878" ht="13.5" customHeight="1">
      <c r="B878" s="62"/>
    </row>
    <row r="879" ht="13.5" customHeight="1">
      <c r="B879" s="62"/>
    </row>
    <row r="880" ht="13.5" customHeight="1">
      <c r="B880" s="62"/>
    </row>
    <row r="881" ht="13.5" customHeight="1">
      <c r="B881" s="62"/>
    </row>
    <row r="882" ht="13.5" customHeight="1">
      <c r="B882" s="62"/>
    </row>
    <row r="883" ht="13.5" customHeight="1">
      <c r="B883" s="62"/>
    </row>
    <row r="884" ht="13.5" customHeight="1">
      <c r="B884" s="62"/>
    </row>
    <row r="885" ht="13.5" customHeight="1">
      <c r="B885" s="62"/>
    </row>
    <row r="886" ht="13.5" customHeight="1">
      <c r="B886" s="62"/>
    </row>
    <row r="887" ht="13.5" customHeight="1">
      <c r="B887" s="62"/>
    </row>
    <row r="888" ht="13.5" customHeight="1">
      <c r="B888" s="62"/>
    </row>
    <row r="889" ht="13.5" customHeight="1">
      <c r="B889" s="62"/>
    </row>
    <row r="890" ht="13.5" customHeight="1">
      <c r="B890" s="62"/>
    </row>
    <row r="891" ht="13.5" customHeight="1">
      <c r="B891" s="62"/>
    </row>
    <row r="892" ht="13.5" customHeight="1">
      <c r="B892" s="62"/>
    </row>
    <row r="893" ht="13.5" customHeight="1">
      <c r="B893" s="62"/>
    </row>
    <row r="894" ht="13.5" customHeight="1">
      <c r="B894" s="62"/>
    </row>
    <row r="895" ht="13.5" customHeight="1">
      <c r="B895" s="62"/>
    </row>
    <row r="896" ht="13.5" customHeight="1">
      <c r="B896" s="62"/>
    </row>
    <row r="897" ht="13.5" customHeight="1">
      <c r="B897" s="62"/>
    </row>
    <row r="898" ht="13.5" customHeight="1">
      <c r="B898" s="62"/>
    </row>
    <row r="899" ht="13.5" customHeight="1">
      <c r="B899" s="62"/>
    </row>
    <row r="900" ht="13.5" customHeight="1">
      <c r="B900" s="62"/>
    </row>
    <row r="901" ht="13.5" customHeight="1">
      <c r="B901" s="62"/>
    </row>
    <row r="902" ht="13.5" customHeight="1">
      <c r="B902" s="62"/>
    </row>
    <row r="903" ht="13.5" customHeight="1">
      <c r="B903" s="62"/>
    </row>
    <row r="904" ht="13.5" customHeight="1">
      <c r="B904" s="62"/>
    </row>
    <row r="905" ht="13.5" customHeight="1">
      <c r="B905" s="62"/>
    </row>
    <row r="906" ht="13.5" customHeight="1">
      <c r="B906" s="62"/>
    </row>
    <row r="907" ht="13.5" customHeight="1">
      <c r="B907" s="62"/>
    </row>
    <row r="908" ht="13.5" customHeight="1">
      <c r="B908" s="62"/>
    </row>
    <row r="909" ht="13.5" customHeight="1">
      <c r="B909" s="62"/>
    </row>
    <row r="910" ht="13.5" customHeight="1">
      <c r="B910" s="62"/>
    </row>
    <row r="911" ht="13.5" customHeight="1">
      <c r="B911" s="62"/>
    </row>
    <row r="912" ht="13.5" customHeight="1">
      <c r="B912" s="62"/>
    </row>
    <row r="913" ht="13.5" customHeight="1">
      <c r="B913" s="62"/>
    </row>
    <row r="914" ht="13.5" customHeight="1">
      <c r="B914" s="62"/>
    </row>
    <row r="915" ht="13.5" customHeight="1">
      <c r="B915" s="62"/>
    </row>
    <row r="916" ht="13.5" customHeight="1">
      <c r="B916" s="62"/>
    </row>
    <row r="917" ht="13.5" customHeight="1">
      <c r="B917" s="62"/>
    </row>
    <row r="918" ht="13.5" customHeight="1">
      <c r="B918" s="62"/>
    </row>
    <row r="919" ht="13.5" customHeight="1">
      <c r="B919" s="62"/>
    </row>
    <row r="920" ht="13.5" customHeight="1">
      <c r="B920" s="62"/>
    </row>
    <row r="921" ht="13.5" customHeight="1">
      <c r="B921" s="62"/>
    </row>
    <row r="922" ht="13.5" customHeight="1">
      <c r="B922" s="62"/>
    </row>
    <row r="923" ht="13.5" customHeight="1">
      <c r="B923" s="62"/>
    </row>
    <row r="924" ht="13.5" customHeight="1">
      <c r="B924" s="62"/>
    </row>
    <row r="925" ht="13.5" customHeight="1">
      <c r="B925" s="62"/>
    </row>
    <row r="926" ht="13.5" customHeight="1">
      <c r="B926" s="62"/>
    </row>
    <row r="927" ht="13.5" customHeight="1">
      <c r="B927" s="62"/>
    </row>
    <row r="928" ht="13.5" customHeight="1">
      <c r="B928" s="62"/>
    </row>
    <row r="929" ht="13.5" customHeight="1">
      <c r="B929" s="62"/>
    </row>
    <row r="930" ht="13.5" customHeight="1">
      <c r="B930" s="62"/>
    </row>
    <row r="931" ht="13.5" customHeight="1">
      <c r="B931" s="62"/>
    </row>
    <row r="932" ht="13.5" customHeight="1">
      <c r="B932" s="62"/>
    </row>
    <row r="933" ht="13.5" customHeight="1">
      <c r="B933" s="62"/>
    </row>
    <row r="934" ht="13.5" customHeight="1">
      <c r="B934" s="62"/>
    </row>
    <row r="935" ht="13.5" customHeight="1">
      <c r="B935" s="62"/>
    </row>
    <row r="936" ht="13.5" customHeight="1">
      <c r="B936" s="62"/>
    </row>
    <row r="937" ht="13.5" customHeight="1">
      <c r="B937" s="62"/>
    </row>
    <row r="938" ht="13.5" customHeight="1">
      <c r="B938" s="62"/>
    </row>
    <row r="939" ht="13.5" customHeight="1">
      <c r="B939" s="62"/>
    </row>
    <row r="940" ht="13.5" customHeight="1">
      <c r="B940" s="62"/>
    </row>
    <row r="941" ht="13.5" customHeight="1">
      <c r="B941" s="62"/>
    </row>
    <row r="942" ht="13.5" customHeight="1">
      <c r="B942" s="62"/>
    </row>
    <row r="943" ht="13.5" customHeight="1">
      <c r="B943" s="62"/>
    </row>
    <row r="944" ht="13.5" customHeight="1">
      <c r="B944" s="62"/>
    </row>
    <row r="945" ht="13.5" customHeight="1">
      <c r="B945" s="62"/>
    </row>
    <row r="946" ht="13.5" customHeight="1">
      <c r="B946" s="62"/>
    </row>
    <row r="947" ht="13.5" customHeight="1">
      <c r="B947" s="62"/>
    </row>
    <row r="948" ht="13.5" customHeight="1">
      <c r="B948" s="62"/>
    </row>
    <row r="949" ht="13.5" customHeight="1">
      <c r="B949" s="62"/>
    </row>
    <row r="950" ht="13.5" customHeight="1">
      <c r="B950" s="62"/>
    </row>
    <row r="951" ht="13.5" customHeight="1">
      <c r="B951" s="62"/>
    </row>
    <row r="952" ht="13.5" customHeight="1">
      <c r="B952" s="62"/>
    </row>
    <row r="953" ht="13.5" customHeight="1">
      <c r="B953" s="62"/>
    </row>
    <row r="954" ht="13.5" customHeight="1">
      <c r="B954" s="62"/>
    </row>
    <row r="955" ht="13.5" customHeight="1">
      <c r="B955" s="62"/>
    </row>
    <row r="956" ht="13.5" customHeight="1">
      <c r="B956" s="62"/>
    </row>
    <row r="957" ht="13.5" customHeight="1">
      <c r="B957" s="62"/>
    </row>
    <row r="958" ht="13.5" customHeight="1">
      <c r="B958" s="62"/>
    </row>
    <row r="959" ht="13.5" customHeight="1">
      <c r="B959" s="62"/>
    </row>
    <row r="960" ht="13.5" customHeight="1">
      <c r="B960" s="62"/>
    </row>
    <row r="961" ht="13.5" customHeight="1">
      <c r="B961" s="62"/>
    </row>
    <row r="962" ht="13.5" customHeight="1">
      <c r="B962" s="62"/>
    </row>
    <row r="963" ht="13.5" customHeight="1">
      <c r="B963" s="62"/>
    </row>
    <row r="964" ht="13.5" customHeight="1">
      <c r="B964" s="62"/>
    </row>
    <row r="965" ht="13.5" customHeight="1">
      <c r="B965" s="62"/>
    </row>
    <row r="966" ht="13.5" customHeight="1">
      <c r="B966" s="62"/>
    </row>
    <row r="967" ht="13.5" customHeight="1">
      <c r="B967" s="62"/>
    </row>
    <row r="968" ht="13.5" customHeight="1">
      <c r="B968" s="62"/>
    </row>
    <row r="969" ht="13.5" customHeight="1">
      <c r="B969" s="62"/>
    </row>
    <row r="970" ht="13.5" customHeight="1">
      <c r="B970" s="62"/>
    </row>
    <row r="971" ht="13.5" customHeight="1">
      <c r="B971" s="62"/>
    </row>
    <row r="972" ht="13.5" customHeight="1">
      <c r="B972" s="62"/>
    </row>
    <row r="973" ht="13.5" customHeight="1">
      <c r="B973" s="62"/>
    </row>
    <row r="974" ht="13.5" customHeight="1">
      <c r="B974" s="62"/>
    </row>
    <row r="975" ht="13.5" customHeight="1">
      <c r="B975" s="62"/>
    </row>
    <row r="976" ht="13.5" customHeight="1">
      <c r="B976" s="62"/>
    </row>
    <row r="977" ht="13.5" customHeight="1">
      <c r="B977" s="62"/>
    </row>
    <row r="978" ht="13.5" customHeight="1">
      <c r="B978" s="62"/>
    </row>
    <row r="979" ht="13.5" customHeight="1">
      <c r="B979" s="62"/>
    </row>
    <row r="980" ht="13.5" customHeight="1">
      <c r="B980" s="62"/>
    </row>
    <row r="981" ht="13.5" customHeight="1">
      <c r="B981" s="62"/>
    </row>
    <row r="982" ht="13.5" customHeight="1">
      <c r="B982" s="62"/>
    </row>
    <row r="983" ht="13.5" customHeight="1">
      <c r="B983" s="62"/>
    </row>
    <row r="984" ht="13.5" customHeight="1">
      <c r="B984" s="62"/>
    </row>
    <row r="985" ht="13.5" customHeight="1">
      <c r="B985" s="62"/>
    </row>
    <row r="986" ht="13.5" customHeight="1">
      <c r="B986" s="62"/>
    </row>
    <row r="987" ht="13.5" customHeight="1">
      <c r="B987" s="62"/>
    </row>
    <row r="988" ht="13.5" customHeight="1">
      <c r="B988" s="62"/>
    </row>
    <row r="989" ht="13.5" customHeight="1">
      <c r="B989" s="62"/>
    </row>
    <row r="990" ht="13.5" customHeight="1">
      <c r="B990" s="62"/>
    </row>
    <row r="991" ht="13.5" customHeight="1">
      <c r="B991" s="62"/>
    </row>
    <row r="992" ht="13.5" customHeight="1">
      <c r="B992" s="62"/>
    </row>
    <row r="993" ht="13.5" customHeight="1">
      <c r="B993" s="62"/>
    </row>
    <row r="994" ht="13.5" customHeight="1">
      <c r="B994" s="62"/>
    </row>
    <row r="995" ht="13.5" customHeight="1">
      <c r="B995" s="62"/>
    </row>
    <row r="996" ht="13.5" customHeight="1">
      <c r="B996" s="62"/>
    </row>
    <row r="997" ht="13.5" customHeight="1">
      <c r="B997" s="62"/>
    </row>
    <row r="998" ht="13.5" customHeight="1">
      <c r="B998" s="62"/>
    </row>
    <row r="999" ht="13.5" customHeight="1">
      <c r="B999" s="62"/>
    </row>
    <row r="1000" ht="13.5" customHeight="1">
      <c r="B1000" s="62"/>
    </row>
  </sheetData>
  <mergeCells count="18">
    <mergeCell ref="D42:O42"/>
    <mergeCell ref="K44:K45"/>
    <mergeCell ref="N44:N45"/>
    <mergeCell ref="E3:E4"/>
    <mergeCell ref="H3:H4"/>
    <mergeCell ref="E44:E45"/>
    <mergeCell ref="H44:H45"/>
    <mergeCell ref="K3:K4"/>
    <mergeCell ref="N3:N4"/>
    <mergeCell ref="D80:O80"/>
    <mergeCell ref="E82:E83"/>
    <mergeCell ref="H82:H83"/>
    <mergeCell ref="K82:K83"/>
    <mergeCell ref="N82:N83"/>
    <mergeCell ref="A1:A40"/>
    <mergeCell ref="B1:O1"/>
    <mergeCell ref="A41:A78"/>
    <mergeCell ref="A80:A99"/>
  </mergeCells>
  <conditionalFormatting sqref="A1:A4 B2 P2:R3 B4 A40:A45 P41:R41 P43:R44 B45 B83">
    <cfRule type="containsText" dxfId="5" priority="1" operator="containsText" text="Peak">
      <formula>NOT(ISERROR(SEARCH(("Peak"),(A1))))</formula>
    </cfRule>
  </conditionalFormatting>
  <conditionalFormatting sqref="A1:A99 B4 B45 B78:B79 B83">
    <cfRule type="containsText" dxfId="1" priority="2" operator="containsText" text="Afternoon">
      <formula>NOT(ISERROR(SEARCH(("Afternoon"),(A1))))</formula>
    </cfRule>
  </conditionalFormatting>
  <conditionalFormatting sqref="B4 B45 A78:A99 B83">
    <cfRule type="containsText" dxfId="4" priority="3" operator="containsText" text="Evening">
      <formula>NOT(ISERROR(SEARCH(("Evening"),(B4))))</formula>
    </cfRule>
  </conditionalFormatting>
  <conditionalFormatting sqref="A78:A99">
    <cfRule type="containsText" dxfId="5" priority="4" operator="containsText" text="Peak">
      <formula>NOT(ISERROR(SEARCH(("Peak"),(A78))))</formula>
    </cfRule>
  </conditionalFormatting>
  <conditionalFormatting sqref="A5:A39">
    <cfRule type="containsText" dxfId="4" priority="5" operator="containsText" text="Evening">
      <formula>NOT(ISERROR(SEARCH(("Evening"),(A5))))</formula>
    </cfRule>
  </conditionalFormatting>
  <conditionalFormatting sqref="A5:A39">
    <cfRule type="containsText" dxfId="5" priority="6" operator="containsText" text="Peak">
      <formula>NOT(ISERROR(SEARCH(("Peak"),(A5))))</formula>
    </cfRule>
  </conditionalFormatting>
  <conditionalFormatting sqref="A46:B77">
    <cfRule type="containsText" dxfId="4" priority="7" operator="containsText" text="Evening">
      <formula>NOT(ISERROR(SEARCH(("Evening"),(A46))))</formula>
    </cfRule>
  </conditionalFormatting>
  <conditionalFormatting sqref="A46:B77">
    <cfRule type="containsText" dxfId="5" priority="8" operator="containsText" text="Peak">
      <formula>NOT(ISERROR(SEARCH(("Peak"),(A46))))</formula>
    </cfRule>
  </conditionalFormatting>
  <conditionalFormatting sqref="B4 B45:B77 B83">
    <cfRule type="containsText" dxfId="3" priority="9" operator="containsText" text="Night">
      <formula>NOT(ISERROR(SEARCH(("Night"),(B4))))</formula>
    </cfRule>
  </conditionalFormatting>
  <conditionalFormatting sqref="B2 P2:R3 B4 B40:B43 P41:R41 P43:R44 B45 B83">
    <cfRule type="containsText" dxfId="2" priority="10" operator="containsText" text="Morning">
      <formula>NOT(ISERROR(SEARCH(("Morning"),(B2))))</formula>
    </cfRule>
  </conditionalFormatting>
  <conditionalFormatting sqref="A1:A4 B2 P2:R3 A40:A45 P41:R41 P43:R44">
    <cfRule type="containsText" dxfId="4" priority="11" operator="containsText" text="Evening">
      <formula>NOT(ISERROR(SEARCH(("Evening"),(A1))))</formula>
    </cfRule>
  </conditionalFormatting>
  <conditionalFormatting sqref="B2 P2:R3 B40:B43 P41:R41 P43:R44">
    <cfRule type="containsText" dxfId="1" priority="12" operator="containsText" text="Afternoon">
      <formula>NOT(ISERROR(SEARCH(("Afternoon"),(B2))))</formula>
    </cfRule>
  </conditionalFormatting>
  <conditionalFormatting sqref="B2 P2:R3 P41:R41 P43:R44">
    <cfRule type="containsText" dxfId="3" priority="13" operator="containsText" text="Night">
      <formula>NOT(ISERROR(SEARCH(("Night"),(B2))))</formula>
    </cfRule>
  </conditionalFormatting>
  <conditionalFormatting sqref="B5:B39 B46:B77">
    <cfRule type="containsText" dxfId="1" priority="14" operator="containsText" text="Midday">
      <formula>NOT(ISERROR(SEARCH(("Midday"),(B5))))</formula>
    </cfRule>
  </conditionalFormatting>
  <conditionalFormatting sqref="A1:A99 B5:B39 B46:B78">
    <cfRule type="containsText" dxfId="2" priority="15" operator="containsText" text="Morning">
      <formula>NOT(ISERROR(SEARCH(("Morning"),(A1))))</formula>
    </cfRule>
  </conditionalFormatting>
  <conditionalFormatting sqref="B5:B43">
    <cfRule type="containsText" dxfId="3" priority="16" operator="containsText" text="Night">
      <formula>NOT(ISERROR(SEARCH(("Night"),(B5))))</formula>
    </cfRule>
  </conditionalFormatting>
  <conditionalFormatting sqref="B5:B43">
    <cfRule type="containsText" dxfId="4" priority="17" operator="containsText" text="Evening">
      <formula>NOT(ISERROR(SEARCH(("Evening"),(B5))))</formula>
    </cfRule>
  </conditionalFormatting>
  <conditionalFormatting sqref="B5:B43">
    <cfRule type="containsText" dxfId="5" priority="18" operator="containsText" text="Peak">
      <formula>NOT(ISERROR(SEARCH(("Peak"),(B5))))</formula>
    </cfRule>
  </conditionalFormatting>
  <conditionalFormatting sqref="B5:B39 B46:B77">
    <cfRule type="containsText" dxfId="0" priority="19" operator="containsText" text="Early Morning">
      <formula>NOT(ISERROR(SEARCH(("Early Morning"),(B5))))</formula>
    </cfRule>
  </conditionalFormatting>
  <conditionalFormatting sqref="B46:B79">
    <cfRule type="containsText" dxfId="3" priority="20" operator="containsText" text="Night">
      <formula>NOT(ISERROR(SEARCH(("Night"),(B46))))</formula>
    </cfRule>
  </conditionalFormatting>
  <conditionalFormatting sqref="B46:B79">
    <cfRule type="containsText" dxfId="4" priority="21" operator="containsText" text="Evening">
      <formula>NOT(ISERROR(SEARCH(("Evening"),(B46))))</formula>
    </cfRule>
  </conditionalFormatting>
  <conditionalFormatting sqref="B46:B79">
    <cfRule type="containsText" dxfId="5" priority="22" operator="containsText" text="Peak">
      <formula>NOT(ISERROR(SEARCH(("Peak"),(B46))))</formula>
    </cfRule>
  </conditionalFormatting>
  <conditionalFormatting sqref="B79">
    <cfRule type="containsText" dxfId="2" priority="23" operator="containsText" text="Morning">
      <formula>NOT(ISERROR(SEARCH(("Morning"),(B79))))</formula>
    </cfRule>
  </conditionalFormatting>
  <conditionalFormatting sqref="B80:B81 P81:R82">
    <cfRule type="containsText" dxfId="3" priority="24" operator="containsText" text="Night">
      <formula>NOT(ISERROR(SEARCH(("Night"),(B80))))</formula>
    </cfRule>
  </conditionalFormatting>
  <conditionalFormatting sqref="B80:B81 P81:R82">
    <cfRule type="containsText" dxfId="4" priority="25" operator="containsText" text="Evening">
      <formula>NOT(ISERROR(SEARCH(("Evening"),(B80))))</formula>
    </cfRule>
  </conditionalFormatting>
  <conditionalFormatting sqref="B80:B81 P81:R82">
    <cfRule type="containsText" dxfId="5" priority="26" operator="containsText" text="Peak">
      <formula>NOT(ISERROR(SEARCH(("Peak"),(B80))))</formula>
    </cfRule>
  </conditionalFormatting>
  <conditionalFormatting sqref="B80:B81 P81:R82">
    <cfRule type="containsText" dxfId="1" priority="27" operator="containsText" text="Afternoon">
      <formula>NOT(ISERROR(SEARCH(("Afternoon"),(B80))))</formula>
    </cfRule>
  </conditionalFormatting>
  <conditionalFormatting sqref="B80:B81 P81:R82">
    <cfRule type="containsText" dxfId="2" priority="28" operator="containsText" text="Morning">
      <formula>NOT(ISERROR(SEARCH(("Morning"),(B80))))</formula>
    </cfRule>
  </conditionalFormatting>
  <conditionalFormatting sqref="B84:B98">
    <cfRule type="containsText" dxfId="0" priority="29" operator="containsText" text="Early Morning">
      <formula>NOT(ISERROR(SEARCH(("Early Morning"),(B84))))</formula>
    </cfRule>
  </conditionalFormatting>
  <conditionalFormatting sqref="B84:B98">
    <cfRule type="containsText" dxfId="1" priority="30" operator="containsText" text="Midday">
      <formula>NOT(ISERROR(SEARCH(("Midday"),(B84))))</formula>
    </cfRule>
  </conditionalFormatting>
  <conditionalFormatting sqref="B84:B98">
    <cfRule type="containsText" dxfId="2" priority="31" operator="containsText" text="Morning">
      <formula>NOT(ISERROR(SEARCH(("Morning"),(B84))))</formula>
    </cfRule>
  </conditionalFormatting>
  <conditionalFormatting sqref="B99">
    <cfRule type="containsText" dxfId="1" priority="32" operator="containsText" text="Afternoon">
      <formula>NOT(ISERROR(SEARCH(("Afternoon"),(B99))))</formula>
    </cfRule>
  </conditionalFormatting>
  <conditionalFormatting sqref="B99">
    <cfRule type="containsText" dxfId="2" priority="33" operator="containsText" text="Morning">
      <formula>NOT(ISERROR(SEARCH(("Morning"),(B99))))</formula>
    </cfRule>
  </conditionalFormatting>
  <conditionalFormatting sqref="T5:T39">
    <cfRule type="containsText" dxfId="3" priority="34" operator="containsText" text="Night">
      <formula>NOT(ISERROR(SEARCH(("Night"),(T5))))</formula>
    </cfRule>
  </conditionalFormatting>
  <conditionalFormatting sqref="T5:T39">
    <cfRule type="containsText" dxfId="4" priority="35" operator="containsText" text="Evening">
      <formula>NOT(ISERROR(SEARCH(("Evening"),(T5))))</formula>
    </cfRule>
  </conditionalFormatting>
  <conditionalFormatting sqref="T5:T39">
    <cfRule type="containsText" dxfId="5" priority="36" operator="containsText" text="Peak">
      <formula>NOT(ISERROR(SEARCH(("Peak"),(T5))))</formula>
    </cfRule>
  </conditionalFormatting>
  <conditionalFormatting sqref="T5:T39">
    <cfRule type="containsText" dxfId="1" priority="37" operator="containsText" text="Afternoon">
      <formula>NOT(ISERROR(SEARCH(("Afternoon"),(T5))))</formula>
    </cfRule>
  </conditionalFormatting>
  <conditionalFormatting sqref="T5:T39">
    <cfRule type="containsText" dxfId="2" priority="38" operator="containsText" text="Morning">
      <formula>NOT(ISERROR(SEARCH(("Morning"),(T5))))</formula>
    </cfRule>
  </conditionalFormatting>
  <conditionalFormatting sqref="T5:T39">
    <cfRule type="cellIs" dxfId="6" priority="39" operator="lessThan">
      <formula>20</formula>
    </cfRule>
  </conditionalFormatting>
  <conditionalFormatting sqref="T5:T39">
    <cfRule type="cellIs" dxfId="7" priority="40" operator="equal">
      <formula>30</formula>
    </cfRule>
  </conditionalFormatting>
  <conditionalFormatting sqref="T5:T39">
    <cfRule type="cellIs" dxfId="8" priority="41" operator="greaterThan">
      <formula>31</formula>
    </cfRule>
  </conditionalFormatting>
  <conditionalFormatting sqref="T5:T39">
    <cfRule type="cellIs" dxfId="9" priority="42" operator="between">
      <formula>19</formula>
      <formula>29</formula>
    </cfRule>
  </conditionalFormatting>
  <conditionalFormatting sqref="T46:T77">
    <cfRule type="containsText" dxfId="3" priority="43" operator="containsText" text="Night">
      <formula>NOT(ISERROR(SEARCH(("Night"),(T46))))</formula>
    </cfRule>
  </conditionalFormatting>
  <conditionalFormatting sqref="T46:T77">
    <cfRule type="containsText" dxfId="4" priority="44" operator="containsText" text="Evening">
      <formula>NOT(ISERROR(SEARCH(("Evening"),(T46))))</formula>
    </cfRule>
  </conditionalFormatting>
  <conditionalFormatting sqref="T46:T77">
    <cfRule type="containsText" dxfId="5" priority="45" operator="containsText" text="Peak">
      <formula>NOT(ISERROR(SEARCH(("Peak"),(T46))))</formula>
    </cfRule>
  </conditionalFormatting>
  <conditionalFormatting sqref="T46:T77">
    <cfRule type="containsText" dxfId="1" priority="46" operator="containsText" text="Afternoon">
      <formula>NOT(ISERROR(SEARCH(("Afternoon"),(T46))))</formula>
    </cfRule>
  </conditionalFormatting>
  <conditionalFormatting sqref="T46:T77">
    <cfRule type="containsText" dxfId="2" priority="47" operator="containsText" text="Morning">
      <formula>NOT(ISERROR(SEARCH(("Morning"),(T46))))</formula>
    </cfRule>
  </conditionalFormatting>
  <conditionalFormatting sqref="T46:T77">
    <cfRule type="cellIs" dxfId="6" priority="48" operator="lessThan">
      <formula>20</formula>
    </cfRule>
  </conditionalFormatting>
  <conditionalFormatting sqref="T46:T77">
    <cfRule type="cellIs" dxfId="7" priority="49" operator="equal">
      <formula>30</formula>
    </cfRule>
  </conditionalFormatting>
  <conditionalFormatting sqref="T46:T77">
    <cfRule type="cellIs" dxfId="8" priority="50" operator="greaterThan">
      <formula>31</formula>
    </cfRule>
  </conditionalFormatting>
  <conditionalFormatting sqref="T46:T77">
    <cfRule type="cellIs" dxfId="9" priority="51" operator="between">
      <formula>19</formula>
      <formula>29</formula>
    </cfRule>
  </conditionalFormatting>
  <conditionalFormatting sqref="T84:T98">
    <cfRule type="containsText" dxfId="3" priority="52" operator="containsText" text="Night">
      <formula>NOT(ISERROR(SEARCH(("Night"),(T84))))</formula>
    </cfRule>
  </conditionalFormatting>
  <conditionalFormatting sqref="T84:T98">
    <cfRule type="containsText" dxfId="4" priority="53" operator="containsText" text="Evening">
      <formula>NOT(ISERROR(SEARCH(("Evening"),(T84))))</formula>
    </cfRule>
  </conditionalFormatting>
  <conditionalFormatting sqref="T84:T98">
    <cfRule type="containsText" dxfId="5" priority="54" operator="containsText" text="Peak">
      <formula>NOT(ISERROR(SEARCH(("Peak"),(T84))))</formula>
    </cfRule>
  </conditionalFormatting>
  <conditionalFormatting sqref="T84:T98">
    <cfRule type="containsText" dxfId="1" priority="55" operator="containsText" text="Afternoon">
      <formula>NOT(ISERROR(SEARCH(("Afternoon"),(T84))))</formula>
    </cfRule>
  </conditionalFormatting>
  <conditionalFormatting sqref="T84:T98">
    <cfRule type="containsText" dxfId="2" priority="56" operator="containsText" text="Morning">
      <formula>NOT(ISERROR(SEARCH(("Morning"),(T84))))</formula>
    </cfRule>
  </conditionalFormatting>
  <conditionalFormatting sqref="T84:T98">
    <cfRule type="cellIs" dxfId="6" priority="57" operator="lessThan">
      <formula>20</formula>
    </cfRule>
  </conditionalFormatting>
  <conditionalFormatting sqref="T84:T98">
    <cfRule type="cellIs" dxfId="7" priority="58" operator="equal">
      <formula>30</formula>
    </cfRule>
  </conditionalFormatting>
  <conditionalFormatting sqref="T84:T98">
    <cfRule type="cellIs" dxfId="8" priority="59" operator="greaterThan">
      <formula>31</formula>
    </cfRule>
  </conditionalFormatting>
  <conditionalFormatting sqref="T84:T98">
    <cfRule type="cellIs" dxfId="9" priority="60" operator="between">
      <formula>19</formula>
      <formula>29</formula>
    </cfRule>
  </conditionalFormatting>
  <conditionalFormatting sqref="A1:A99">
    <cfRule type="containsText" dxfId="3" priority="61" operator="containsText" text="Night">
      <formula>NOT(ISERROR(SEARCH(("Night"),(A1))))</formula>
    </cfRule>
  </conditionalFormatting>
  <conditionalFormatting sqref="B84:B99">
    <cfRule type="containsText" dxfId="3" priority="62" operator="containsText" text="Night">
      <formula>NOT(ISERROR(SEARCH(("Night"),(B84))))</formula>
    </cfRule>
  </conditionalFormatting>
  <conditionalFormatting sqref="B84:B99">
    <cfRule type="containsText" dxfId="4" priority="63" operator="containsText" text="Evening">
      <formula>NOT(ISERROR(SEARCH(("Evening"),(B84))))</formula>
    </cfRule>
  </conditionalFormatting>
  <conditionalFormatting sqref="B84:B99">
    <cfRule type="containsText" dxfId="5" priority="64" operator="containsText" text="Peak">
      <formula>NOT(ISERROR(SEARCH(("Peak"),(B84))))</formula>
    </cfRule>
  </conditionalFormatting>
  <printOptions/>
  <pageMargins bottom="0.75" footer="0.0" header="0.0" left="0.7" right="0.7" top="0.75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8" t="s">
        <v>58</v>
      </c>
      <c r="B1" s="292" t="s">
        <v>157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S1" s="126"/>
    </row>
    <row r="2">
      <c r="A2" s="88"/>
      <c r="B2" s="62"/>
      <c r="C2" s="293" t="s">
        <v>62</v>
      </c>
      <c r="D2" s="294" t="s">
        <v>85</v>
      </c>
      <c r="E2" s="295"/>
      <c r="F2" s="294" t="s">
        <v>62</v>
      </c>
      <c r="G2" s="294" t="s">
        <v>85</v>
      </c>
      <c r="H2" s="295"/>
      <c r="I2" s="294" t="s">
        <v>62</v>
      </c>
      <c r="J2" s="294" t="s">
        <v>85</v>
      </c>
      <c r="K2" s="295"/>
      <c r="L2" s="294" t="s">
        <v>62</v>
      </c>
      <c r="M2" s="294" t="s">
        <v>85</v>
      </c>
      <c r="N2" s="295"/>
      <c r="O2" s="294" t="s">
        <v>62</v>
      </c>
      <c r="P2" s="129"/>
      <c r="Q2" s="129"/>
      <c r="R2" s="129"/>
      <c r="S2" s="129"/>
    </row>
    <row r="3">
      <c r="A3" s="88"/>
      <c r="B3" s="89" t="s">
        <v>63</v>
      </c>
      <c r="C3" s="296" t="s">
        <v>86</v>
      </c>
      <c r="D3" s="296" t="s">
        <v>70</v>
      </c>
      <c r="E3" s="91" t="s">
        <v>69</v>
      </c>
      <c r="F3" s="296" t="s">
        <v>70</v>
      </c>
      <c r="G3" s="297" t="s">
        <v>87</v>
      </c>
      <c r="H3" s="91" t="s">
        <v>69</v>
      </c>
      <c r="I3" s="297" t="s">
        <v>87</v>
      </c>
      <c r="J3" s="296" t="s">
        <v>158</v>
      </c>
      <c r="K3" s="91" t="s">
        <v>69</v>
      </c>
      <c r="L3" s="296" t="s">
        <v>158</v>
      </c>
      <c r="M3" s="297" t="s">
        <v>86</v>
      </c>
      <c r="N3" s="91" t="s">
        <v>69</v>
      </c>
      <c r="O3" s="296" t="s">
        <v>86</v>
      </c>
      <c r="P3" s="134"/>
      <c r="Q3" s="134"/>
      <c r="R3" s="134"/>
      <c r="S3" s="134"/>
    </row>
    <row r="4">
      <c r="A4" s="88"/>
      <c r="B4" s="93" t="s">
        <v>72</v>
      </c>
      <c r="C4" s="296">
        <v>1.0</v>
      </c>
      <c r="D4" s="298">
        <v>331.0</v>
      </c>
      <c r="E4" s="94"/>
      <c r="F4" s="298">
        <v>331.0</v>
      </c>
      <c r="G4" s="298">
        <v>440.0</v>
      </c>
      <c r="H4" s="94"/>
      <c r="I4" s="298">
        <v>440.0</v>
      </c>
      <c r="J4" s="298">
        <v>419.0</v>
      </c>
      <c r="K4" s="94"/>
      <c r="L4" s="298">
        <v>419.0</v>
      </c>
      <c r="M4" s="298">
        <v>1.0</v>
      </c>
      <c r="N4" s="94"/>
      <c r="O4" s="299">
        <v>1.0</v>
      </c>
      <c r="P4" s="95" t="s">
        <v>73</v>
      </c>
      <c r="Q4" s="95" t="s">
        <v>74</v>
      </c>
      <c r="R4" s="95" t="s">
        <v>69</v>
      </c>
      <c r="S4" s="95" t="s">
        <v>75</v>
      </c>
      <c r="T4" s="96" t="s">
        <v>76</v>
      </c>
    </row>
    <row r="5">
      <c r="A5" s="88"/>
      <c r="B5" s="97" t="s">
        <v>89</v>
      </c>
      <c r="C5" s="289">
        <v>0.20833333333333334</v>
      </c>
      <c r="D5" s="280">
        <v>0.21875</v>
      </c>
      <c r="E5" s="281">
        <v>0.0</v>
      </c>
      <c r="F5" s="280">
        <v>0.21875</v>
      </c>
      <c r="G5" s="280">
        <v>0.22569444444444445</v>
      </c>
      <c r="H5" s="281">
        <v>3.0</v>
      </c>
      <c r="I5" s="280">
        <v>0.22777777777777777</v>
      </c>
      <c r="J5" s="280">
        <v>0.2361111111111111</v>
      </c>
      <c r="K5" s="281">
        <v>3.0</v>
      </c>
      <c r="L5" s="280">
        <v>0.23819444444444443</v>
      </c>
      <c r="M5" s="280">
        <v>0.24652777777777776</v>
      </c>
      <c r="N5" s="281">
        <v>5.0</v>
      </c>
      <c r="O5" s="280">
        <v>0.24999999999999997</v>
      </c>
      <c r="P5" s="103">
        <f t="shared" ref="P5:P39" si="1">Q5-R5</f>
        <v>49</v>
      </c>
      <c r="Q5" s="103">
        <f t="shared" ref="Q5:Q36" si="2">(O5-C5)*1440</f>
        <v>60</v>
      </c>
      <c r="R5" s="103">
        <f t="shared" ref="R5:R39" si="3">N5+K5+H5+E5</f>
        <v>11</v>
      </c>
      <c r="S5" s="104">
        <f t="shared" ref="S5:S39" si="4">R5/P5</f>
        <v>0.2244897959</v>
      </c>
      <c r="T5" s="140"/>
    </row>
    <row r="6">
      <c r="A6" s="88"/>
      <c r="B6" s="106" t="s">
        <v>89</v>
      </c>
      <c r="C6" s="280">
        <v>0.24999999999999997</v>
      </c>
      <c r="D6" s="280">
        <v>0.26041666666666663</v>
      </c>
      <c r="E6" s="281">
        <v>0.0</v>
      </c>
      <c r="F6" s="280">
        <v>0.26041666666666663</v>
      </c>
      <c r="G6" s="280">
        <v>0.26736111111111105</v>
      </c>
      <c r="H6" s="281">
        <v>3.0</v>
      </c>
      <c r="I6" s="280">
        <v>0.2694444444444444</v>
      </c>
      <c r="J6" s="280">
        <v>0.27777777777777773</v>
      </c>
      <c r="K6" s="281">
        <v>3.0</v>
      </c>
      <c r="L6" s="280">
        <v>0.27986111111111106</v>
      </c>
      <c r="M6" s="280">
        <v>0.2881944444444444</v>
      </c>
      <c r="N6" s="281">
        <v>5.0</v>
      </c>
      <c r="O6" s="280">
        <v>0.29166666666666663</v>
      </c>
      <c r="P6" s="103">
        <f t="shared" si="1"/>
        <v>49</v>
      </c>
      <c r="Q6" s="103">
        <f t="shared" si="2"/>
        <v>60</v>
      </c>
      <c r="R6" s="103">
        <f t="shared" si="3"/>
        <v>11</v>
      </c>
      <c r="S6" s="104">
        <f t="shared" si="4"/>
        <v>0.2244897959</v>
      </c>
      <c r="T6" s="142">
        <f t="shared" ref="T6:T36" si="5">(O6-O5)*1440</f>
        <v>60</v>
      </c>
    </row>
    <row r="7">
      <c r="A7" s="88"/>
      <c r="B7" s="106" t="s">
        <v>77</v>
      </c>
      <c r="C7" s="289">
        <v>0.2708333333333333</v>
      </c>
      <c r="D7" s="280">
        <v>0.28125</v>
      </c>
      <c r="E7" s="281">
        <v>0.0</v>
      </c>
      <c r="F7" s="280">
        <v>0.28125</v>
      </c>
      <c r="G7" s="280">
        <v>0.28888888888888886</v>
      </c>
      <c r="H7" s="281">
        <v>2.0</v>
      </c>
      <c r="I7" s="280">
        <v>0.29027777777777775</v>
      </c>
      <c r="J7" s="280">
        <v>0.2986111111111111</v>
      </c>
      <c r="K7" s="281">
        <v>3.0</v>
      </c>
      <c r="L7" s="280">
        <v>0.30069444444444443</v>
      </c>
      <c r="M7" s="280">
        <v>0.30972222222222223</v>
      </c>
      <c r="N7" s="281">
        <v>4.0</v>
      </c>
      <c r="O7" s="280">
        <v>0.3125</v>
      </c>
      <c r="P7" s="103">
        <f t="shared" si="1"/>
        <v>51</v>
      </c>
      <c r="Q7" s="103">
        <f t="shared" si="2"/>
        <v>60</v>
      </c>
      <c r="R7" s="103">
        <f t="shared" si="3"/>
        <v>9</v>
      </c>
      <c r="S7" s="104">
        <f t="shared" si="4"/>
        <v>0.1764705882</v>
      </c>
      <c r="T7" s="142">
        <f t="shared" si="5"/>
        <v>30</v>
      </c>
    </row>
    <row r="8">
      <c r="A8" s="88"/>
      <c r="B8" s="106" t="s">
        <v>77</v>
      </c>
      <c r="C8" s="280">
        <v>0.29166666666666663</v>
      </c>
      <c r="D8" s="280">
        <v>0.3020833333333333</v>
      </c>
      <c r="E8" s="281">
        <v>0.0</v>
      </c>
      <c r="F8" s="280">
        <v>0.3020833333333333</v>
      </c>
      <c r="G8" s="280">
        <v>0.3097222222222222</v>
      </c>
      <c r="H8" s="281">
        <v>2.0</v>
      </c>
      <c r="I8" s="280">
        <v>0.31111111111111106</v>
      </c>
      <c r="J8" s="280">
        <v>0.3194444444444444</v>
      </c>
      <c r="K8" s="281">
        <v>3.0</v>
      </c>
      <c r="L8" s="280">
        <v>0.32152777777777775</v>
      </c>
      <c r="M8" s="280">
        <v>0.33055555555555555</v>
      </c>
      <c r="N8" s="281">
        <v>4.0</v>
      </c>
      <c r="O8" s="280">
        <v>0.3333333333333333</v>
      </c>
      <c r="P8" s="103">
        <f t="shared" si="1"/>
        <v>51</v>
      </c>
      <c r="Q8" s="103">
        <f t="shared" si="2"/>
        <v>60</v>
      </c>
      <c r="R8" s="103">
        <f t="shared" si="3"/>
        <v>9</v>
      </c>
      <c r="S8" s="104">
        <f t="shared" si="4"/>
        <v>0.1764705882</v>
      </c>
      <c r="T8" s="142">
        <f t="shared" si="5"/>
        <v>30</v>
      </c>
    </row>
    <row r="9">
      <c r="A9" s="88"/>
      <c r="B9" s="106" t="s">
        <v>77</v>
      </c>
      <c r="C9" s="280">
        <v>0.3125</v>
      </c>
      <c r="D9" s="280">
        <v>0.3229166666666667</v>
      </c>
      <c r="E9" s="281">
        <v>0.0</v>
      </c>
      <c r="F9" s="280">
        <v>0.3229166666666667</v>
      </c>
      <c r="G9" s="280">
        <v>0.33055555555555555</v>
      </c>
      <c r="H9" s="281">
        <v>2.0</v>
      </c>
      <c r="I9" s="280">
        <v>0.33194444444444443</v>
      </c>
      <c r="J9" s="280">
        <v>0.3402777777777778</v>
      </c>
      <c r="K9" s="281">
        <v>3.0</v>
      </c>
      <c r="L9" s="280">
        <v>0.3423611111111111</v>
      </c>
      <c r="M9" s="280">
        <v>0.3513888888888889</v>
      </c>
      <c r="N9" s="281">
        <v>4.0</v>
      </c>
      <c r="O9" s="280">
        <v>0.3541666666666667</v>
      </c>
      <c r="P9" s="103">
        <f t="shared" si="1"/>
        <v>51</v>
      </c>
      <c r="Q9" s="103">
        <f t="shared" si="2"/>
        <v>60</v>
      </c>
      <c r="R9" s="103">
        <f t="shared" si="3"/>
        <v>9</v>
      </c>
      <c r="S9" s="104">
        <f t="shared" si="4"/>
        <v>0.1764705882</v>
      </c>
      <c r="T9" s="142">
        <f t="shared" si="5"/>
        <v>30</v>
      </c>
    </row>
    <row r="10">
      <c r="A10" s="88"/>
      <c r="B10" s="106" t="s">
        <v>77</v>
      </c>
      <c r="C10" s="280">
        <v>0.3333333333333333</v>
      </c>
      <c r="D10" s="280">
        <v>0.34375</v>
      </c>
      <c r="E10" s="281">
        <v>0.0</v>
      </c>
      <c r="F10" s="280">
        <v>0.34375</v>
      </c>
      <c r="G10" s="280">
        <v>0.35138888888888886</v>
      </c>
      <c r="H10" s="281">
        <v>2.0</v>
      </c>
      <c r="I10" s="280">
        <v>0.35277777777777775</v>
      </c>
      <c r="J10" s="280">
        <v>0.3611111111111111</v>
      </c>
      <c r="K10" s="281">
        <v>3.0</v>
      </c>
      <c r="L10" s="280">
        <v>0.36319444444444443</v>
      </c>
      <c r="M10" s="280">
        <v>0.37222222222222223</v>
      </c>
      <c r="N10" s="281">
        <v>4.0</v>
      </c>
      <c r="O10" s="280">
        <v>0.375</v>
      </c>
      <c r="P10" s="103">
        <f t="shared" si="1"/>
        <v>51</v>
      </c>
      <c r="Q10" s="103">
        <f t="shared" si="2"/>
        <v>60</v>
      </c>
      <c r="R10" s="103">
        <f t="shared" si="3"/>
        <v>9</v>
      </c>
      <c r="S10" s="104">
        <f t="shared" si="4"/>
        <v>0.1764705882</v>
      </c>
      <c r="T10" s="142">
        <f t="shared" si="5"/>
        <v>30</v>
      </c>
    </row>
    <row r="11">
      <c r="A11" s="88"/>
      <c r="B11" s="106" t="s">
        <v>77</v>
      </c>
      <c r="C11" s="280">
        <v>0.3541666666666667</v>
      </c>
      <c r="D11" s="280">
        <v>0.36458333333333337</v>
      </c>
      <c r="E11" s="281">
        <v>0.0</v>
      </c>
      <c r="F11" s="280">
        <v>0.36458333333333337</v>
      </c>
      <c r="G11" s="280">
        <v>0.37222222222222223</v>
      </c>
      <c r="H11" s="281">
        <v>2.0</v>
      </c>
      <c r="I11" s="280">
        <v>0.3736111111111111</v>
      </c>
      <c r="J11" s="280">
        <v>0.3819444444444445</v>
      </c>
      <c r="K11" s="281">
        <v>3.0</v>
      </c>
      <c r="L11" s="280">
        <v>0.3840277777777778</v>
      </c>
      <c r="M11" s="280">
        <v>0.3930555555555556</v>
      </c>
      <c r="N11" s="281">
        <v>4.0</v>
      </c>
      <c r="O11" s="280">
        <v>0.39583333333333337</v>
      </c>
      <c r="P11" s="103">
        <f t="shared" si="1"/>
        <v>51</v>
      </c>
      <c r="Q11" s="103">
        <f t="shared" si="2"/>
        <v>60</v>
      </c>
      <c r="R11" s="103">
        <f t="shared" si="3"/>
        <v>9</v>
      </c>
      <c r="S11" s="104">
        <f t="shared" si="4"/>
        <v>0.1764705882</v>
      </c>
      <c r="T11" s="142">
        <f t="shared" si="5"/>
        <v>30</v>
      </c>
    </row>
    <row r="12">
      <c r="A12" s="88"/>
      <c r="B12" s="106" t="s">
        <v>77</v>
      </c>
      <c r="C12" s="280">
        <v>0.375</v>
      </c>
      <c r="D12" s="280">
        <v>0.3854166666666667</v>
      </c>
      <c r="E12" s="281">
        <v>0.0</v>
      </c>
      <c r="F12" s="280">
        <v>0.3854166666666667</v>
      </c>
      <c r="G12" s="280">
        <v>0.39305555555555555</v>
      </c>
      <c r="H12" s="281">
        <v>2.0</v>
      </c>
      <c r="I12" s="280">
        <v>0.39444444444444443</v>
      </c>
      <c r="J12" s="280">
        <v>0.4027777777777778</v>
      </c>
      <c r="K12" s="281">
        <v>3.0</v>
      </c>
      <c r="L12" s="280">
        <v>0.4048611111111111</v>
      </c>
      <c r="M12" s="280">
        <v>0.4138888888888889</v>
      </c>
      <c r="N12" s="281">
        <v>4.0</v>
      </c>
      <c r="O12" s="280">
        <v>0.4166666666666667</v>
      </c>
      <c r="P12" s="103">
        <f t="shared" si="1"/>
        <v>51</v>
      </c>
      <c r="Q12" s="103">
        <f t="shared" si="2"/>
        <v>60</v>
      </c>
      <c r="R12" s="103">
        <f t="shared" si="3"/>
        <v>9</v>
      </c>
      <c r="S12" s="104">
        <f t="shared" si="4"/>
        <v>0.1764705882</v>
      </c>
      <c r="T12" s="142">
        <f t="shared" si="5"/>
        <v>30</v>
      </c>
    </row>
    <row r="13">
      <c r="A13" s="88"/>
      <c r="B13" s="106" t="s">
        <v>77</v>
      </c>
      <c r="C13" s="280">
        <v>0.39583333333333337</v>
      </c>
      <c r="D13" s="280">
        <v>0.40625000000000006</v>
      </c>
      <c r="E13" s="281">
        <v>0.0</v>
      </c>
      <c r="F13" s="280">
        <v>0.40625000000000006</v>
      </c>
      <c r="G13" s="280">
        <v>0.4138888888888889</v>
      </c>
      <c r="H13" s="281">
        <v>2.0</v>
      </c>
      <c r="I13" s="280">
        <v>0.4152777777777778</v>
      </c>
      <c r="J13" s="280">
        <v>0.42361111111111116</v>
      </c>
      <c r="K13" s="281">
        <v>3.0</v>
      </c>
      <c r="L13" s="280">
        <v>0.4256944444444445</v>
      </c>
      <c r="M13" s="280">
        <v>0.4347222222222223</v>
      </c>
      <c r="N13" s="281">
        <v>4.0</v>
      </c>
      <c r="O13" s="280">
        <v>0.43750000000000006</v>
      </c>
      <c r="P13" s="103">
        <f t="shared" si="1"/>
        <v>51</v>
      </c>
      <c r="Q13" s="103">
        <f t="shared" si="2"/>
        <v>60</v>
      </c>
      <c r="R13" s="103">
        <f t="shared" si="3"/>
        <v>9</v>
      </c>
      <c r="S13" s="104">
        <f t="shared" si="4"/>
        <v>0.1764705882</v>
      </c>
      <c r="T13" s="142">
        <f t="shared" si="5"/>
        <v>30</v>
      </c>
    </row>
    <row r="14">
      <c r="A14" s="88"/>
      <c r="B14" s="106" t="s">
        <v>77</v>
      </c>
      <c r="C14" s="280">
        <v>0.4166666666666667</v>
      </c>
      <c r="D14" s="280">
        <v>0.42708333333333337</v>
      </c>
      <c r="E14" s="281">
        <v>0.0</v>
      </c>
      <c r="F14" s="280">
        <v>0.42708333333333337</v>
      </c>
      <c r="G14" s="280">
        <v>0.43472222222222223</v>
      </c>
      <c r="H14" s="281">
        <v>2.0</v>
      </c>
      <c r="I14" s="280">
        <v>0.4361111111111111</v>
      </c>
      <c r="J14" s="280">
        <v>0.4444444444444445</v>
      </c>
      <c r="K14" s="281">
        <v>3.0</v>
      </c>
      <c r="L14" s="280">
        <v>0.4465277777777778</v>
      </c>
      <c r="M14" s="280">
        <v>0.4555555555555556</v>
      </c>
      <c r="N14" s="281">
        <v>4.0</v>
      </c>
      <c r="O14" s="280">
        <v>0.45833333333333337</v>
      </c>
      <c r="P14" s="103">
        <f t="shared" si="1"/>
        <v>51</v>
      </c>
      <c r="Q14" s="103">
        <f t="shared" si="2"/>
        <v>60</v>
      </c>
      <c r="R14" s="103">
        <f t="shared" si="3"/>
        <v>9</v>
      </c>
      <c r="S14" s="104">
        <f t="shared" si="4"/>
        <v>0.1764705882</v>
      </c>
      <c r="T14" s="142">
        <f t="shared" si="5"/>
        <v>30</v>
      </c>
    </row>
    <row r="15">
      <c r="A15" s="88"/>
      <c r="B15" s="106" t="s">
        <v>77</v>
      </c>
      <c r="C15" s="280">
        <v>0.43750000000000006</v>
      </c>
      <c r="D15" s="280">
        <v>0.44791666666666674</v>
      </c>
      <c r="E15" s="281">
        <v>0.0</v>
      </c>
      <c r="F15" s="280">
        <v>0.44791666666666674</v>
      </c>
      <c r="G15" s="280">
        <v>0.4555555555555556</v>
      </c>
      <c r="H15" s="281">
        <v>2.0</v>
      </c>
      <c r="I15" s="280">
        <v>0.4569444444444445</v>
      </c>
      <c r="J15" s="280">
        <v>0.46527777777777785</v>
      </c>
      <c r="K15" s="281">
        <v>3.0</v>
      </c>
      <c r="L15" s="280">
        <v>0.46736111111111117</v>
      </c>
      <c r="M15" s="280">
        <v>0.476388888888889</v>
      </c>
      <c r="N15" s="281">
        <v>4.0</v>
      </c>
      <c r="O15" s="280">
        <v>0.47916666666666674</v>
      </c>
      <c r="P15" s="103">
        <f t="shared" si="1"/>
        <v>51</v>
      </c>
      <c r="Q15" s="103">
        <f t="shared" si="2"/>
        <v>60</v>
      </c>
      <c r="R15" s="103">
        <f t="shared" si="3"/>
        <v>9</v>
      </c>
      <c r="S15" s="104">
        <f t="shared" si="4"/>
        <v>0.1764705882</v>
      </c>
      <c r="T15" s="142">
        <f t="shared" si="5"/>
        <v>30</v>
      </c>
    </row>
    <row r="16">
      <c r="A16" s="88"/>
      <c r="B16" s="106" t="s">
        <v>77</v>
      </c>
      <c r="C16" s="280">
        <v>0.45833333333333337</v>
      </c>
      <c r="D16" s="280">
        <v>0.46875000000000006</v>
      </c>
      <c r="E16" s="281">
        <v>0.0</v>
      </c>
      <c r="F16" s="280">
        <v>0.46875000000000006</v>
      </c>
      <c r="G16" s="280">
        <v>0.4763888888888889</v>
      </c>
      <c r="H16" s="281">
        <v>2.0</v>
      </c>
      <c r="I16" s="280">
        <v>0.4777777777777778</v>
      </c>
      <c r="J16" s="280">
        <v>0.48611111111111116</v>
      </c>
      <c r="K16" s="281">
        <v>3.0</v>
      </c>
      <c r="L16" s="280">
        <v>0.4881944444444445</v>
      </c>
      <c r="M16" s="280">
        <v>0.4972222222222223</v>
      </c>
      <c r="N16" s="281">
        <v>4.0</v>
      </c>
      <c r="O16" s="280">
        <v>0.5000000000000001</v>
      </c>
      <c r="P16" s="103">
        <f t="shared" si="1"/>
        <v>51</v>
      </c>
      <c r="Q16" s="103">
        <f t="shared" si="2"/>
        <v>60</v>
      </c>
      <c r="R16" s="103">
        <f t="shared" si="3"/>
        <v>9</v>
      </c>
      <c r="S16" s="104">
        <f t="shared" si="4"/>
        <v>0.1764705882</v>
      </c>
      <c r="T16" s="142">
        <f t="shared" si="5"/>
        <v>30</v>
      </c>
    </row>
    <row r="17">
      <c r="A17" s="88"/>
      <c r="B17" s="106" t="s">
        <v>77</v>
      </c>
      <c r="C17" s="280">
        <v>0.47916666666666674</v>
      </c>
      <c r="D17" s="280">
        <v>0.4895833333333334</v>
      </c>
      <c r="E17" s="281">
        <v>0.0</v>
      </c>
      <c r="F17" s="280">
        <v>0.4895833333333334</v>
      </c>
      <c r="G17" s="280">
        <v>0.4972222222222223</v>
      </c>
      <c r="H17" s="281">
        <v>2.0</v>
      </c>
      <c r="I17" s="280">
        <v>0.49861111111111117</v>
      </c>
      <c r="J17" s="280">
        <v>0.5069444444444445</v>
      </c>
      <c r="K17" s="281">
        <v>3.0</v>
      </c>
      <c r="L17" s="280">
        <v>0.5090277777777779</v>
      </c>
      <c r="M17" s="280">
        <v>0.5180555555555556</v>
      </c>
      <c r="N17" s="281">
        <v>4.0</v>
      </c>
      <c r="O17" s="280">
        <v>0.5208333333333334</v>
      </c>
      <c r="P17" s="103">
        <f t="shared" si="1"/>
        <v>51</v>
      </c>
      <c r="Q17" s="103">
        <f t="shared" si="2"/>
        <v>60</v>
      </c>
      <c r="R17" s="103">
        <f t="shared" si="3"/>
        <v>9</v>
      </c>
      <c r="S17" s="104">
        <f t="shared" si="4"/>
        <v>0.1764705882</v>
      </c>
      <c r="T17" s="142">
        <f t="shared" si="5"/>
        <v>30</v>
      </c>
    </row>
    <row r="18">
      <c r="A18" s="88"/>
      <c r="B18" s="106" t="s">
        <v>78</v>
      </c>
      <c r="C18" s="280">
        <v>0.5000000000000001</v>
      </c>
      <c r="D18" s="280">
        <v>0.5104166666666667</v>
      </c>
      <c r="E18" s="281">
        <v>0.0</v>
      </c>
      <c r="F18" s="280">
        <v>0.5104166666666667</v>
      </c>
      <c r="G18" s="280">
        <v>0.5180555555555556</v>
      </c>
      <c r="H18" s="281">
        <v>2.0</v>
      </c>
      <c r="I18" s="280">
        <v>0.5194444444444445</v>
      </c>
      <c r="J18" s="280">
        <v>0.5284722222222222</v>
      </c>
      <c r="K18" s="281">
        <v>2.0</v>
      </c>
      <c r="L18" s="280">
        <v>0.5298611111111111</v>
      </c>
      <c r="M18" s="280">
        <v>0.5388888888888889</v>
      </c>
      <c r="N18" s="281">
        <v>4.0</v>
      </c>
      <c r="O18" s="280">
        <v>0.5416666666666666</v>
      </c>
      <c r="P18" s="103">
        <f t="shared" si="1"/>
        <v>52</v>
      </c>
      <c r="Q18" s="103">
        <f t="shared" si="2"/>
        <v>60</v>
      </c>
      <c r="R18" s="103">
        <f t="shared" si="3"/>
        <v>8</v>
      </c>
      <c r="S18" s="104">
        <f t="shared" si="4"/>
        <v>0.1538461538</v>
      </c>
      <c r="T18" s="142">
        <f t="shared" si="5"/>
        <v>30</v>
      </c>
    </row>
    <row r="19">
      <c r="A19" s="88"/>
      <c r="B19" s="106" t="s">
        <v>78</v>
      </c>
      <c r="C19" s="280">
        <v>0.5208333333333334</v>
      </c>
      <c r="D19" s="280">
        <v>0.53125</v>
      </c>
      <c r="E19" s="281">
        <v>0.0</v>
      </c>
      <c r="F19" s="280">
        <v>0.53125</v>
      </c>
      <c r="G19" s="280">
        <v>0.5388888888888889</v>
      </c>
      <c r="H19" s="281">
        <v>2.0</v>
      </c>
      <c r="I19" s="280">
        <v>0.5402777777777777</v>
      </c>
      <c r="J19" s="280">
        <v>0.5493055555555555</v>
      </c>
      <c r="K19" s="281">
        <v>2.0</v>
      </c>
      <c r="L19" s="280">
        <v>0.5506944444444444</v>
      </c>
      <c r="M19" s="280">
        <v>0.5597222222222221</v>
      </c>
      <c r="N19" s="281">
        <v>4.0</v>
      </c>
      <c r="O19" s="280">
        <v>0.5624999999999999</v>
      </c>
      <c r="P19" s="103">
        <f t="shared" si="1"/>
        <v>52</v>
      </c>
      <c r="Q19" s="103">
        <f t="shared" si="2"/>
        <v>60</v>
      </c>
      <c r="R19" s="103">
        <f t="shared" si="3"/>
        <v>8</v>
      </c>
      <c r="S19" s="104">
        <f t="shared" si="4"/>
        <v>0.1538461538</v>
      </c>
      <c r="T19" s="142">
        <f t="shared" si="5"/>
        <v>30</v>
      </c>
    </row>
    <row r="20">
      <c r="A20" s="88"/>
      <c r="B20" s="106" t="s">
        <v>78</v>
      </c>
      <c r="C20" s="280">
        <v>0.5416666666666666</v>
      </c>
      <c r="D20" s="280">
        <v>0.5520833333333333</v>
      </c>
      <c r="E20" s="281">
        <v>0.0</v>
      </c>
      <c r="F20" s="280">
        <v>0.5520833333333333</v>
      </c>
      <c r="G20" s="280">
        <v>0.5597222222222221</v>
      </c>
      <c r="H20" s="281">
        <v>2.0</v>
      </c>
      <c r="I20" s="280">
        <v>0.561111111111111</v>
      </c>
      <c r="J20" s="280">
        <v>0.5701388888888888</v>
      </c>
      <c r="K20" s="281">
        <v>2.0</v>
      </c>
      <c r="L20" s="280">
        <v>0.5715277777777776</v>
      </c>
      <c r="M20" s="280">
        <v>0.5805555555555554</v>
      </c>
      <c r="N20" s="281">
        <v>4.0</v>
      </c>
      <c r="O20" s="280">
        <v>0.5833333333333331</v>
      </c>
      <c r="P20" s="103">
        <f t="shared" si="1"/>
        <v>52</v>
      </c>
      <c r="Q20" s="103">
        <f t="shared" si="2"/>
        <v>60</v>
      </c>
      <c r="R20" s="103">
        <f t="shared" si="3"/>
        <v>8</v>
      </c>
      <c r="S20" s="104">
        <f t="shared" si="4"/>
        <v>0.1538461538</v>
      </c>
      <c r="T20" s="142">
        <f t="shared" si="5"/>
        <v>30</v>
      </c>
    </row>
    <row r="21">
      <c r="A21" s="88"/>
      <c r="B21" s="106" t="s">
        <v>78</v>
      </c>
      <c r="C21" s="280">
        <v>0.5624999999999999</v>
      </c>
      <c r="D21" s="280">
        <v>0.5729166666666665</v>
      </c>
      <c r="E21" s="281">
        <v>0.0</v>
      </c>
      <c r="F21" s="280">
        <v>0.5729166666666665</v>
      </c>
      <c r="G21" s="280">
        <v>0.5805555555555554</v>
      </c>
      <c r="H21" s="281">
        <v>2.0</v>
      </c>
      <c r="I21" s="280">
        <v>0.5819444444444443</v>
      </c>
      <c r="J21" s="280">
        <v>0.590972222222222</v>
      </c>
      <c r="K21" s="281">
        <v>2.0</v>
      </c>
      <c r="L21" s="280">
        <v>0.5923611111111109</v>
      </c>
      <c r="M21" s="280">
        <v>0.6013888888888886</v>
      </c>
      <c r="N21" s="281">
        <v>4.0</v>
      </c>
      <c r="O21" s="280">
        <v>0.6041666666666664</v>
      </c>
      <c r="P21" s="103">
        <f t="shared" si="1"/>
        <v>52</v>
      </c>
      <c r="Q21" s="103">
        <f t="shared" si="2"/>
        <v>60</v>
      </c>
      <c r="R21" s="103">
        <f t="shared" si="3"/>
        <v>8</v>
      </c>
      <c r="S21" s="104">
        <f t="shared" si="4"/>
        <v>0.1538461538</v>
      </c>
      <c r="T21" s="142">
        <f t="shared" si="5"/>
        <v>30</v>
      </c>
    </row>
    <row r="22">
      <c r="A22" s="88"/>
      <c r="B22" s="106" t="s">
        <v>7</v>
      </c>
      <c r="C22" s="280">
        <v>0.5833333333333331</v>
      </c>
      <c r="D22" s="280">
        <v>0.5944444444444442</v>
      </c>
      <c r="E22" s="281">
        <v>0.0</v>
      </c>
      <c r="F22" s="280">
        <v>0.5944444444444442</v>
      </c>
      <c r="G22" s="280">
        <v>0.6027777777777775</v>
      </c>
      <c r="H22" s="281">
        <v>1.0</v>
      </c>
      <c r="I22" s="280">
        <v>0.603472222222222</v>
      </c>
      <c r="J22" s="280">
        <v>0.6131944444444442</v>
      </c>
      <c r="K22" s="281">
        <v>1.0</v>
      </c>
      <c r="L22" s="280">
        <v>0.6138888888888886</v>
      </c>
      <c r="M22" s="280">
        <v>0.6229166666666663</v>
      </c>
      <c r="N22" s="281">
        <v>3.0</v>
      </c>
      <c r="O22" s="280">
        <v>0.6249999999999997</v>
      </c>
      <c r="P22" s="103">
        <f t="shared" si="1"/>
        <v>55</v>
      </c>
      <c r="Q22" s="103">
        <f t="shared" si="2"/>
        <v>60</v>
      </c>
      <c r="R22" s="103">
        <f t="shared" si="3"/>
        <v>5</v>
      </c>
      <c r="S22" s="104">
        <f t="shared" si="4"/>
        <v>0.09090909091</v>
      </c>
      <c r="T22" s="142">
        <f t="shared" si="5"/>
        <v>30</v>
      </c>
    </row>
    <row r="23">
      <c r="A23" s="88"/>
      <c r="B23" s="106" t="s">
        <v>7</v>
      </c>
      <c r="C23" s="280">
        <v>0.6041666666666664</v>
      </c>
      <c r="D23" s="280">
        <v>0.6152777777777775</v>
      </c>
      <c r="E23" s="281">
        <v>0.0</v>
      </c>
      <c r="F23" s="280">
        <v>0.6152777777777775</v>
      </c>
      <c r="G23" s="280">
        <v>0.6236111111111108</v>
      </c>
      <c r="H23" s="281">
        <v>1.0</v>
      </c>
      <c r="I23" s="280">
        <v>0.6243055555555552</v>
      </c>
      <c r="J23" s="280">
        <v>0.6340277777777774</v>
      </c>
      <c r="K23" s="281">
        <v>1.0</v>
      </c>
      <c r="L23" s="280">
        <v>0.6347222222222219</v>
      </c>
      <c r="M23" s="280">
        <v>0.6437499999999996</v>
      </c>
      <c r="N23" s="281">
        <v>3.0</v>
      </c>
      <c r="O23" s="280">
        <v>0.6458333333333329</v>
      </c>
      <c r="P23" s="103">
        <f t="shared" si="1"/>
        <v>55</v>
      </c>
      <c r="Q23" s="103">
        <f t="shared" si="2"/>
        <v>60</v>
      </c>
      <c r="R23" s="103">
        <f t="shared" si="3"/>
        <v>5</v>
      </c>
      <c r="S23" s="104">
        <f t="shared" si="4"/>
        <v>0.09090909091</v>
      </c>
      <c r="T23" s="142">
        <f t="shared" si="5"/>
        <v>30</v>
      </c>
    </row>
    <row r="24">
      <c r="A24" s="88"/>
      <c r="B24" s="106" t="s">
        <v>7</v>
      </c>
      <c r="C24" s="280">
        <v>0.6249999999999997</v>
      </c>
      <c r="D24" s="280">
        <v>0.6361111111111107</v>
      </c>
      <c r="E24" s="281">
        <v>0.0</v>
      </c>
      <c r="F24" s="280">
        <v>0.6361111111111107</v>
      </c>
      <c r="G24" s="280">
        <v>0.644444444444444</v>
      </c>
      <c r="H24" s="281">
        <v>1.0</v>
      </c>
      <c r="I24" s="280">
        <v>0.6451388888888885</v>
      </c>
      <c r="J24" s="280">
        <v>0.6548611111111107</v>
      </c>
      <c r="K24" s="281">
        <v>1.0</v>
      </c>
      <c r="L24" s="280">
        <v>0.6555555555555551</v>
      </c>
      <c r="M24" s="280">
        <v>0.6645833333333329</v>
      </c>
      <c r="N24" s="281">
        <v>3.0</v>
      </c>
      <c r="O24" s="280">
        <v>0.6666666666666662</v>
      </c>
      <c r="P24" s="103">
        <f t="shared" si="1"/>
        <v>55</v>
      </c>
      <c r="Q24" s="103">
        <f t="shared" si="2"/>
        <v>60</v>
      </c>
      <c r="R24" s="103">
        <f t="shared" si="3"/>
        <v>5</v>
      </c>
      <c r="S24" s="104">
        <f t="shared" si="4"/>
        <v>0.09090909091</v>
      </c>
      <c r="T24" s="142">
        <f t="shared" si="5"/>
        <v>30</v>
      </c>
    </row>
    <row r="25">
      <c r="A25" s="88"/>
      <c r="B25" s="106" t="s">
        <v>7</v>
      </c>
      <c r="C25" s="280">
        <v>0.6458333333333329</v>
      </c>
      <c r="D25" s="280">
        <v>0.656944444444444</v>
      </c>
      <c r="E25" s="281">
        <v>0.0</v>
      </c>
      <c r="F25" s="280">
        <v>0.656944444444444</v>
      </c>
      <c r="G25" s="280">
        <v>0.6652777777777773</v>
      </c>
      <c r="H25" s="281">
        <v>1.0</v>
      </c>
      <c r="I25" s="280">
        <v>0.6659722222222217</v>
      </c>
      <c r="J25" s="280">
        <v>0.6756944444444439</v>
      </c>
      <c r="K25" s="281">
        <v>1.0</v>
      </c>
      <c r="L25" s="280">
        <v>0.6763888888888884</v>
      </c>
      <c r="M25" s="280">
        <v>0.6854166666666661</v>
      </c>
      <c r="N25" s="281">
        <v>3.0</v>
      </c>
      <c r="O25" s="280">
        <v>0.6874999999999994</v>
      </c>
      <c r="P25" s="103">
        <f t="shared" si="1"/>
        <v>55</v>
      </c>
      <c r="Q25" s="103">
        <f t="shared" si="2"/>
        <v>60</v>
      </c>
      <c r="R25" s="103">
        <f t="shared" si="3"/>
        <v>5</v>
      </c>
      <c r="S25" s="104">
        <f t="shared" si="4"/>
        <v>0.09090909091</v>
      </c>
      <c r="T25" s="142">
        <f t="shared" si="5"/>
        <v>30</v>
      </c>
    </row>
    <row r="26">
      <c r="A26" s="88"/>
      <c r="B26" s="106" t="s">
        <v>78</v>
      </c>
      <c r="C26" s="280">
        <v>0.6666666666666662</v>
      </c>
      <c r="D26" s="280">
        <v>0.6770833333333328</v>
      </c>
      <c r="E26" s="281">
        <v>0.0</v>
      </c>
      <c r="F26" s="280">
        <v>0.6770833333333328</v>
      </c>
      <c r="G26" s="280">
        <v>0.6847222222222217</v>
      </c>
      <c r="H26" s="281">
        <v>2.0</v>
      </c>
      <c r="I26" s="280">
        <v>0.6861111111111106</v>
      </c>
      <c r="J26" s="280">
        <v>0.6951388888888883</v>
      </c>
      <c r="K26" s="281">
        <v>2.0</v>
      </c>
      <c r="L26" s="280">
        <v>0.6965277777777772</v>
      </c>
      <c r="M26" s="280">
        <v>0.7055555555555549</v>
      </c>
      <c r="N26" s="281">
        <v>4.0</v>
      </c>
      <c r="O26" s="280">
        <v>0.7083333333333327</v>
      </c>
      <c r="P26" s="103">
        <f t="shared" si="1"/>
        <v>52</v>
      </c>
      <c r="Q26" s="103">
        <f t="shared" si="2"/>
        <v>60</v>
      </c>
      <c r="R26" s="103">
        <f t="shared" si="3"/>
        <v>8</v>
      </c>
      <c r="S26" s="104">
        <f t="shared" si="4"/>
        <v>0.1538461538</v>
      </c>
      <c r="T26" s="142">
        <f t="shared" si="5"/>
        <v>30</v>
      </c>
    </row>
    <row r="27">
      <c r="A27" s="88"/>
      <c r="B27" s="106" t="s">
        <v>78</v>
      </c>
      <c r="C27" s="280">
        <v>0.6874999999999994</v>
      </c>
      <c r="D27" s="280">
        <v>0.6979166666666661</v>
      </c>
      <c r="E27" s="281">
        <v>0.0</v>
      </c>
      <c r="F27" s="280">
        <v>0.6979166666666661</v>
      </c>
      <c r="G27" s="280">
        <v>0.7055555555555549</v>
      </c>
      <c r="H27" s="281">
        <v>2.0</v>
      </c>
      <c r="I27" s="280">
        <v>0.7069444444444438</v>
      </c>
      <c r="J27" s="280">
        <v>0.7159722222222216</v>
      </c>
      <c r="K27" s="281">
        <v>2.0</v>
      </c>
      <c r="L27" s="280">
        <v>0.7173611111111104</v>
      </c>
      <c r="M27" s="280">
        <v>0.7263888888888882</v>
      </c>
      <c r="N27" s="281">
        <v>4.0</v>
      </c>
      <c r="O27" s="280">
        <v>0.729166666666666</v>
      </c>
      <c r="P27" s="103">
        <f t="shared" si="1"/>
        <v>52</v>
      </c>
      <c r="Q27" s="103">
        <f t="shared" si="2"/>
        <v>60</v>
      </c>
      <c r="R27" s="103">
        <f t="shared" si="3"/>
        <v>8</v>
      </c>
      <c r="S27" s="104">
        <f t="shared" si="4"/>
        <v>0.1538461538</v>
      </c>
      <c r="T27" s="142">
        <f t="shared" si="5"/>
        <v>30</v>
      </c>
    </row>
    <row r="28">
      <c r="A28" s="88"/>
      <c r="B28" s="106" t="s">
        <v>79</v>
      </c>
      <c r="C28" s="280">
        <v>0.7083333333333327</v>
      </c>
      <c r="D28" s="280">
        <v>0.7187499999999993</v>
      </c>
      <c r="E28" s="281">
        <v>0.0</v>
      </c>
      <c r="F28" s="280">
        <v>0.7187499999999993</v>
      </c>
      <c r="G28" s="280">
        <v>0.7263888888888882</v>
      </c>
      <c r="H28" s="281">
        <v>2.0</v>
      </c>
      <c r="I28" s="280">
        <v>0.7277777777777771</v>
      </c>
      <c r="J28" s="280">
        <v>0.7361111111111104</v>
      </c>
      <c r="K28" s="281">
        <v>3.0</v>
      </c>
      <c r="L28" s="280">
        <v>0.7381944444444437</v>
      </c>
      <c r="M28" s="280">
        <v>0.746527777777777</v>
      </c>
      <c r="N28" s="281">
        <v>5.0</v>
      </c>
      <c r="O28" s="280">
        <v>0.7499999999999992</v>
      </c>
      <c r="P28" s="103">
        <f t="shared" si="1"/>
        <v>50</v>
      </c>
      <c r="Q28" s="103">
        <f t="shared" si="2"/>
        <v>60</v>
      </c>
      <c r="R28" s="103">
        <f t="shared" si="3"/>
        <v>10</v>
      </c>
      <c r="S28" s="104">
        <f t="shared" si="4"/>
        <v>0.2</v>
      </c>
      <c r="T28" s="142">
        <f t="shared" si="5"/>
        <v>30</v>
      </c>
    </row>
    <row r="29">
      <c r="A29" s="88"/>
      <c r="B29" s="106" t="s">
        <v>79</v>
      </c>
      <c r="C29" s="280">
        <v>0.729166666666666</v>
      </c>
      <c r="D29" s="280">
        <v>0.7395833333333326</v>
      </c>
      <c r="E29" s="281">
        <v>0.0</v>
      </c>
      <c r="F29" s="280">
        <v>0.7395833333333326</v>
      </c>
      <c r="G29" s="280">
        <v>0.7472222222222215</v>
      </c>
      <c r="H29" s="281">
        <v>2.0</v>
      </c>
      <c r="I29" s="280">
        <v>0.7486111111111103</v>
      </c>
      <c r="J29" s="280">
        <v>0.7569444444444436</v>
      </c>
      <c r="K29" s="281">
        <v>3.0</v>
      </c>
      <c r="L29" s="280">
        <v>0.759027777777777</v>
      </c>
      <c r="M29" s="280">
        <v>0.7673611111111103</v>
      </c>
      <c r="N29" s="281">
        <v>5.0</v>
      </c>
      <c r="O29" s="280">
        <v>0.7708333333333325</v>
      </c>
      <c r="P29" s="103">
        <f t="shared" si="1"/>
        <v>50</v>
      </c>
      <c r="Q29" s="103">
        <f t="shared" si="2"/>
        <v>60</v>
      </c>
      <c r="R29" s="103">
        <f t="shared" si="3"/>
        <v>10</v>
      </c>
      <c r="S29" s="104">
        <f t="shared" si="4"/>
        <v>0.2</v>
      </c>
      <c r="T29" s="142">
        <f t="shared" si="5"/>
        <v>30</v>
      </c>
    </row>
    <row r="30">
      <c r="A30" s="88"/>
      <c r="B30" s="106" t="s">
        <v>79</v>
      </c>
      <c r="C30" s="280">
        <v>0.7499999999999992</v>
      </c>
      <c r="D30" s="280">
        <v>0.7604166666666659</v>
      </c>
      <c r="E30" s="281">
        <v>0.0</v>
      </c>
      <c r="F30" s="280">
        <v>0.7604166666666659</v>
      </c>
      <c r="G30" s="280">
        <v>0.7680555555555547</v>
      </c>
      <c r="H30" s="281">
        <v>2.0</v>
      </c>
      <c r="I30" s="280">
        <v>0.7694444444444436</v>
      </c>
      <c r="J30" s="280">
        <v>0.7777777777777769</v>
      </c>
      <c r="K30" s="281">
        <v>3.0</v>
      </c>
      <c r="L30" s="280">
        <v>0.7798611111111102</v>
      </c>
      <c r="M30" s="280">
        <v>0.7881944444444435</v>
      </c>
      <c r="N30" s="281">
        <v>5.0</v>
      </c>
      <c r="O30" s="280">
        <v>0.7916666666666657</v>
      </c>
      <c r="P30" s="103">
        <f t="shared" si="1"/>
        <v>50</v>
      </c>
      <c r="Q30" s="103">
        <f t="shared" si="2"/>
        <v>60</v>
      </c>
      <c r="R30" s="103">
        <f t="shared" si="3"/>
        <v>10</v>
      </c>
      <c r="S30" s="104">
        <f t="shared" si="4"/>
        <v>0.2</v>
      </c>
      <c r="T30" s="142">
        <f t="shared" si="5"/>
        <v>30</v>
      </c>
    </row>
    <row r="31">
      <c r="A31" s="88"/>
      <c r="B31" s="106" t="s">
        <v>79</v>
      </c>
      <c r="C31" s="280">
        <v>0.7708333333333325</v>
      </c>
      <c r="D31" s="280">
        <v>0.7812499999999991</v>
      </c>
      <c r="E31" s="281">
        <v>0.0</v>
      </c>
      <c r="F31" s="280">
        <v>0.7812499999999991</v>
      </c>
      <c r="G31" s="280">
        <v>0.788888888888888</v>
      </c>
      <c r="H31" s="281">
        <v>2.0</v>
      </c>
      <c r="I31" s="280">
        <v>0.7902777777777769</v>
      </c>
      <c r="J31" s="280">
        <v>0.7986111111111102</v>
      </c>
      <c r="K31" s="281">
        <v>3.0</v>
      </c>
      <c r="L31" s="280">
        <v>0.8006944444444435</v>
      </c>
      <c r="M31" s="280">
        <v>0.8090277777777768</v>
      </c>
      <c r="N31" s="281">
        <v>5.0</v>
      </c>
      <c r="O31" s="280">
        <v>0.812499999999999</v>
      </c>
      <c r="P31" s="103">
        <f t="shared" si="1"/>
        <v>50</v>
      </c>
      <c r="Q31" s="103">
        <f t="shared" si="2"/>
        <v>60</v>
      </c>
      <c r="R31" s="103">
        <f t="shared" si="3"/>
        <v>10</v>
      </c>
      <c r="S31" s="104">
        <f t="shared" si="4"/>
        <v>0.2</v>
      </c>
      <c r="T31" s="142">
        <f t="shared" si="5"/>
        <v>30</v>
      </c>
    </row>
    <row r="32">
      <c r="A32" s="88"/>
      <c r="B32" s="106" t="s">
        <v>79</v>
      </c>
      <c r="C32" s="280">
        <v>0.7916666666666657</v>
      </c>
      <c r="D32" s="280">
        <v>0.8020833333333324</v>
      </c>
      <c r="E32" s="281">
        <v>0.0</v>
      </c>
      <c r="F32" s="280">
        <v>0.8020833333333324</v>
      </c>
      <c r="G32" s="280">
        <v>0.8097222222222212</v>
      </c>
      <c r="H32" s="281">
        <v>2.0</v>
      </c>
      <c r="I32" s="280">
        <v>0.8111111111111101</v>
      </c>
      <c r="J32" s="280">
        <v>0.8194444444444434</v>
      </c>
      <c r="K32" s="281">
        <v>3.0</v>
      </c>
      <c r="L32" s="280">
        <v>0.8215277777777767</v>
      </c>
      <c r="M32" s="280">
        <v>0.82986111111111</v>
      </c>
      <c r="N32" s="281">
        <v>5.0</v>
      </c>
      <c r="O32" s="280">
        <v>0.8333333333333323</v>
      </c>
      <c r="P32" s="103">
        <f t="shared" si="1"/>
        <v>50</v>
      </c>
      <c r="Q32" s="103">
        <f t="shared" si="2"/>
        <v>60</v>
      </c>
      <c r="R32" s="103">
        <f t="shared" si="3"/>
        <v>10</v>
      </c>
      <c r="S32" s="104">
        <f t="shared" si="4"/>
        <v>0.2</v>
      </c>
      <c r="T32" s="142">
        <f t="shared" si="5"/>
        <v>30</v>
      </c>
    </row>
    <row r="33">
      <c r="A33" s="88"/>
      <c r="B33" s="106" t="s">
        <v>79</v>
      </c>
      <c r="C33" s="280">
        <v>0.812499999999999</v>
      </c>
      <c r="D33" s="280">
        <v>0.8229166666666656</v>
      </c>
      <c r="E33" s="281">
        <v>0.0</v>
      </c>
      <c r="F33" s="280">
        <v>0.8229166666666656</v>
      </c>
      <c r="G33" s="280">
        <v>0.8305555555555545</v>
      </c>
      <c r="H33" s="281">
        <v>2.0</v>
      </c>
      <c r="I33" s="280">
        <v>0.8319444444444434</v>
      </c>
      <c r="J33" s="280">
        <v>0.8402777777777767</v>
      </c>
      <c r="K33" s="281">
        <v>3.0</v>
      </c>
      <c r="L33" s="280">
        <v>0.84236111111111</v>
      </c>
      <c r="M33" s="280">
        <v>0.8506944444444433</v>
      </c>
      <c r="N33" s="281">
        <v>5.0</v>
      </c>
      <c r="O33" s="280">
        <v>0.8541666666666655</v>
      </c>
      <c r="P33" s="103">
        <f t="shared" si="1"/>
        <v>50</v>
      </c>
      <c r="Q33" s="103">
        <f t="shared" si="2"/>
        <v>60</v>
      </c>
      <c r="R33" s="103">
        <f t="shared" si="3"/>
        <v>10</v>
      </c>
      <c r="S33" s="104">
        <f t="shared" si="4"/>
        <v>0.2</v>
      </c>
      <c r="T33" s="142">
        <f t="shared" si="5"/>
        <v>30</v>
      </c>
    </row>
    <row r="34">
      <c r="A34" s="88"/>
      <c r="B34" s="106" t="s">
        <v>98</v>
      </c>
      <c r="C34" s="280">
        <v>0.8333333333333323</v>
      </c>
      <c r="D34" s="280">
        <v>0.8430555555555544</v>
      </c>
      <c r="E34" s="281">
        <v>0.0</v>
      </c>
      <c r="F34" s="280">
        <v>0.8430555555555544</v>
      </c>
      <c r="G34" s="280">
        <v>0.8506944444444433</v>
      </c>
      <c r="H34" s="281">
        <v>3.0</v>
      </c>
      <c r="I34" s="280">
        <v>0.8527777777777766</v>
      </c>
      <c r="J34" s="280">
        <v>0.8611111111111099</v>
      </c>
      <c r="K34" s="281">
        <v>3.0</v>
      </c>
      <c r="L34" s="280">
        <v>0.8631944444444433</v>
      </c>
      <c r="M34" s="280">
        <v>0.8715277777777766</v>
      </c>
      <c r="N34" s="281">
        <v>5.0</v>
      </c>
      <c r="O34" s="280">
        <v>0.8749999999999988</v>
      </c>
      <c r="P34" s="103">
        <f t="shared" si="1"/>
        <v>49</v>
      </c>
      <c r="Q34" s="103">
        <f t="shared" si="2"/>
        <v>60</v>
      </c>
      <c r="R34" s="103">
        <f t="shared" si="3"/>
        <v>11</v>
      </c>
      <c r="S34" s="104">
        <f t="shared" si="4"/>
        <v>0.2244897959</v>
      </c>
      <c r="T34" s="142">
        <f t="shared" si="5"/>
        <v>30</v>
      </c>
    </row>
    <row r="35">
      <c r="A35" s="88"/>
      <c r="B35" s="106" t="s">
        <v>98</v>
      </c>
      <c r="C35" s="280">
        <v>0.8541666666666655</v>
      </c>
      <c r="D35" s="280">
        <v>0.8638888888888877</v>
      </c>
      <c r="E35" s="281">
        <v>0.0</v>
      </c>
      <c r="F35" s="280">
        <v>0.8638888888888877</v>
      </c>
      <c r="G35" s="280">
        <v>0.8715277777777766</v>
      </c>
      <c r="H35" s="281">
        <v>3.0</v>
      </c>
      <c r="I35" s="280">
        <v>0.8736111111111099</v>
      </c>
      <c r="J35" s="280">
        <v>0.8819444444444432</v>
      </c>
      <c r="K35" s="281">
        <v>3.0</v>
      </c>
      <c r="L35" s="280">
        <v>0.8840277777777765</v>
      </c>
      <c r="M35" s="280">
        <v>0.8923611111111098</v>
      </c>
      <c r="N35" s="281">
        <v>5.0</v>
      </c>
      <c r="O35" s="280">
        <v>0.895833333333332</v>
      </c>
      <c r="P35" s="103">
        <f t="shared" si="1"/>
        <v>49</v>
      </c>
      <c r="Q35" s="103">
        <f t="shared" si="2"/>
        <v>60</v>
      </c>
      <c r="R35" s="103">
        <f t="shared" si="3"/>
        <v>11</v>
      </c>
      <c r="S35" s="104">
        <f t="shared" si="4"/>
        <v>0.2244897959</v>
      </c>
      <c r="T35" s="142">
        <f t="shared" si="5"/>
        <v>30</v>
      </c>
    </row>
    <row r="36">
      <c r="A36" s="88"/>
      <c r="B36" s="106" t="s">
        <v>98</v>
      </c>
      <c r="C36" s="280">
        <v>0.8749999999999988</v>
      </c>
      <c r="D36" s="280">
        <v>0.884722222222221</v>
      </c>
      <c r="E36" s="281">
        <v>0.0</v>
      </c>
      <c r="F36" s="280">
        <v>0.884722222222221</v>
      </c>
      <c r="G36" s="280">
        <v>0.8923611111111098</v>
      </c>
      <c r="H36" s="281">
        <v>3.0</v>
      </c>
      <c r="I36" s="280">
        <v>0.8944444444444432</v>
      </c>
      <c r="J36" s="280">
        <v>0.9027777777777765</v>
      </c>
      <c r="K36" s="281">
        <v>3.0</v>
      </c>
      <c r="L36" s="280">
        <v>0.9048611111111098</v>
      </c>
      <c r="M36" s="280">
        <v>0.9131944444444431</v>
      </c>
      <c r="N36" s="281">
        <v>5.0</v>
      </c>
      <c r="O36" s="280">
        <v>0.9166666666666653</v>
      </c>
      <c r="P36" s="103">
        <f t="shared" si="1"/>
        <v>49</v>
      </c>
      <c r="Q36" s="103">
        <f t="shared" si="2"/>
        <v>60</v>
      </c>
      <c r="R36" s="103">
        <f t="shared" si="3"/>
        <v>11</v>
      </c>
      <c r="S36" s="104">
        <f t="shared" si="4"/>
        <v>0.2244897959</v>
      </c>
      <c r="T36" s="142">
        <f t="shared" si="5"/>
        <v>30</v>
      </c>
    </row>
    <row r="37">
      <c r="A37" s="88"/>
      <c r="B37" s="106" t="s">
        <v>98</v>
      </c>
      <c r="C37" s="280">
        <v>0.895833333333332</v>
      </c>
      <c r="D37" s="280">
        <v>0.9055555555555542</v>
      </c>
      <c r="E37" s="281">
        <v>0.0</v>
      </c>
      <c r="F37" s="280">
        <v>0.9055555555555542</v>
      </c>
      <c r="G37" s="280">
        <v>0.9131944444444431</v>
      </c>
      <c r="H37" s="281">
        <v>3.0</v>
      </c>
      <c r="I37" s="280">
        <v>0.9152777777777764</v>
      </c>
      <c r="J37" s="280">
        <v>0.9236111111111097</v>
      </c>
      <c r="K37" s="281">
        <v>3.0</v>
      </c>
      <c r="L37" s="280">
        <v>0.925694444444443</v>
      </c>
      <c r="M37" s="280">
        <v>0.9340277777777763</v>
      </c>
      <c r="N37" s="281">
        <v>0.0</v>
      </c>
      <c r="O37" s="107" t="s">
        <v>80</v>
      </c>
      <c r="P37" s="103">
        <f t="shared" si="1"/>
        <v>49</v>
      </c>
      <c r="Q37" s="103">
        <f>(M37-C37)*1440</f>
        <v>55</v>
      </c>
      <c r="R37" s="103">
        <f t="shared" si="3"/>
        <v>6</v>
      </c>
      <c r="S37" s="104">
        <f t="shared" si="4"/>
        <v>0.1224489796</v>
      </c>
      <c r="T37" s="142">
        <f t="shared" ref="T37:T39" si="6">(M37-M36)*1440</f>
        <v>30</v>
      </c>
    </row>
    <row r="38">
      <c r="A38" s="88"/>
      <c r="B38" s="106" t="s">
        <v>98</v>
      </c>
      <c r="C38" s="280">
        <v>0.9166666666666653</v>
      </c>
      <c r="D38" s="280">
        <v>0.9263888888888875</v>
      </c>
      <c r="E38" s="281">
        <v>0.0</v>
      </c>
      <c r="F38" s="280">
        <v>0.9263888888888875</v>
      </c>
      <c r="G38" s="280">
        <v>0.9340277777777763</v>
      </c>
      <c r="H38" s="281">
        <v>3.0</v>
      </c>
      <c r="I38" s="280">
        <v>0.9361111111111097</v>
      </c>
      <c r="J38" s="280">
        <v>0.944444444444443</v>
      </c>
      <c r="K38" s="281">
        <v>3.0</v>
      </c>
      <c r="L38" s="280">
        <v>0.9465277777777763</v>
      </c>
      <c r="M38" s="280">
        <v>0.9548611111111096</v>
      </c>
      <c r="N38" s="281">
        <v>5.0</v>
      </c>
      <c r="O38" s="280">
        <v>0.9583333333333318</v>
      </c>
      <c r="P38" s="103">
        <f t="shared" si="1"/>
        <v>49</v>
      </c>
      <c r="Q38" s="103">
        <f>(O38-C38)*1440</f>
        <v>60</v>
      </c>
      <c r="R38" s="103">
        <f t="shared" si="3"/>
        <v>11</v>
      </c>
      <c r="S38" s="104">
        <f t="shared" si="4"/>
        <v>0.2244897959</v>
      </c>
      <c r="T38" s="142">
        <f t="shared" si="6"/>
        <v>30</v>
      </c>
    </row>
    <row r="39">
      <c r="A39" s="88"/>
      <c r="B39" s="106" t="s">
        <v>98</v>
      </c>
      <c r="C39" s="280">
        <v>0.9583333333333318</v>
      </c>
      <c r="D39" s="280">
        <v>0.968055555555554</v>
      </c>
      <c r="E39" s="281">
        <v>0.0</v>
      </c>
      <c r="F39" s="280">
        <v>0.968055555555554</v>
      </c>
      <c r="G39" s="280">
        <v>0.9756944444444429</v>
      </c>
      <c r="H39" s="281">
        <v>3.0</v>
      </c>
      <c r="I39" s="280">
        <v>0.9777777777777762</v>
      </c>
      <c r="J39" s="280">
        <v>0.9861111111111095</v>
      </c>
      <c r="K39" s="281">
        <v>3.0</v>
      </c>
      <c r="L39" s="280">
        <v>0.9881944444444428</v>
      </c>
      <c r="M39" s="280">
        <v>0.9965277777777761</v>
      </c>
      <c r="N39" s="281">
        <v>0.0</v>
      </c>
      <c r="O39" s="107" t="s">
        <v>80</v>
      </c>
      <c r="P39" s="103">
        <f t="shared" si="1"/>
        <v>49</v>
      </c>
      <c r="Q39" s="103">
        <f>(M39-C39)*1440</f>
        <v>55</v>
      </c>
      <c r="R39" s="103">
        <f t="shared" si="3"/>
        <v>6</v>
      </c>
      <c r="S39" s="104">
        <f t="shared" si="4"/>
        <v>0.1224489796</v>
      </c>
      <c r="T39" s="142">
        <f t="shared" si="6"/>
        <v>60</v>
      </c>
    </row>
    <row r="40">
      <c r="A40" s="282"/>
      <c r="B40" s="62"/>
      <c r="P40" s="283"/>
      <c r="Q40" s="112">
        <f>SUM(Q5:Q39)/60</f>
        <v>34.83333333</v>
      </c>
      <c r="R40" s="283"/>
    </row>
    <row r="41">
      <c r="A41" s="284" t="s">
        <v>82</v>
      </c>
      <c r="B41" s="160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</row>
    <row r="42">
      <c r="A42" s="88"/>
      <c r="B42" s="292" t="s">
        <v>157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  <c r="S42" s="126"/>
    </row>
    <row r="43">
      <c r="A43" s="88"/>
      <c r="B43" s="62"/>
      <c r="C43" s="293" t="s">
        <v>62</v>
      </c>
      <c r="D43" s="294" t="s">
        <v>85</v>
      </c>
      <c r="E43" s="295"/>
      <c r="F43" s="294" t="s">
        <v>62</v>
      </c>
      <c r="G43" s="294" t="s">
        <v>85</v>
      </c>
      <c r="H43" s="295"/>
      <c r="I43" s="294" t="s">
        <v>62</v>
      </c>
      <c r="J43" s="294" t="s">
        <v>85</v>
      </c>
      <c r="K43" s="295"/>
      <c r="L43" s="294" t="s">
        <v>62</v>
      </c>
      <c r="M43" s="294" t="s">
        <v>85</v>
      </c>
      <c r="N43" s="295"/>
      <c r="O43" s="294" t="s">
        <v>62</v>
      </c>
      <c r="P43" s="129"/>
      <c r="Q43" s="129"/>
      <c r="R43" s="129"/>
      <c r="S43" s="129"/>
    </row>
    <row r="44">
      <c r="A44" s="88"/>
      <c r="B44" s="89" t="s">
        <v>63</v>
      </c>
      <c r="C44" s="296" t="s">
        <v>86</v>
      </c>
      <c r="D44" s="296" t="s">
        <v>70</v>
      </c>
      <c r="E44" s="91" t="s">
        <v>69</v>
      </c>
      <c r="F44" s="296" t="s">
        <v>70</v>
      </c>
      <c r="G44" s="297" t="s">
        <v>87</v>
      </c>
      <c r="H44" s="91" t="s">
        <v>69</v>
      </c>
      <c r="I44" s="297" t="s">
        <v>87</v>
      </c>
      <c r="J44" s="296" t="s">
        <v>158</v>
      </c>
      <c r="K44" s="91" t="s">
        <v>69</v>
      </c>
      <c r="L44" s="296" t="s">
        <v>158</v>
      </c>
      <c r="M44" s="297" t="s">
        <v>86</v>
      </c>
      <c r="N44" s="91" t="s">
        <v>69</v>
      </c>
      <c r="O44" s="296" t="s">
        <v>86</v>
      </c>
      <c r="P44" s="134"/>
      <c r="Q44" s="134"/>
      <c r="R44" s="134"/>
      <c r="S44" s="134"/>
    </row>
    <row r="45">
      <c r="A45" s="88"/>
      <c r="B45" s="93" t="s">
        <v>72</v>
      </c>
      <c r="C45" s="296">
        <v>1.0</v>
      </c>
      <c r="D45" s="298">
        <v>331.0</v>
      </c>
      <c r="E45" s="94"/>
      <c r="F45" s="298">
        <v>331.0</v>
      </c>
      <c r="G45" s="298">
        <v>440.0</v>
      </c>
      <c r="H45" s="94"/>
      <c r="I45" s="298">
        <v>440.0</v>
      </c>
      <c r="J45" s="298">
        <v>419.0</v>
      </c>
      <c r="K45" s="94"/>
      <c r="L45" s="298">
        <v>419.0</v>
      </c>
      <c r="M45" s="298">
        <v>1.0</v>
      </c>
      <c r="N45" s="94"/>
      <c r="O45" s="299">
        <v>1.0</v>
      </c>
      <c r="P45" s="95" t="s">
        <v>73</v>
      </c>
      <c r="Q45" s="95" t="s">
        <v>74</v>
      </c>
      <c r="R45" s="95" t="s">
        <v>69</v>
      </c>
      <c r="S45" s="95" t="s">
        <v>75</v>
      </c>
      <c r="T45" s="96" t="s">
        <v>76</v>
      </c>
    </row>
    <row r="46">
      <c r="A46" s="88"/>
      <c r="B46" s="97" t="s">
        <v>89</v>
      </c>
      <c r="C46" s="289">
        <v>0.3125</v>
      </c>
      <c r="D46" s="280">
        <v>0.3229166666666667</v>
      </c>
      <c r="E46" s="281">
        <v>0.0</v>
      </c>
      <c r="F46" s="280">
        <v>0.3229166666666667</v>
      </c>
      <c r="G46" s="280">
        <v>0.3298611111111111</v>
      </c>
      <c r="H46" s="281">
        <v>3.0</v>
      </c>
      <c r="I46" s="280">
        <v>0.33194444444444443</v>
      </c>
      <c r="J46" s="280">
        <v>0.3402777777777778</v>
      </c>
      <c r="K46" s="281">
        <v>3.0</v>
      </c>
      <c r="L46" s="280">
        <v>0.3423611111111111</v>
      </c>
      <c r="M46" s="280">
        <v>0.3506944444444445</v>
      </c>
      <c r="N46" s="281">
        <v>5.0</v>
      </c>
      <c r="O46" s="280">
        <v>0.3541666666666667</v>
      </c>
      <c r="P46" s="103">
        <f t="shared" ref="P46:P76" si="7">Q46-R46</f>
        <v>49</v>
      </c>
      <c r="Q46" s="103">
        <f t="shared" ref="Q46:Q73" si="8">(O46-C46)*1440</f>
        <v>60</v>
      </c>
      <c r="R46" s="103">
        <f t="shared" ref="R46:R76" si="9">N46+K46+H46+E46</f>
        <v>11</v>
      </c>
      <c r="S46" s="104">
        <f t="shared" ref="S46:S76" si="10">R46/P46</f>
        <v>0.2244897959</v>
      </c>
      <c r="T46" s="142"/>
    </row>
    <row r="47">
      <c r="A47" s="88"/>
      <c r="B47" s="106" t="s">
        <v>77</v>
      </c>
      <c r="C47" s="289">
        <v>0.3333333333333333</v>
      </c>
      <c r="D47" s="280">
        <v>0.34375</v>
      </c>
      <c r="E47" s="281">
        <v>0.0</v>
      </c>
      <c r="F47" s="280">
        <v>0.34375</v>
      </c>
      <c r="G47" s="280">
        <v>0.35138888888888886</v>
      </c>
      <c r="H47" s="281">
        <v>2.0</v>
      </c>
      <c r="I47" s="280">
        <v>0.35277777777777775</v>
      </c>
      <c r="J47" s="280">
        <v>0.3611111111111111</v>
      </c>
      <c r="K47" s="281">
        <v>3.0</v>
      </c>
      <c r="L47" s="280">
        <v>0.36319444444444443</v>
      </c>
      <c r="M47" s="280">
        <v>0.37222222222222223</v>
      </c>
      <c r="N47" s="281">
        <v>4.0</v>
      </c>
      <c r="O47" s="280">
        <v>0.375</v>
      </c>
      <c r="P47" s="103">
        <f t="shared" si="7"/>
        <v>51</v>
      </c>
      <c r="Q47" s="103">
        <f t="shared" si="8"/>
        <v>60</v>
      </c>
      <c r="R47" s="103">
        <f t="shared" si="9"/>
        <v>9</v>
      </c>
      <c r="S47" s="104">
        <f t="shared" si="10"/>
        <v>0.1764705882</v>
      </c>
      <c r="T47" s="142">
        <f t="shared" ref="T47:T73" si="11">(O47-O46)*1440</f>
        <v>30</v>
      </c>
    </row>
    <row r="48">
      <c r="A48" s="88"/>
      <c r="B48" s="106" t="s">
        <v>77</v>
      </c>
      <c r="C48" s="280">
        <v>0.3541666666666667</v>
      </c>
      <c r="D48" s="280">
        <v>0.36458333333333337</v>
      </c>
      <c r="E48" s="281">
        <v>0.0</v>
      </c>
      <c r="F48" s="280">
        <v>0.36458333333333337</v>
      </c>
      <c r="G48" s="280">
        <v>0.37222222222222223</v>
      </c>
      <c r="H48" s="281">
        <v>2.0</v>
      </c>
      <c r="I48" s="280">
        <v>0.3736111111111111</v>
      </c>
      <c r="J48" s="280">
        <v>0.3819444444444445</v>
      </c>
      <c r="K48" s="281">
        <v>3.0</v>
      </c>
      <c r="L48" s="280">
        <v>0.3840277777777778</v>
      </c>
      <c r="M48" s="280">
        <v>0.3930555555555556</v>
      </c>
      <c r="N48" s="281">
        <v>4.0</v>
      </c>
      <c r="O48" s="280">
        <v>0.39583333333333337</v>
      </c>
      <c r="P48" s="103">
        <f t="shared" si="7"/>
        <v>51</v>
      </c>
      <c r="Q48" s="103">
        <f t="shared" si="8"/>
        <v>60</v>
      </c>
      <c r="R48" s="103">
        <f t="shared" si="9"/>
        <v>9</v>
      </c>
      <c r="S48" s="104">
        <f t="shared" si="10"/>
        <v>0.1764705882</v>
      </c>
      <c r="T48" s="142">
        <f t="shared" si="11"/>
        <v>30</v>
      </c>
    </row>
    <row r="49">
      <c r="A49" s="88"/>
      <c r="B49" s="106" t="s">
        <v>77</v>
      </c>
      <c r="C49" s="280">
        <v>0.375</v>
      </c>
      <c r="D49" s="280">
        <v>0.3854166666666667</v>
      </c>
      <c r="E49" s="281">
        <v>0.0</v>
      </c>
      <c r="F49" s="280">
        <v>0.3854166666666667</v>
      </c>
      <c r="G49" s="280">
        <v>0.39305555555555555</v>
      </c>
      <c r="H49" s="281">
        <v>2.0</v>
      </c>
      <c r="I49" s="280">
        <v>0.39444444444444443</v>
      </c>
      <c r="J49" s="280">
        <v>0.4027777777777778</v>
      </c>
      <c r="K49" s="281">
        <v>3.0</v>
      </c>
      <c r="L49" s="280">
        <v>0.4048611111111111</v>
      </c>
      <c r="M49" s="280">
        <v>0.4138888888888889</v>
      </c>
      <c r="N49" s="281">
        <v>4.0</v>
      </c>
      <c r="O49" s="280">
        <v>0.4166666666666667</v>
      </c>
      <c r="P49" s="103">
        <f t="shared" si="7"/>
        <v>51</v>
      </c>
      <c r="Q49" s="103">
        <f t="shared" si="8"/>
        <v>60</v>
      </c>
      <c r="R49" s="103">
        <f t="shared" si="9"/>
        <v>9</v>
      </c>
      <c r="S49" s="104">
        <f t="shared" si="10"/>
        <v>0.1764705882</v>
      </c>
      <c r="T49" s="142">
        <f t="shared" si="11"/>
        <v>30</v>
      </c>
    </row>
    <row r="50">
      <c r="A50" s="88"/>
      <c r="B50" s="106" t="s">
        <v>77</v>
      </c>
      <c r="C50" s="280">
        <v>0.39583333333333337</v>
      </c>
      <c r="D50" s="280">
        <v>0.40625000000000006</v>
      </c>
      <c r="E50" s="281">
        <v>0.0</v>
      </c>
      <c r="F50" s="280">
        <v>0.40625000000000006</v>
      </c>
      <c r="G50" s="280">
        <v>0.4138888888888889</v>
      </c>
      <c r="H50" s="281">
        <v>2.0</v>
      </c>
      <c r="I50" s="280">
        <v>0.4152777777777778</v>
      </c>
      <c r="J50" s="280">
        <v>0.42361111111111116</v>
      </c>
      <c r="K50" s="281">
        <v>3.0</v>
      </c>
      <c r="L50" s="280">
        <v>0.4256944444444445</v>
      </c>
      <c r="M50" s="280">
        <v>0.4347222222222223</v>
      </c>
      <c r="N50" s="281">
        <v>4.0</v>
      </c>
      <c r="O50" s="280">
        <v>0.43750000000000006</v>
      </c>
      <c r="P50" s="103">
        <f t="shared" si="7"/>
        <v>51</v>
      </c>
      <c r="Q50" s="103">
        <f t="shared" si="8"/>
        <v>60</v>
      </c>
      <c r="R50" s="103">
        <f t="shared" si="9"/>
        <v>9</v>
      </c>
      <c r="S50" s="104">
        <f t="shared" si="10"/>
        <v>0.1764705882</v>
      </c>
      <c r="T50" s="142">
        <f t="shared" si="11"/>
        <v>30</v>
      </c>
    </row>
    <row r="51">
      <c r="A51" s="88"/>
      <c r="B51" s="106" t="s">
        <v>77</v>
      </c>
      <c r="C51" s="280">
        <v>0.4166666666666667</v>
      </c>
      <c r="D51" s="280">
        <v>0.42708333333333337</v>
      </c>
      <c r="E51" s="281">
        <v>0.0</v>
      </c>
      <c r="F51" s="280">
        <v>0.42708333333333337</v>
      </c>
      <c r="G51" s="280">
        <v>0.43472222222222223</v>
      </c>
      <c r="H51" s="281">
        <v>2.0</v>
      </c>
      <c r="I51" s="280">
        <v>0.4361111111111111</v>
      </c>
      <c r="J51" s="280">
        <v>0.4444444444444445</v>
      </c>
      <c r="K51" s="281">
        <v>3.0</v>
      </c>
      <c r="L51" s="280">
        <v>0.4465277777777778</v>
      </c>
      <c r="M51" s="280">
        <v>0.4555555555555556</v>
      </c>
      <c r="N51" s="281">
        <v>4.0</v>
      </c>
      <c r="O51" s="280">
        <v>0.45833333333333337</v>
      </c>
      <c r="P51" s="103">
        <f t="shared" si="7"/>
        <v>51</v>
      </c>
      <c r="Q51" s="103">
        <f t="shared" si="8"/>
        <v>60</v>
      </c>
      <c r="R51" s="103">
        <f t="shared" si="9"/>
        <v>9</v>
      </c>
      <c r="S51" s="104">
        <f t="shared" si="10"/>
        <v>0.1764705882</v>
      </c>
      <c r="T51" s="142">
        <f t="shared" si="11"/>
        <v>30</v>
      </c>
    </row>
    <row r="52">
      <c r="A52" s="88"/>
      <c r="B52" s="106" t="s">
        <v>77</v>
      </c>
      <c r="C52" s="280">
        <v>0.43750000000000006</v>
      </c>
      <c r="D52" s="280">
        <v>0.44791666666666674</v>
      </c>
      <c r="E52" s="281">
        <v>0.0</v>
      </c>
      <c r="F52" s="280">
        <v>0.44791666666666674</v>
      </c>
      <c r="G52" s="280">
        <v>0.4555555555555556</v>
      </c>
      <c r="H52" s="281">
        <v>2.0</v>
      </c>
      <c r="I52" s="280">
        <v>0.4569444444444445</v>
      </c>
      <c r="J52" s="280">
        <v>0.46527777777777785</v>
      </c>
      <c r="K52" s="281">
        <v>3.0</v>
      </c>
      <c r="L52" s="280">
        <v>0.46736111111111117</v>
      </c>
      <c r="M52" s="280">
        <v>0.476388888888889</v>
      </c>
      <c r="N52" s="281">
        <v>4.0</v>
      </c>
      <c r="O52" s="280">
        <v>0.47916666666666674</v>
      </c>
      <c r="P52" s="103">
        <f t="shared" si="7"/>
        <v>51</v>
      </c>
      <c r="Q52" s="103">
        <f t="shared" si="8"/>
        <v>60</v>
      </c>
      <c r="R52" s="103">
        <f t="shared" si="9"/>
        <v>9</v>
      </c>
      <c r="S52" s="104">
        <f t="shared" si="10"/>
        <v>0.1764705882</v>
      </c>
      <c r="T52" s="142">
        <f t="shared" si="11"/>
        <v>30</v>
      </c>
    </row>
    <row r="53">
      <c r="A53" s="88"/>
      <c r="B53" s="106" t="s">
        <v>77</v>
      </c>
      <c r="C53" s="280">
        <v>0.45833333333333337</v>
      </c>
      <c r="D53" s="280">
        <v>0.46875000000000006</v>
      </c>
      <c r="E53" s="281">
        <v>0.0</v>
      </c>
      <c r="F53" s="280">
        <v>0.46875000000000006</v>
      </c>
      <c r="G53" s="280">
        <v>0.4763888888888889</v>
      </c>
      <c r="H53" s="281">
        <v>2.0</v>
      </c>
      <c r="I53" s="280">
        <v>0.4777777777777778</v>
      </c>
      <c r="J53" s="280">
        <v>0.48611111111111116</v>
      </c>
      <c r="K53" s="281">
        <v>3.0</v>
      </c>
      <c r="L53" s="280">
        <v>0.4881944444444445</v>
      </c>
      <c r="M53" s="280">
        <v>0.4972222222222223</v>
      </c>
      <c r="N53" s="281">
        <v>4.0</v>
      </c>
      <c r="O53" s="280">
        <v>0.5000000000000001</v>
      </c>
      <c r="P53" s="103">
        <f t="shared" si="7"/>
        <v>51</v>
      </c>
      <c r="Q53" s="103">
        <f t="shared" si="8"/>
        <v>60</v>
      </c>
      <c r="R53" s="103">
        <f t="shared" si="9"/>
        <v>9</v>
      </c>
      <c r="S53" s="104">
        <f t="shared" si="10"/>
        <v>0.1764705882</v>
      </c>
      <c r="T53" s="142">
        <f t="shared" si="11"/>
        <v>30</v>
      </c>
    </row>
    <row r="54">
      <c r="A54" s="88"/>
      <c r="B54" s="106" t="s">
        <v>78</v>
      </c>
      <c r="C54" s="280">
        <v>0.47916666666666674</v>
      </c>
      <c r="D54" s="280">
        <v>0.4895833333333334</v>
      </c>
      <c r="E54" s="281">
        <v>0.0</v>
      </c>
      <c r="F54" s="280">
        <v>0.4895833333333334</v>
      </c>
      <c r="G54" s="280">
        <v>0.4972222222222223</v>
      </c>
      <c r="H54" s="281">
        <v>2.0</v>
      </c>
      <c r="I54" s="280">
        <v>0.49861111111111117</v>
      </c>
      <c r="J54" s="280">
        <v>0.507638888888889</v>
      </c>
      <c r="K54" s="281">
        <v>2.0</v>
      </c>
      <c r="L54" s="280">
        <v>0.5090277777777779</v>
      </c>
      <c r="M54" s="280">
        <v>0.5180555555555556</v>
      </c>
      <c r="N54" s="281">
        <v>4.0</v>
      </c>
      <c r="O54" s="280">
        <v>0.5208333333333334</v>
      </c>
      <c r="P54" s="103">
        <f t="shared" si="7"/>
        <v>52</v>
      </c>
      <c r="Q54" s="103">
        <f t="shared" si="8"/>
        <v>60</v>
      </c>
      <c r="R54" s="103">
        <f t="shared" si="9"/>
        <v>8</v>
      </c>
      <c r="S54" s="104">
        <f t="shared" si="10"/>
        <v>0.1538461538</v>
      </c>
      <c r="T54" s="142">
        <f t="shared" si="11"/>
        <v>30</v>
      </c>
    </row>
    <row r="55">
      <c r="A55" s="88"/>
      <c r="B55" s="106" t="s">
        <v>78</v>
      </c>
      <c r="C55" s="280">
        <v>0.5000000000000001</v>
      </c>
      <c r="D55" s="280">
        <v>0.5104166666666667</v>
      </c>
      <c r="E55" s="281">
        <v>0.0</v>
      </c>
      <c r="F55" s="280">
        <v>0.5104166666666667</v>
      </c>
      <c r="G55" s="280">
        <v>0.5180555555555556</v>
      </c>
      <c r="H55" s="281">
        <v>2.0</v>
      </c>
      <c r="I55" s="280">
        <v>0.5194444444444445</v>
      </c>
      <c r="J55" s="280">
        <v>0.5284722222222222</v>
      </c>
      <c r="K55" s="281">
        <v>2.0</v>
      </c>
      <c r="L55" s="280">
        <v>0.5298611111111111</v>
      </c>
      <c r="M55" s="280">
        <v>0.5388888888888889</v>
      </c>
      <c r="N55" s="281">
        <v>4.0</v>
      </c>
      <c r="O55" s="280">
        <v>0.5416666666666666</v>
      </c>
      <c r="P55" s="103">
        <f t="shared" si="7"/>
        <v>52</v>
      </c>
      <c r="Q55" s="103">
        <f t="shared" si="8"/>
        <v>60</v>
      </c>
      <c r="R55" s="103">
        <f t="shared" si="9"/>
        <v>8</v>
      </c>
      <c r="S55" s="104">
        <f t="shared" si="10"/>
        <v>0.1538461538</v>
      </c>
      <c r="T55" s="142">
        <f t="shared" si="11"/>
        <v>30</v>
      </c>
    </row>
    <row r="56">
      <c r="A56" s="88"/>
      <c r="B56" s="106" t="s">
        <v>78</v>
      </c>
      <c r="C56" s="280">
        <v>0.5208333333333334</v>
      </c>
      <c r="D56" s="280">
        <v>0.53125</v>
      </c>
      <c r="E56" s="281">
        <v>0.0</v>
      </c>
      <c r="F56" s="280">
        <v>0.53125</v>
      </c>
      <c r="G56" s="280">
        <v>0.5388888888888889</v>
      </c>
      <c r="H56" s="281">
        <v>2.0</v>
      </c>
      <c r="I56" s="280">
        <v>0.5402777777777777</v>
      </c>
      <c r="J56" s="280">
        <v>0.5493055555555555</v>
      </c>
      <c r="K56" s="281">
        <v>2.0</v>
      </c>
      <c r="L56" s="280">
        <v>0.5506944444444444</v>
      </c>
      <c r="M56" s="280">
        <v>0.5597222222222221</v>
      </c>
      <c r="N56" s="281">
        <v>4.0</v>
      </c>
      <c r="O56" s="280">
        <v>0.5624999999999999</v>
      </c>
      <c r="P56" s="103">
        <f t="shared" si="7"/>
        <v>52</v>
      </c>
      <c r="Q56" s="103">
        <f t="shared" si="8"/>
        <v>60</v>
      </c>
      <c r="R56" s="103">
        <f t="shared" si="9"/>
        <v>8</v>
      </c>
      <c r="S56" s="104">
        <f t="shared" si="10"/>
        <v>0.1538461538</v>
      </c>
      <c r="T56" s="142">
        <f t="shared" si="11"/>
        <v>30</v>
      </c>
    </row>
    <row r="57">
      <c r="A57" s="88"/>
      <c r="B57" s="106" t="s">
        <v>78</v>
      </c>
      <c r="C57" s="280">
        <v>0.5416666666666666</v>
      </c>
      <c r="D57" s="280">
        <v>0.5520833333333333</v>
      </c>
      <c r="E57" s="281">
        <v>0.0</v>
      </c>
      <c r="F57" s="280">
        <v>0.5520833333333333</v>
      </c>
      <c r="G57" s="280">
        <v>0.5597222222222221</v>
      </c>
      <c r="H57" s="281">
        <v>2.0</v>
      </c>
      <c r="I57" s="280">
        <v>0.561111111111111</v>
      </c>
      <c r="J57" s="280">
        <v>0.5701388888888888</v>
      </c>
      <c r="K57" s="281">
        <v>2.0</v>
      </c>
      <c r="L57" s="280">
        <v>0.5715277777777776</v>
      </c>
      <c r="M57" s="280">
        <v>0.5805555555555554</v>
      </c>
      <c r="N57" s="281">
        <v>4.0</v>
      </c>
      <c r="O57" s="280">
        <v>0.5833333333333331</v>
      </c>
      <c r="P57" s="103">
        <f t="shared" si="7"/>
        <v>52</v>
      </c>
      <c r="Q57" s="103">
        <f t="shared" si="8"/>
        <v>60</v>
      </c>
      <c r="R57" s="103">
        <f t="shared" si="9"/>
        <v>8</v>
      </c>
      <c r="S57" s="104">
        <f t="shared" si="10"/>
        <v>0.1538461538</v>
      </c>
      <c r="T57" s="142">
        <f t="shared" si="11"/>
        <v>30</v>
      </c>
    </row>
    <row r="58">
      <c r="A58" s="88"/>
      <c r="B58" s="106" t="s">
        <v>78</v>
      </c>
      <c r="C58" s="280">
        <v>0.5624999999999999</v>
      </c>
      <c r="D58" s="280">
        <v>0.5729166666666665</v>
      </c>
      <c r="E58" s="281">
        <v>0.0</v>
      </c>
      <c r="F58" s="280">
        <v>0.5729166666666665</v>
      </c>
      <c r="G58" s="280">
        <v>0.5805555555555554</v>
      </c>
      <c r="H58" s="281">
        <v>2.0</v>
      </c>
      <c r="I58" s="280">
        <v>0.5819444444444443</v>
      </c>
      <c r="J58" s="280">
        <v>0.590972222222222</v>
      </c>
      <c r="K58" s="281">
        <v>2.0</v>
      </c>
      <c r="L58" s="280">
        <v>0.5923611111111109</v>
      </c>
      <c r="M58" s="280">
        <v>0.6013888888888886</v>
      </c>
      <c r="N58" s="281">
        <v>4.0</v>
      </c>
      <c r="O58" s="280">
        <v>0.6041666666666664</v>
      </c>
      <c r="P58" s="103">
        <f t="shared" si="7"/>
        <v>52</v>
      </c>
      <c r="Q58" s="103">
        <f t="shared" si="8"/>
        <v>60</v>
      </c>
      <c r="R58" s="103">
        <f t="shared" si="9"/>
        <v>8</v>
      </c>
      <c r="S58" s="104">
        <f t="shared" si="10"/>
        <v>0.1538461538</v>
      </c>
      <c r="T58" s="142">
        <f t="shared" si="11"/>
        <v>30</v>
      </c>
    </row>
    <row r="59">
      <c r="A59" s="88"/>
      <c r="B59" s="106" t="s">
        <v>78</v>
      </c>
      <c r="C59" s="280">
        <v>0.5833333333333331</v>
      </c>
      <c r="D59" s="280">
        <v>0.5937499999999998</v>
      </c>
      <c r="E59" s="281">
        <v>0.0</v>
      </c>
      <c r="F59" s="280">
        <v>0.5937499999999998</v>
      </c>
      <c r="G59" s="280">
        <v>0.6013888888888886</v>
      </c>
      <c r="H59" s="281">
        <v>2.0</v>
      </c>
      <c r="I59" s="280">
        <v>0.6027777777777775</v>
      </c>
      <c r="J59" s="280">
        <v>0.6118055555555553</v>
      </c>
      <c r="K59" s="281">
        <v>2.0</v>
      </c>
      <c r="L59" s="280">
        <v>0.6131944444444442</v>
      </c>
      <c r="M59" s="280">
        <v>0.6222222222222219</v>
      </c>
      <c r="N59" s="281">
        <v>4.0</v>
      </c>
      <c r="O59" s="280">
        <v>0.6249999999999997</v>
      </c>
      <c r="P59" s="103">
        <f t="shared" si="7"/>
        <v>52</v>
      </c>
      <c r="Q59" s="103">
        <f t="shared" si="8"/>
        <v>60</v>
      </c>
      <c r="R59" s="103">
        <f t="shared" si="9"/>
        <v>8</v>
      </c>
      <c r="S59" s="104">
        <f t="shared" si="10"/>
        <v>0.1538461538</v>
      </c>
      <c r="T59" s="142">
        <f t="shared" si="11"/>
        <v>30</v>
      </c>
    </row>
    <row r="60">
      <c r="A60" s="88"/>
      <c r="B60" s="106" t="s">
        <v>78</v>
      </c>
      <c r="C60" s="280">
        <v>0.6041666666666664</v>
      </c>
      <c r="D60" s="280">
        <v>0.614583333333333</v>
      </c>
      <c r="E60" s="281">
        <v>0.0</v>
      </c>
      <c r="F60" s="280">
        <v>0.614583333333333</v>
      </c>
      <c r="G60" s="280">
        <v>0.6222222222222219</v>
      </c>
      <c r="H60" s="281">
        <v>2.0</v>
      </c>
      <c r="I60" s="280">
        <v>0.6236111111111108</v>
      </c>
      <c r="J60" s="280">
        <v>0.6326388888888885</v>
      </c>
      <c r="K60" s="281">
        <v>2.0</v>
      </c>
      <c r="L60" s="280">
        <v>0.6340277777777774</v>
      </c>
      <c r="M60" s="280">
        <v>0.6430555555555552</v>
      </c>
      <c r="N60" s="281">
        <v>4.0</v>
      </c>
      <c r="O60" s="280">
        <v>0.6458333333333329</v>
      </c>
      <c r="P60" s="103">
        <f t="shared" si="7"/>
        <v>52</v>
      </c>
      <c r="Q60" s="103">
        <f t="shared" si="8"/>
        <v>60</v>
      </c>
      <c r="R60" s="103">
        <f t="shared" si="9"/>
        <v>8</v>
      </c>
      <c r="S60" s="104">
        <f t="shared" si="10"/>
        <v>0.1538461538</v>
      </c>
      <c r="T60" s="142">
        <f t="shared" si="11"/>
        <v>30</v>
      </c>
    </row>
    <row r="61">
      <c r="A61" s="88"/>
      <c r="B61" s="106" t="s">
        <v>78</v>
      </c>
      <c r="C61" s="280">
        <v>0.6249999999999997</v>
      </c>
      <c r="D61" s="280">
        <v>0.6354166666666663</v>
      </c>
      <c r="E61" s="281">
        <v>0.0</v>
      </c>
      <c r="F61" s="280">
        <v>0.6354166666666663</v>
      </c>
      <c r="G61" s="280">
        <v>0.6430555555555552</v>
      </c>
      <c r="H61" s="281">
        <v>2.0</v>
      </c>
      <c r="I61" s="280">
        <v>0.644444444444444</v>
      </c>
      <c r="J61" s="280">
        <v>0.6534722222222218</v>
      </c>
      <c r="K61" s="281">
        <v>2.0</v>
      </c>
      <c r="L61" s="280">
        <v>0.6548611111111107</v>
      </c>
      <c r="M61" s="280">
        <v>0.6638888888888884</v>
      </c>
      <c r="N61" s="281">
        <v>4.0</v>
      </c>
      <c r="O61" s="280">
        <v>0.6666666666666662</v>
      </c>
      <c r="P61" s="103">
        <f t="shared" si="7"/>
        <v>52</v>
      </c>
      <c r="Q61" s="103">
        <f t="shared" si="8"/>
        <v>60</v>
      </c>
      <c r="R61" s="103">
        <f t="shared" si="9"/>
        <v>8</v>
      </c>
      <c r="S61" s="104">
        <f t="shared" si="10"/>
        <v>0.1538461538</v>
      </c>
      <c r="T61" s="142">
        <f t="shared" si="11"/>
        <v>30</v>
      </c>
    </row>
    <row r="62">
      <c r="A62" s="88"/>
      <c r="B62" s="106" t="s">
        <v>78</v>
      </c>
      <c r="C62" s="280">
        <v>0.6458333333333329</v>
      </c>
      <c r="D62" s="280">
        <v>0.6562499999999996</v>
      </c>
      <c r="E62" s="281">
        <v>0.0</v>
      </c>
      <c r="F62" s="280">
        <v>0.6562499999999996</v>
      </c>
      <c r="G62" s="280">
        <v>0.6638888888888884</v>
      </c>
      <c r="H62" s="281">
        <v>2.0</v>
      </c>
      <c r="I62" s="280">
        <v>0.6652777777777773</v>
      </c>
      <c r="J62" s="280">
        <v>0.674305555555555</v>
      </c>
      <c r="K62" s="281">
        <v>2.0</v>
      </c>
      <c r="L62" s="280">
        <v>0.6756944444444439</v>
      </c>
      <c r="M62" s="280">
        <v>0.6847222222222217</v>
      </c>
      <c r="N62" s="281">
        <v>4.0</v>
      </c>
      <c r="O62" s="280">
        <v>0.6874999999999994</v>
      </c>
      <c r="P62" s="103">
        <f t="shared" si="7"/>
        <v>52</v>
      </c>
      <c r="Q62" s="103">
        <f t="shared" si="8"/>
        <v>60</v>
      </c>
      <c r="R62" s="103">
        <f t="shared" si="9"/>
        <v>8</v>
      </c>
      <c r="S62" s="104">
        <f t="shared" si="10"/>
        <v>0.1538461538</v>
      </c>
      <c r="T62" s="142">
        <f t="shared" si="11"/>
        <v>30</v>
      </c>
    </row>
    <row r="63">
      <c r="A63" s="88"/>
      <c r="B63" s="106" t="s">
        <v>78</v>
      </c>
      <c r="C63" s="280">
        <v>0.6666666666666662</v>
      </c>
      <c r="D63" s="280">
        <v>0.6770833333333328</v>
      </c>
      <c r="E63" s="281">
        <v>0.0</v>
      </c>
      <c r="F63" s="280">
        <v>0.6770833333333328</v>
      </c>
      <c r="G63" s="280">
        <v>0.6847222222222217</v>
      </c>
      <c r="H63" s="281">
        <v>2.0</v>
      </c>
      <c r="I63" s="280">
        <v>0.6861111111111106</v>
      </c>
      <c r="J63" s="280">
        <v>0.6951388888888883</v>
      </c>
      <c r="K63" s="281">
        <v>2.0</v>
      </c>
      <c r="L63" s="280">
        <v>0.6965277777777772</v>
      </c>
      <c r="M63" s="280">
        <v>0.7055555555555549</v>
      </c>
      <c r="N63" s="281">
        <v>4.0</v>
      </c>
      <c r="O63" s="280">
        <v>0.7083333333333327</v>
      </c>
      <c r="P63" s="103">
        <f t="shared" si="7"/>
        <v>52</v>
      </c>
      <c r="Q63" s="103">
        <f t="shared" si="8"/>
        <v>60</v>
      </c>
      <c r="R63" s="103">
        <f t="shared" si="9"/>
        <v>8</v>
      </c>
      <c r="S63" s="104">
        <f t="shared" si="10"/>
        <v>0.1538461538</v>
      </c>
      <c r="T63" s="142">
        <f t="shared" si="11"/>
        <v>30</v>
      </c>
    </row>
    <row r="64">
      <c r="A64" s="88"/>
      <c r="B64" s="106" t="s">
        <v>78</v>
      </c>
      <c r="C64" s="280">
        <v>0.6874999999999994</v>
      </c>
      <c r="D64" s="280">
        <v>0.6979166666666661</v>
      </c>
      <c r="E64" s="281">
        <v>0.0</v>
      </c>
      <c r="F64" s="280">
        <v>0.6979166666666661</v>
      </c>
      <c r="G64" s="280">
        <v>0.7055555555555549</v>
      </c>
      <c r="H64" s="281">
        <v>2.0</v>
      </c>
      <c r="I64" s="280">
        <v>0.7069444444444438</v>
      </c>
      <c r="J64" s="280">
        <v>0.7159722222222216</v>
      </c>
      <c r="K64" s="281">
        <v>2.0</v>
      </c>
      <c r="L64" s="280">
        <v>0.7173611111111104</v>
      </c>
      <c r="M64" s="280">
        <v>0.7263888888888882</v>
      </c>
      <c r="N64" s="281">
        <v>4.0</v>
      </c>
      <c r="O64" s="280">
        <v>0.729166666666666</v>
      </c>
      <c r="P64" s="103">
        <f t="shared" si="7"/>
        <v>52</v>
      </c>
      <c r="Q64" s="103">
        <f t="shared" si="8"/>
        <v>60</v>
      </c>
      <c r="R64" s="103">
        <f t="shared" si="9"/>
        <v>8</v>
      </c>
      <c r="S64" s="104">
        <f t="shared" si="10"/>
        <v>0.1538461538</v>
      </c>
      <c r="T64" s="142">
        <f t="shared" si="11"/>
        <v>30</v>
      </c>
    </row>
    <row r="65">
      <c r="A65" s="88"/>
      <c r="B65" s="106" t="s">
        <v>79</v>
      </c>
      <c r="C65" s="280">
        <v>0.7083333333333327</v>
      </c>
      <c r="D65" s="280">
        <v>0.7187499999999993</v>
      </c>
      <c r="E65" s="281">
        <v>0.0</v>
      </c>
      <c r="F65" s="280">
        <v>0.7187499999999993</v>
      </c>
      <c r="G65" s="280">
        <v>0.7263888888888882</v>
      </c>
      <c r="H65" s="281">
        <v>2.0</v>
      </c>
      <c r="I65" s="280">
        <v>0.7277777777777771</v>
      </c>
      <c r="J65" s="280">
        <v>0.7361111111111104</v>
      </c>
      <c r="K65" s="281">
        <v>3.0</v>
      </c>
      <c r="L65" s="280">
        <v>0.7381944444444437</v>
      </c>
      <c r="M65" s="280">
        <v>0.746527777777777</v>
      </c>
      <c r="N65" s="281">
        <v>5.0</v>
      </c>
      <c r="O65" s="280">
        <v>0.7499999999999992</v>
      </c>
      <c r="P65" s="103">
        <f t="shared" si="7"/>
        <v>50</v>
      </c>
      <c r="Q65" s="103">
        <f t="shared" si="8"/>
        <v>60</v>
      </c>
      <c r="R65" s="103">
        <f t="shared" si="9"/>
        <v>10</v>
      </c>
      <c r="S65" s="104">
        <f t="shared" si="10"/>
        <v>0.2</v>
      </c>
      <c r="T65" s="142">
        <f t="shared" si="11"/>
        <v>30</v>
      </c>
    </row>
    <row r="66">
      <c r="A66" s="88"/>
      <c r="B66" s="106" t="s">
        <v>79</v>
      </c>
      <c r="C66" s="280">
        <v>0.729166666666666</v>
      </c>
      <c r="D66" s="280">
        <v>0.7395833333333326</v>
      </c>
      <c r="E66" s="281">
        <v>0.0</v>
      </c>
      <c r="F66" s="280">
        <v>0.7395833333333326</v>
      </c>
      <c r="G66" s="280">
        <v>0.7472222222222215</v>
      </c>
      <c r="H66" s="281">
        <v>2.0</v>
      </c>
      <c r="I66" s="280">
        <v>0.7486111111111103</v>
      </c>
      <c r="J66" s="280">
        <v>0.7569444444444436</v>
      </c>
      <c r="K66" s="281">
        <v>3.0</v>
      </c>
      <c r="L66" s="280">
        <v>0.759027777777777</v>
      </c>
      <c r="M66" s="280">
        <v>0.7673611111111103</v>
      </c>
      <c r="N66" s="281">
        <v>5.0</v>
      </c>
      <c r="O66" s="280">
        <v>0.7708333333333325</v>
      </c>
      <c r="P66" s="103">
        <f t="shared" si="7"/>
        <v>50</v>
      </c>
      <c r="Q66" s="103">
        <f t="shared" si="8"/>
        <v>60</v>
      </c>
      <c r="R66" s="103">
        <f t="shared" si="9"/>
        <v>10</v>
      </c>
      <c r="S66" s="104">
        <f t="shared" si="10"/>
        <v>0.2</v>
      </c>
      <c r="T66" s="142">
        <f t="shared" si="11"/>
        <v>30</v>
      </c>
    </row>
    <row r="67">
      <c r="A67" s="88"/>
      <c r="B67" s="106" t="s">
        <v>79</v>
      </c>
      <c r="C67" s="280">
        <v>0.7499999999999992</v>
      </c>
      <c r="D67" s="280">
        <v>0.7604166666666659</v>
      </c>
      <c r="E67" s="281">
        <v>0.0</v>
      </c>
      <c r="F67" s="280">
        <v>0.7604166666666659</v>
      </c>
      <c r="G67" s="280">
        <v>0.7680555555555547</v>
      </c>
      <c r="H67" s="281">
        <v>2.0</v>
      </c>
      <c r="I67" s="280">
        <v>0.7694444444444436</v>
      </c>
      <c r="J67" s="280">
        <v>0.7777777777777769</v>
      </c>
      <c r="K67" s="281">
        <v>3.0</v>
      </c>
      <c r="L67" s="280">
        <v>0.7798611111111102</v>
      </c>
      <c r="M67" s="280">
        <v>0.7881944444444435</v>
      </c>
      <c r="N67" s="281">
        <v>5.0</v>
      </c>
      <c r="O67" s="280">
        <v>0.7916666666666657</v>
      </c>
      <c r="P67" s="103">
        <f t="shared" si="7"/>
        <v>50</v>
      </c>
      <c r="Q67" s="103">
        <f t="shared" si="8"/>
        <v>60</v>
      </c>
      <c r="R67" s="103">
        <f t="shared" si="9"/>
        <v>10</v>
      </c>
      <c r="S67" s="104">
        <f t="shared" si="10"/>
        <v>0.2</v>
      </c>
      <c r="T67" s="142">
        <f t="shared" si="11"/>
        <v>30</v>
      </c>
    </row>
    <row r="68">
      <c r="A68" s="88"/>
      <c r="B68" s="106" t="s">
        <v>79</v>
      </c>
      <c r="C68" s="280">
        <v>0.7708333333333325</v>
      </c>
      <c r="D68" s="280">
        <v>0.7812499999999991</v>
      </c>
      <c r="E68" s="281">
        <v>0.0</v>
      </c>
      <c r="F68" s="280">
        <v>0.7812499999999991</v>
      </c>
      <c r="G68" s="280">
        <v>0.788888888888888</v>
      </c>
      <c r="H68" s="281">
        <v>2.0</v>
      </c>
      <c r="I68" s="280">
        <v>0.7902777777777769</v>
      </c>
      <c r="J68" s="280">
        <v>0.7986111111111102</v>
      </c>
      <c r="K68" s="281">
        <v>3.0</v>
      </c>
      <c r="L68" s="280">
        <v>0.8006944444444435</v>
      </c>
      <c r="M68" s="280">
        <v>0.8090277777777768</v>
      </c>
      <c r="N68" s="281">
        <v>5.0</v>
      </c>
      <c r="O68" s="280">
        <v>0.812499999999999</v>
      </c>
      <c r="P68" s="103">
        <f t="shared" si="7"/>
        <v>50</v>
      </c>
      <c r="Q68" s="103">
        <f t="shared" si="8"/>
        <v>60</v>
      </c>
      <c r="R68" s="103">
        <f t="shared" si="9"/>
        <v>10</v>
      </c>
      <c r="S68" s="104">
        <f t="shared" si="10"/>
        <v>0.2</v>
      </c>
      <c r="T68" s="142">
        <f t="shared" si="11"/>
        <v>30</v>
      </c>
    </row>
    <row r="69">
      <c r="A69" s="88"/>
      <c r="B69" s="106" t="s">
        <v>79</v>
      </c>
      <c r="C69" s="280">
        <v>0.7916666666666657</v>
      </c>
      <c r="D69" s="280">
        <v>0.8020833333333324</v>
      </c>
      <c r="E69" s="281">
        <v>0.0</v>
      </c>
      <c r="F69" s="280">
        <v>0.8020833333333324</v>
      </c>
      <c r="G69" s="280">
        <v>0.8097222222222212</v>
      </c>
      <c r="H69" s="281">
        <v>2.0</v>
      </c>
      <c r="I69" s="280">
        <v>0.8111111111111101</v>
      </c>
      <c r="J69" s="280">
        <v>0.8194444444444434</v>
      </c>
      <c r="K69" s="281">
        <v>3.0</v>
      </c>
      <c r="L69" s="280">
        <v>0.8215277777777767</v>
      </c>
      <c r="M69" s="280">
        <v>0.82986111111111</v>
      </c>
      <c r="N69" s="281">
        <v>5.0</v>
      </c>
      <c r="O69" s="280">
        <v>0.8333333333333323</v>
      </c>
      <c r="P69" s="103">
        <f t="shared" si="7"/>
        <v>50</v>
      </c>
      <c r="Q69" s="103">
        <f t="shared" si="8"/>
        <v>60</v>
      </c>
      <c r="R69" s="103">
        <f t="shared" si="9"/>
        <v>10</v>
      </c>
      <c r="S69" s="104">
        <f t="shared" si="10"/>
        <v>0.2</v>
      </c>
      <c r="T69" s="142">
        <f t="shared" si="11"/>
        <v>30</v>
      </c>
    </row>
    <row r="70">
      <c r="A70" s="88"/>
      <c r="B70" s="106" t="s">
        <v>79</v>
      </c>
      <c r="C70" s="280">
        <v>0.812499999999999</v>
      </c>
      <c r="D70" s="280">
        <v>0.8229166666666656</v>
      </c>
      <c r="E70" s="281">
        <v>0.0</v>
      </c>
      <c r="F70" s="280">
        <v>0.8229166666666656</v>
      </c>
      <c r="G70" s="280">
        <v>0.8305555555555545</v>
      </c>
      <c r="H70" s="281">
        <v>2.0</v>
      </c>
      <c r="I70" s="280">
        <v>0.8319444444444434</v>
      </c>
      <c r="J70" s="280">
        <v>0.8402777777777767</v>
      </c>
      <c r="K70" s="281">
        <v>3.0</v>
      </c>
      <c r="L70" s="280">
        <v>0.84236111111111</v>
      </c>
      <c r="M70" s="280">
        <v>0.8506944444444433</v>
      </c>
      <c r="N70" s="281">
        <v>5.0</v>
      </c>
      <c r="O70" s="280">
        <v>0.8541666666666655</v>
      </c>
      <c r="P70" s="103">
        <f t="shared" si="7"/>
        <v>50</v>
      </c>
      <c r="Q70" s="103">
        <f t="shared" si="8"/>
        <v>60</v>
      </c>
      <c r="R70" s="103">
        <f t="shared" si="9"/>
        <v>10</v>
      </c>
      <c r="S70" s="104">
        <f t="shared" si="10"/>
        <v>0.2</v>
      </c>
      <c r="T70" s="142">
        <f t="shared" si="11"/>
        <v>30</v>
      </c>
    </row>
    <row r="71">
      <c r="A71" s="88"/>
      <c r="B71" s="106" t="s">
        <v>98</v>
      </c>
      <c r="C71" s="280">
        <v>0.8333333333333323</v>
      </c>
      <c r="D71" s="280">
        <v>0.8430555555555544</v>
      </c>
      <c r="E71" s="281">
        <v>0.0</v>
      </c>
      <c r="F71" s="280">
        <v>0.8430555555555544</v>
      </c>
      <c r="G71" s="280">
        <v>0.8506944444444433</v>
      </c>
      <c r="H71" s="281">
        <v>3.0</v>
      </c>
      <c r="I71" s="280">
        <v>0.8527777777777766</v>
      </c>
      <c r="J71" s="280">
        <v>0.8611111111111099</v>
      </c>
      <c r="K71" s="281">
        <v>3.0</v>
      </c>
      <c r="L71" s="280">
        <v>0.8631944444444433</v>
      </c>
      <c r="M71" s="280">
        <v>0.8715277777777766</v>
      </c>
      <c r="N71" s="281">
        <v>5.0</v>
      </c>
      <c r="O71" s="280">
        <v>0.8749999999999988</v>
      </c>
      <c r="P71" s="103">
        <f t="shared" si="7"/>
        <v>49</v>
      </c>
      <c r="Q71" s="103">
        <f t="shared" si="8"/>
        <v>60</v>
      </c>
      <c r="R71" s="103">
        <f t="shared" si="9"/>
        <v>11</v>
      </c>
      <c r="S71" s="104">
        <f t="shared" si="10"/>
        <v>0.2244897959</v>
      </c>
      <c r="T71" s="142">
        <f t="shared" si="11"/>
        <v>30</v>
      </c>
    </row>
    <row r="72">
      <c r="A72" s="88"/>
      <c r="B72" s="106" t="s">
        <v>98</v>
      </c>
      <c r="C72" s="280">
        <v>0.8541666666666655</v>
      </c>
      <c r="D72" s="280">
        <v>0.8638888888888877</v>
      </c>
      <c r="E72" s="281">
        <v>0.0</v>
      </c>
      <c r="F72" s="280">
        <v>0.8638888888888877</v>
      </c>
      <c r="G72" s="280">
        <v>0.8715277777777766</v>
      </c>
      <c r="H72" s="281">
        <v>3.0</v>
      </c>
      <c r="I72" s="280">
        <v>0.8736111111111099</v>
      </c>
      <c r="J72" s="280">
        <v>0.8819444444444432</v>
      </c>
      <c r="K72" s="281">
        <v>3.0</v>
      </c>
      <c r="L72" s="280">
        <v>0.8840277777777765</v>
      </c>
      <c r="M72" s="280">
        <v>0.8923611111111098</v>
      </c>
      <c r="N72" s="281">
        <v>5.0</v>
      </c>
      <c r="O72" s="280">
        <v>0.895833333333332</v>
      </c>
      <c r="P72" s="103">
        <f t="shared" si="7"/>
        <v>49</v>
      </c>
      <c r="Q72" s="103">
        <f t="shared" si="8"/>
        <v>60</v>
      </c>
      <c r="R72" s="103">
        <f t="shared" si="9"/>
        <v>11</v>
      </c>
      <c r="S72" s="104">
        <f t="shared" si="10"/>
        <v>0.2244897959</v>
      </c>
      <c r="T72" s="142">
        <f t="shared" si="11"/>
        <v>30</v>
      </c>
    </row>
    <row r="73">
      <c r="A73" s="88"/>
      <c r="B73" s="106" t="s">
        <v>98</v>
      </c>
      <c r="C73" s="280">
        <v>0.8749999999999988</v>
      </c>
      <c r="D73" s="280">
        <v>0.884722222222221</v>
      </c>
      <c r="E73" s="281">
        <v>0.0</v>
      </c>
      <c r="F73" s="280">
        <v>0.884722222222221</v>
      </c>
      <c r="G73" s="280">
        <v>0.8923611111111098</v>
      </c>
      <c r="H73" s="281">
        <v>3.0</v>
      </c>
      <c r="I73" s="280">
        <v>0.8944444444444432</v>
      </c>
      <c r="J73" s="280">
        <v>0.9027777777777765</v>
      </c>
      <c r="K73" s="281">
        <v>3.0</v>
      </c>
      <c r="L73" s="280">
        <v>0.9048611111111098</v>
      </c>
      <c r="M73" s="280">
        <v>0.9131944444444431</v>
      </c>
      <c r="N73" s="281">
        <v>5.0</v>
      </c>
      <c r="O73" s="280">
        <v>0.9166666666666653</v>
      </c>
      <c r="P73" s="103">
        <f t="shared" si="7"/>
        <v>49</v>
      </c>
      <c r="Q73" s="103">
        <f t="shared" si="8"/>
        <v>60</v>
      </c>
      <c r="R73" s="103">
        <f t="shared" si="9"/>
        <v>11</v>
      </c>
      <c r="S73" s="104">
        <f t="shared" si="10"/>
        <v>0.2244897959</v>
      </c>
      <c r="T73" s="142">
        <f t="shared" si="11"/>
        <v>30</v>
      </c>
    </row>
    <row r="74">
      <c r="A74" s="88"/>
      <c r="B74" s="106" t="s">
        <v>98</v>
      </c>
      <c r="C74" s="280">
        <v>0.895833333333332</v>
      </c>
      <c r="D74" s="280">
        <v>0.9055555555555542</v>
      </c>
      <c r="E74" s="281">
        <v>0.0</v>
      </c>
      <c r="F74" s="280">
        <v>0.9055555555555542</v>
      </c>
      <c r="G74" s="280">
        <v>0.9131944444444431</v>
      </c>
      <c r="H74" s="281">
        <v>3.0</v>
      </c>
      <c r="I74" s="280">
        <v>0.9152777777777764</v>
      </c>
      <c r="J74" s="280">
        <v>0.9236111111111097</v>
      </c>
      <c r="K74" s="281">
        <v>3.0</v>
      </c>
      <c r="L74" s="280">
        <v>0.925694444444443</v>
      </c>
      <c r="M74" s="280">
        <v>0.9340277777777763</v>
      </c>
      <c r="N74" s="281">
        <v>0.0</v>
      </c>
      <c r="O74" s="107" t="s">
        <v>80</v>
      </c>
      <c r="P74" s="103">
        <f t="shared" si="7"/>
        <v>49</v>
      </c>
      <c r="Q74" s="103">
        <f>(M74-C74)*1440</f>
        <v>55</v>
      </c>
      <c r="R74" s="103">
        <f t="shared" si="9"/>
        <v>6</v>
      </c>
      <c r="S74" s="104">
        <f t="shared" si="10"/>
        <v>0.1224489796</v>
      </c>
      <c r="T74" s="142">
        <f t="shared" ref="T74:T76" si="12">(M74-M73)*1440</f>
        <v>30</v>
      </c>
    </row>
    <row r="75">
      <c r="A75" s="88"/>
      <c r="B75" s="106" t="s">
        <v>98</v>
      </c>
      <c r="C75" s="280">
        <v>0.9166666666666653</v>
      </c>
      <c r="D75" s="280">
        <v>0.9263888888888875</v>
      </c>
      <c r="E75" s="281">
        <v>0.0</v>
      </c>
      <c r="F75" s="280">
        <v>0.9263888888888875</v>
      </c>
      <c r="G75" s="280">
        <v>0.9340277777777763</v>
      </c>
      <c r="H75" s="281">
        <v>3.0</v>
      </c>
      <c r="I75" s="280">
        <v>0.9361111111111097</v>
      </c>
      <c r="J75" s="280">
        <v>0.944444444444443</v>
      </c>
      <c r="K75" s="281">
        <v>3.0</v>
      </c>
      <c r="L75" s="280">
        <v>0.9465277777777763</v>
      </c>
      <c r="M75" s="280">
        <v>0.9548611111111096</v>
      </c>
      <c r="N75" s="281">
        <v>5.0</v>
      </c>
      <c r="O75" s="280">
        <v>0.9583333333333318</v>
      </c>
      <c r="P75" s="103">
        <f t="shared" si="7"/>
        <v>49</v>
      </c>
      <c r="Q75" s="103">
        <f>(O75-C75)*1440</f>
        <v>60</v>
      </c>
      <c r="R75" s="103">
        <f t="shared" si="9"/>
        <v>11</v>
      </c>
      <c r="S75" s="104">
        <f t="shared" si="10"/>
        <v>0.2244897959</v>
      </c>
      <c r="T75" s="142">
        <f t="shared" si="12"/>
        <v>30</v>
      </c>
    </row>
    <row r="76">
      <c r="A76" s="88"/>
      <c r="B76" s="106" t="s">
        <v>98</v>
      </c>
      <c r="C76" s="280">
        <v>0.9583333333333318</v>
      </c>
      <c r="D76" s="280">
        <v>0.968055555555554</v>
      </c>
      <c r="E76" s="281">
        <v>0.0</v>
      </c>
      <c r="F76" s="280">
        <v>0.968055555555554</v>
      </c>
      <c r="G76" s="280">
        <v>0.9756944444444429</v>
      </c>
      <c r="H76" s="281">
        <v>3.0</v>
      </c>
      <c r="I76" s="280">
        <v>0.9777777777777762</v>
      </c>
      <c r="J76" s="280">
        <v>0.9861111111111095</v>
      </c>
      <c r="K76" s="281">
        <v>3.0</v>
      </c>
      <c r="L76" s="280">
        <v>0.9881944444444428</v>
      </c>
      <c r="M76" s="280">
        <v>0.9965277777777761</v>
      </c>
      <c r="N76" s="281">
        <v>0.0</v>
      </c>
      <c r="O76" s="107" t="s">
        <v>80</v>
      </c>
      <c r="P76" s="103">
        <f t="shared" si="7"/>
        <v>49</v>
      </c>
      <c r="Q76" s="103">
        <f>(M76-C76)*1440</f>
        <v>55</v>
      </c>
      <c r="R76" s="103">
        <f t="shared" si="9"/>
        <v>6</v>
      </c>
      <c r="S76" s="104">
        <f t="shared" si="10"/>
        <v>0.1224489796</v>
      </c>
      <c r="T76" s="142">
        <f t="shared" si="12"/>
        <v>60</v>
      </c>
    </row>
    <row r="77">
      <c r="A77" s="88"/>
      <c r="B77" s="62"/>
      <c r="P77" s="283"/>
      <c r="Q77" s="158">
        <f>SUM(Q46:Q76)/60</f>
        <v>30.83333333</v>
      </c>
      <c r="R77" s="283"/>
    </row>
    <row r="78">
      <c r="A78" s="108"/>
      <c r="B78" s="62"/>
    </row>
    <row r="79">
      <c r="A79" s="290"/>
      <c r="B79" s="160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291"/>
      <c r="Q79" s="192"/>
      <c r="R79" s="191"/>
      <c r="S79" s="193"/>
      <c r="T79" s="118"/>
    </row>
    <row r="80">
      <c r="A80" s="284" t="s">
        <v>99</v>
      </c>
      <c r="B80" s="292" t="s">
        <v>157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6"/>
      <c r="S80" s="126"/>
    </row>
    <row r="81">
      <c r="A81" s="88"/>
      <c r="B81" s="62"/>
      <c r="C81" s="293" t="s">
        <v>62</v>
      </c>
      <c r="D81" s="294" t="s">
        <v>85</v>
      </c>
      <c r="E81" s="295"/>
      <c r="F81" s="294" t="s">
        <v>62</v>
      </c>
      <c r="G81" s="294" t="s">
        <v>85</v>
      </c>
      <c r="H81" s="295"/>
      <c r="I81" s="294" t="s">
        <v>62</v>
      </c>
      <c r="J81" s="294" t="s">
        <v>85</v>
      </c>
      <c r="K81" s="295"/>
      <c r="L81" s="294" t="s">
        <v>62</v>
      </c>
      <c r="M81" s="294" t="s">
        <v>85</v>
      </c>
      <c r="N81" s="295"/>
      <c r="O81" s="294" t="s">
        <v>62</v>
      </c>
      <c r="P81" s="129"/>
      <c r="Q81" s="129"/>
      <c r="R81" s="129"/>
      <c r="S81" s="129"/>
    </row>
    <row r="82">
      <c r="A82" s="88"/>
      <c r="B82" s="89" t="s">
        <v>63</v>
      </c>
      <c r="C82" s="296" t="s">
        <v>86</v>
      </c>
      <c r="D82" s="296" t="s">
        <v>70</v>
      </c>
      <c r="E82" s="91" t="s">
        <v>69</v>
      </c>
      <c r="F82" s="296" t="s">
        <v>70</v>
      </c>
      <c r="G82" s="297" t="s">
        <v>87</v>
      </c>
      <c r="H82" s="91" t="s">
        <v>69</v>
      </c>
      <c r="I82" s="297" t="s">
        <v>87</v>
      </c>
      <c r="J82" s="296" t="s">
        <v>158</v>
      </c>
      <c r="K82" s="91" t="s">
        <v>69</v>
      </c>
      <c r="L82" s="296" t="s">
        <v>158</v>
      </c>
      <c r="M82" s="297" t="s">
        <v>86</v>
      </c>
      <c r="N82" s="91" t="s">
        <v>69</v>
      </c>
      <c r="O82" s="296" t="s">
        <v>86</v>
      </c>
      <c r="P82" s="134"/>
      <c r="Q82" s="134"/>
      <c r="R82" s="134"/>
      <c r="S82" s="134"/>
    </row>
    <row r="83">
      <c r="A83" s="88"/>
      <c r="B83" s="93" t="s">
        <v>72</v>
      </c>
      <c r="C83" s="296">
        <v>1.0</v>
      </c>
      <c r="D83" s="298">
        <v>331.0</v>
      </c>
      <c r="E83" s="94"/>
      <c r="F83" s="298">
        <v>331.0</v>
      </c>
      <c r="G83" s="298">
        <v>440.0</v>
      </c>
      <c r="H83" s="94"/>
      <c r="I83" s="298">
        <v>440.0</v>
      </c>
      <c r="J83" s="298">
        <v>419.0</v>
      </c>
      <c r="K83" s="94"/>
      <c r="L83" s="298">
        <v>419.0</v>
      </c>
      <c r="M83" s="298">
        <v>1.0</v>
      </c>
      <c r="N83" s="94"/>
      <c r="O83" s="299">
        <v>1.0</v>
      </c>
      <c r="P83" s="95" t="s">
        <v>73</v>
      </c>
      <c r="Q83" s="95" t="s">
        <v>74</v>
      </c>
      <c r="R83" s="95" t="s">
        <v>69</v>
      </c>
      <c r="S83" s="95" t="s">
        <v>75</v>
      </c>
      <c r="T83" s="96" t="s">
        <v>76</v>
      </c>
    </row>
    <row r="84">
      <c r="A84" s="88"/>
      <c r="B84" s="97" t="s">
        <v>89</v>
      </c>
      <c r="C84" s="289">
        <v>0.3541666666666667</v>
      </c>
      <c r="D84" s="280">
        <v>0.36458333333333337</v>
      </c>
      <c r="E84" s="281">
        <v>0.0</v>
      </c>
      <c r="F84" s="280">
        <v>0.3645833333333333</v>
      </c>
      <c r="G84" s="280">
        <v>0.3715277777777778</v>
      </c>
      <c r="H84" s="281">
        <v>3.0</v>
      </c>
      <c r="I84" s="280">
        <v>0.3736111111111111</v>
      </c>
      <c r="J84" s="280">
        <v>0.3819444444444444</v>
      </c>
      <c r="K84" s="281">
        <v>3.0</v>
      </c>
      <c r="L84" s="280">
        <v>0.3840277777777778</v>
      </c>
      <c r="M84" s="280">
        <v>0.39236111111111116</v>
      </c>
      <c r="N84" s="281">
        <v>5.0</v>
      </c>
      <c r="O84" s="280">
        <v>0.39583333333333337</v>
      </c>
      <c r="P84" s="103">
        <f t="shared" ref="P84:P98" si="13">Q84-R84</f>
        <v>49</v>
      </c>
      <c r="Q84" s="103">
        <f t="shared" ref="Q84:Q97" si="14">(O84-C84)*1440</f>
        <v>60</v>
      </c>
      <c r="R84" s="103">
        <f t="shared" ref="R84:R98" si="15">N84+K84+H84+E84</f>
        <v>11</v>
      </c>
      <c r="S84" s="104">
        <f t="shared" ref="S84:S98" si="16">R84/P84</f>
        <v>0.2244897959</v>
      </c>
      <c r="T84" s="142"/>
    </row>
    <row r="85">
      <c r="A85" s="88"/>
      <c r="B85" s="106" t="s">
        <v>77</v>
      </c>
      <c r="C85" s="280">
        <v>0.39583333333333337</v>
      </c>
      <c r="D85" s="280">
        <v>0.40625000000000006</v>
      </c>
      <c r="E85" s="281">
        <v>0.0</v>
      </c>
      <c r="F85" s="280">
        <v>0.40625000000000006</v>
      </c>
      <c r="G85" s="280">
        <v>0.4138888888888889</v>
      </c>
      <c r="H85" s="281">
        <v>2.0</v>
      </c>
      <c r="I85" s="280">
        <v>0.4152777777777778</v>
      </c>
      <c r="J85" s="280">
        <v>0.42361111111111116</v>
      </c>
      <c r="K85" s="281">
        <v>3.0</v>
      </c>
      <c r="L85" s="280">
        <v>0.4256944444444445</v>
      </c>
      <c r="M85" s="280">
        <v>0.4347222222222223</v>
      </c>
      <c r="N85" s="281">
        <v>4.0</v>
      </c>
      <c r="O85" s="280">
        <v>0.43750000000000006</v>
      </c>
      <c r="P85" s="103">
        <f t="shared" si="13"/>
        <v>51</v>
      </c>
      <c r="Q85" s="103">
        <f t="shared" si="14"/>
        <v>60</v>
      </c>
      <c r="R85" s="103">
        <f t="shared" si="15"/>
        <v>9</v>
      </c>
      <c r="S85" s="104">
        <f t="shared" si="16"/>
        <v>0.1764705882</v>
      </c>
      <c r="T85" s="142">
        <f t="shared" ref="T85:T97" si="17">(O85-O84)*1440</f>
        <v>60</v>
      </c>
    </row>
    <row r="86">
      <c r="A86" s="88"/>
      <c r="B86" s="106" t="s">
        <v>77</v>
      </c>
      <c r="C86" s="280">
        <v>0.43750000000000006</v>
      </c>
      <c r="D86" s="280">
        <v>0.44791666666666674</v>
      </c>
      <c r="E86" s="281">
        <v>0.0</v>
      </c>
      <c r="F86" s="280">
        <v>0.44791666666666674</v>
      </c>
      <c r="G86" s="280">
        <v>0.4555555555555556</v>
      </c>
      <c r="H86" s="281">
        <v>2.0</v>
      </c>
      <c r="I86" s="280">
        <v>0.4569444444444445</v>
      </c>
      <c r="J86" s="280">
        <v>0.46527777777777785</v>
      </c>
      <c r="K86" s="281">
        <v>3.0</v>
      </c>
      <c r="L86" s="280">
        <v>0.46736111111111117</v>
      </c>
      <c r="M86" s="280">
        <v>0.476388888888889</v>
      </c>
      <c r="N86" s="281">
        <v>4.0</v>
      </c>
      <c r="O86" s="280">
        <v>0.47916666666666674</v>
      </c>
      <c r="P86" s="103">
        <f t="shared" si="13"/>
        <v>51</v>
      </c>
      <c r="Q86" s="103">
        <f t="shared" si="14"/>
        <v>60</v>
      </c>
      <c r="R86" s="103">
        <f t="shared" si="15"/>
        <v>9</v>
      </c>
      <c r="S86" s="104">
        <f t="shared" si="16"/>
        <v>0.1764705882</v>
      </c>
      <c r="T86" s="142">
        <f t="shared" si="17"/>
        <v>60</v>
      </c>
    </row>
    <row r="87">
      <c r="A87" s="88"/>
      <c r="B87" s="106" t="s">
        <v>77</v>
      </c>
      <c r="C87" s="280">
        <v>0.47916666666666674</v>
      </c>
      <c r="D87" s="280">
        <v>0.4895833333333334</v>
      </c>
      <c r="E87" s="281">
        <v>0.0</v>
      </c>
      <c r="F87" s="280">
        <v>0.4895833333333334</v>
      </c>
      <c r="G87" s="280">
        <v>0.4972222222222223</v>
      </c>
      <c r="H87" s="281">
        <v>2.0</v>
      </c>
      <c r="I87" s="280">
        <v>0.49861111111111117</v>
      </c>
      <c r="J87" s="280">
        <v>0.5069444444444445</v>
      </c>
      <c r="K87" s="281">
        <v>3.0</v>
      </c>
      <c r="L87" s="280">
        <v>0.5090277777777779</v>
      </c>
      <c r="M87" s="280">
        <v>0.5180555555555556</v>
      </c>
      <c r="N87" s="281">
        <v>4.0</v>
      </c>
      <c r="O87" s="280">
        <v>0.5208333333333334</v>
      </c>
      <c r="P87" s="103">
        <f t="shared" si="13"/>
        <v>51</v>
      </c>
      <c r="Q87" s="103">
        <f t="shared" si="14"/>
        <v>60</v>
      </c>
      <c r="R87" s="103">
        <f t="shared" si="15"/>
        <v>9</v>
      </c>
      <c r="S87" s="104">
        <f t="shared" si="16"/>
        <v>0.1764705882</v>
      </c>
      <c r="T87" s="142">
        <f t="shared" si="17"/>
        <v>60</v>
      </c>
    </row>
    <row r="88">
      <c r="A88" s="88"/>
      <c r="B88" s="106" t="s">
        <v>78</v>
      </c>
      <c r="C88" s="280">
        <v>0.5208333333333334</v>
      </c>
      <c r="D88" s="280">
        <v>0.53125</v>
      </c>
      <c r="E88" s="281">
        <v>0.0</v>
      </c>
      <c r="F88" s="280">
        <v>0.53125</v>
      </c>
      <c r="G88" s="280">
        <v>0.5388888888888889</v>
      </c>
      <c r="H88" s="281">
        <v>2.0</v>
      </c>
      <c r="I88" s="280">
        <v>0.5402777777777777</v>
      </c>
      <c r="J88" s="280">
        <v>0.5493055555555555</v>
      </c>
      <c r="K88" s="281">
        <v>2.0</v>
      </c>
      <c r="L88" s="280">
        <v>0.5506944444444444</v>
      </c>
      <c r="M88" s="280">
        <v>0.5597222222222221</v>
      </c>
      <c r="N88" s="281">
        <v>4.0</v>
      </c>
      <c r="O88" s="280">
        <v>0.5624999999999999</v>
      </c>
      <c r="P88" s="103">
        <f t="shared" si="13"/>
        <v>52</v>
      </c>
      <c r="Q88" s="103">
        <f t="shared" si="14"/>
        <v>60</v>
      </c>
      <c r="R88" s="103">
        <f t="shared" si="15"/>
        <v>8</v>
      </c>
      <c r="S88" s="104">
        <f t="shared" si="16"/>
        <v>0.1538461538</v>
      </c>
      <c r="T88" s="142">
        <f t="shared" si="17"/>
        <v>60</v>
      </c>
    </row>
    <row r="89">
      <c r="A89" s="88"/>
      <c r="B89" s="106" t="s">
        <v>78</v>
      </c>
      <c r="C89" s="280">
        <v>0.5624999999999999</v>
      </c>
      <c r="D89" s="280">
        <v>0.5729166666666665</v>
      </c>
      <c r="E89" s="281">
        <v>0.0</v>
      </c>
      <c r="F89" s="280">
        <v>0.5729166666666665</v>
      </c>
      <c r="G89" s="280">
        <v>0.5805555555555554</v>
      </c>
      <c r="H89" s="281">
        <v>2.0</v>
      </c>
      <c r="I89" s="280">
        <v>0.5819444444444443</v>
      </c>
      <c r="J89" s="280">
        <v>0.590972222222222</v>
      </c>
      <c r="K89" s="281">
        <v>2.0</v>
      </c>
      <c r="L89" s="280">
        <v>0.5923611111111109</v>
      </c>
      <c r="M89" s="280">
        <v>0.6013888888888886</v>
      </c>
      <c r="N89" s="281">
        <v>4.0</v>
      </c>
      <c r="O89" s="280">
        <v>0.6041666666666664</v>
      </c>
      <c r="P89" s="103">
        <f t="shared" si="13"/>
        <v>52</v>
      </c>
      <c r="Q89" s="103">
        <f t="shared" si="14"/>
        <v>60</v>
      </c>
      <c r="R89" s="103">
        <f t="shared" si="15"/>
        <v>8</v>
      </c>
      <c r="S89" s="104">
        <f t="shared" si="16"/>
        <v>0.1538461538</v>
      </c>
      <c r="T89" s="142">
        <f t="shared" si="17"/>
        <v>60</v>
      </c>
    </row>
    <row r="90">
      <c r="A90" s="88"/>
      <c r="B90" s="106" t="s">
        <v>78</v>
      </c>
      <c r="C90" s="280">
        <v>0.6041666666666664</v>
      </c>
      <c r="D90" s="280">
        <v>0.614583333333333</v>
      </c>
      <c r="E90" s="281">
        <v>0.0</v>
      </c>
      <c r="F90" s="280">
        <v>0.614583333333333</v>
      </c>
      <c r="G90" s="280">
        <v>0.6222222222222219</v>
      </c>
      <c r="H90" s="281">
        <v>2.0</v>
      </c>
      <c r="I90" s="280">
        <v>0.6236111111111108</v>
      </c>
      <c r="J90" s="280">
        <v>0.6326388888888885</v>
      </c>
      <c r="K90" s="281">
        <v>2.0</v>
      </c>
      <c r="L90" s="280">
        <v>0.6340277777777774</v>
      </c>
      <c r="M90" s="280">
        <v>0.6430555555555552</v>
      </c>
      <c r="N90" s="281">
        <v>4.0</v>
      </c>
      <c r="O90" s="280">
        <v>0.6458333333333329</v>
      </c>
      <c r="P90" s="103">
        <f t="shared" si="13"/>
        <v>52</v>
      </c>
      <c r="Q90" s="103">
        <f t="shared" si="14"/>
        <v>60</v>
      </c>
      <c r="R90" s="103">
        <f t="shared" si="15"/>
        <v>8</v>
      </c>
      <c r="S90" s="104">
        <f t="shared" si="16"/>
        <v>0.1538461538</v>
      </c>
      <c r="T90" s="142">
        <f t="shared" si="17"/>
        <v>60</v>
      </c>
    </row>
    <row r="91">
      <c r="A91" s="88"/>
      <c r="B91" s="106" t="s">
        <v>78</v>
      </c>
      <c r="C91" s="280">
        <v>0.6458333333333329</v>
      </c>
      <c r="D91" s="280">
        <v>0.6562499999999996</v>
      </c>
      <c r="E91" s="281">
        <v>0.0</v>
      </c>
      <c r="F91" s="280">
        <v>0.6562499999999996</v>
      </c>
      <c r="G91" s="280">
        <v>0.6638888888888884</v>
      </c>
      <c r="H91" s="281">
        <v>2.0</v>
      </c>
      <c r="I91" s="280">
        <v>0.6652777777777773</v>
      </c>
      <c r="J91" s="280">
        <v>0.674305555555555</v>
      </c>
      <c r="K91" s="281">
        <v>2.0</v>
      </c>
      <c r="L91" s="280">
        <v>0.6756944444444439</v>
      </c>
      <c r="M91" s="280">
        <v>0.6847222222222217</v>
      </c>
      <c r="N91" s="281">
        <v>4.0</v>
      </c>
      <c r="O91" s="280">
        <v>0.6874999999999994</v>
      </c>
      <c r="P91" s="103">
        <f t="shared" si="13"/>
        <v>52</v>
      </c>
      <c r="Q91" s="103">
        <f t="shared" si="14"/>
        <v>60</v>
      </c>
      <c r="R91" s="103">
        <f t="shared" si="15"/>
        <v>8</v>
      </c>
      <c r="S91" s="104">
        <f t="shared" si="16"/>
        <v>0.1538461538</v>
      </c>
      <c r="T91" s="142">
        <f t="shared" si="17"/>
        <v>60</v>
      </c>
    </row>
    <row r="92">
      <c r="A92" s="88"/>
      <c r="B92" s="106" t="s">
        <v>78</v>
      </c>
      <c r="C92" s="280">
        <v>0.6874999999999994</v>
      </c>
      <c r="D92" s="280">
        <v>0.6979166666666661</v>
      </c>
      <c r="E92" s="281">
        <v>0.0</v>
      </c>
      <c r="F92" s="280">
        <v>0.6979166666666661</v>
      </c>
      <c r="G92" s="280">
        <v>0.7055555555555549</v>
      </c>
      <c r="H92" s="281">
        <v>2.0</v>
      </c>
      <c r="I92" s="280">
        <v>0.7069444444444438</v>
      </c>
      <c r="J92" s="280">
        <v>0.7159722222222216</v>
      </c>
      <c r="K92" s="281">
        <v>2.0</v>
      </c>
      <c r="L92" s="280">
        <v>0.7173611111111104</v>
      </c>
      <c r="M92" s="280">
        <v>0.7263888888888882</v>
      </c>
      <c r="N92" s="281">
        <v>4.0</v>
      </c>
      <c r="O92" s="280">
        <v>0.729166666666666</v>
      </c>
      <c r="P92" s="103">
        <f t="shared" si="13"/>
        <v>52</v>
      </c>
      <c r="Q92" s="103">
        <f t="shared" si="14"/>
        <v>60</v>
      </c>
      <c r="R92" s="103">
        <f t="shared" si="15"/>
        <v>8</v>
      </c>
      <c r="S92" s="104">
        <f t="shared" si="16"/>
        <v>0.1538461538</v>
      </c>
      <c r="T92" s="142">
        <f t="shared" si="17"/>
        <v>60</v>
      </c>
    </row>
    <row r="93">
      <c r="A93" s="88"/>
      <c r="B93" s="106" t="s">
        <v>79</v>
      </c>
      <c r="C93" s="280">
        <v>0.729166666666666</v>
      </c>
      <c r="D93" s="280">
        <v>0.7395833333333326</v>
      </c>
      <c r="E93" s="281">
        <v>0.0</v>
      </c>
      <c r="F93" s="280">
        <v>0.7395833333333326</v>
      </c>
      <c r="G93" s="280">
        <v>0.7472222222222215</v>
      </c>
      <c r="H93" s="281">
        <v>2.0</v>
      </c>
      <c r="I93" s="280">
        <v>0.7486111111111103</v>
      </c>
      <c r="J93" s="280">
        <v>0.7569444444444436</v>
      </c>
      <c r="K93" s="281">
        <v>3.0</v>
      </c>
      <c r="L93" s="280">
        <v>0.759027777777777</v>
      </c>
      <c r="M93" s="280">
        <v>0.7673611111111103</v>
      </c>
      <c r="N93" s="281">
        <v>5.0</v>
      </c>
      <c r="O93" s="280">
        <v>0.7708333333333325</v>
      </c>
      <c r="P93" s="103">
        <f t="shared" si="13"/>
        <v>50</v>
      </c>
      <c r="Q93" s="103">
        <f t="shared" si="14"/>
        <v>60</v>
      </c>
      <c r="R93" s="103">
        <f t="shared" si="15"/>
        <v>10</v>
      </c>
      <c r="S93" s="104">
        <f t="shared" si="16"/>
        <v>0.2</v>
      </c>
      <c r="T93" s="142">
        <f t="shared" si="17"/>
        <v>60</v>
      </c>
    </row>
    <row r="94">
      <c r="A94" s="88"/>
      <c r="B94" s="106" t="s">
        <v>79</v>
      </c>
      <c r="C94" s="280">
        <v>0.7708333333333325</v>
      </c>
      <c r="D94" s="280">
        <v>0.7812499999999991</v>
      </c>
      <c r="E94" s="281">
        <v>0.0</v>
      </c>
      <c r="F94" s="280">
        <v>0.7812499999999991</v>
      </c>
      <c r="G94" s="280">
        <v>0.788888888888888</v>
      </c>
      <c r="H94" s="281">
        <v>2.0</v>
      </c>
      <c r="I94" s="280">
        <v>0.7902777777777769</v>
      </c>
      <c r="J94" s="280">
        <v>0.7986111111111102</v>
      </c>
      <c r="K94" s="281">
        <v>3.0</v>
      </c>
      <c r="L94" s="280">
        <v>0.8006944444444435</v>
      </c>
      <c r="M94" s="280">
        <v>0.8090277777777768</v>
      </c>
      <c r="N94" s="281">
        <v>5.0</v>
      </c>
      <c r="O94" s="280">
        <v>0.812499999999999</v>
      </c>
      <c r="P94" s="103">
        <f t="shared" si="13"/>
        <v>50</v>
      </c>
      <c r="Q94" s="103">
        <f t="shared" si="14"/>
        <v>60</v>
      </c>
      <c r="R94" s="103">
        <f t="shared" si="15"/>
        <v>10</v>
      </c>
      <c r="S94" s="104">
        <f t="shared" si="16"/>
        <v>0.2</v>
      </c>
      <c r="T94" s="142">
        <f t="shared" si="17"/>
        <v>60</v>
      </c>
    </row>
    <row r="95">
      <c r="A95" s="88"/>
      <c r="B95" s="106" t="s">
        <v>79</v>
      </c>
      <c r="C95" s="280">
        <v>0.812499999999999</v>
      </c>
      <c r="D95" s="280">
        <v>0.8229166666666656</v>
      </c>
      <c r="E95" s="281">
        <v>0.0</v>
      </c>
      <c r="F95" s="280">
        <v>0.8229166666666656</v>
      </c>
      <c r="G95" s="280">
        <v>0.8305555555555545</v>
      </c>
      <c r="H95" s="281">
        <v>2.0</v>
      </c>
      <c r="I95" s="280">
        <v>0.8319444444444434</v>
      </c>
      <c r="J95" s="280">
        <v>0.8402777777777767</v>
      </c>
      <c r="K95" s="281">
        <v>3.0</v>
      </c>
      <c r="L95" s="280">
        <v>0.84236111111111</v>
      </c>
      <c r="M95" s="280">
        <v>0.8506944444444433</v>
      </c>
      <c r="N95" s="281">
        <v>5.0</v>
      </c>
      <c r="O95" s="280">
        <v>0.8541666666666655</v>
      </c>
      <c r="P95" s="103">
        <f t="shared" si="13"/>
        <v>50</v>
      </c>
      <c r="Q95" s="103">
        <f t="shared" si="14"/>
        <v>60</v>
      </c>
      <c r="R95" s="103">
        <f t="shared" si="15"/>
        <v>10</v>
      </c>
      <c r="S95" s="104">
        <f t="shared" si="16"/>
        <v>0.2</v>
      </c>
      <c r="T95" s="142">
        <f t="shared" si="17"/>
        <v>60</v>
      </c>
    </row>
    <row r="96">
      <c r="A96" s="88"/>
      <c r="B96" s="106" t="s">
        <v>79</v>
      </c>
      <c r="C96" s="280">
        <v>0.8541666666666655</v>
      </c>
      <c r="D96" s="280">
        <v>0.8645833333333321</v>
      </c>
      <c r="E96" s="281">
        <v>0.0</v>
      </c>
      <c r="F96" s="280">
        <v>0.8645833333333321</v>
      </c>
      <c r="G96" s="280">
        <v>0.872222222222221</v>
      </c>
      <c r="H96" s="281">
        <v>2.0</v>
      </c>
      <c r="I96" s="280">
        <v>0.8736111111111099</v>
      </c>
      <c r="J96" s="280">
        <v>0.8819444444444432</v>
      </c>
      <c r="K96" s="281">
        <v>3.0</v>
      </c>
      <c r="L96" s="280">
        <v>0.8840277777777765</v>
      </c>
      <c r="M96" s="280">
        <v>0.8923611111111098</v>
      </c>
      <c r="N96" s="281">
        <v>5.0</v>
      </c>
      <c r="O96" s="280">
        <v>0.895833333333332</v>
      </c>
      <c r="P96" s="103">
        <f t="shared" si="13"/>
        <v>50</v>
      </c>
      <c r="Q96" s="103">
        <f t="shared" si="14"/>
        <v>60</v>
      </c>
      <c r="R96" s="103">
        <f t="shared" si="15"/>
        <v>10</v>
      </c>
      <c r="S96" s="104">
        <f t="shared" si="16"/>
        <v>0.2</v>
      </c>
      <c r="T96" s="142">
        <f t="shared" si="17"/>
        <v>60</v>
      </c>
    </row>
    <row r="97">
      <c r="A97" s="88"/>
      <c r="B97" s="106" t="s">
        <v>98</v>
      </c>
      <c r="C97" s="280">
        <v>0.895833333333332</v>
      </c>
      <c r="D97" s="280">
        <v>0.9055555555555542</v>
      </c>
      <c r="E97" s="281">
        <v>0.0</v>
      </c>
      <c r="F97" s="280">
        <v>0.9055555555555542</v>
      </c>
      <c r="G97" s="280">
        <v>0.9131944444444431</v>
      </c>
      <c r="H97" s="281">
        <v>3.0</v>
      </c>
      <c r="I97" s="280">
        <v>0.9152777777777764</v>
      </c>
      <c r="J97" s="280">
        <v>0.9236111111111097</v>
      </c>
      <c r="K97" s="281">
        <v>3.0</v>
      </c>
      <c r="L97" s="280">
        <v>0.925694444444443</v>
      </c>
      <c r="M97" s="280">
        <v>0.9340277777777763</v>
      </c>
      <c r="N97" s="281">
        <v>5.0</v>
      </c>
      <c r="O97" s="280">
        <v>0.9374999999999986</v>
      </c>
      <c r="P97" s="103">
        <f t="shared" si="13"/>
        <v>49</v>
      </c>
      <c r="Q97" s="103">
        <f t="shared" si="14"/>
        <v>60</v>
      </c>
      <c r="R97" s="103">
        <f t="shared" si="15"/>
        <v>11</v>
      </c>
      <c r="S97" s="104">
        <f t="shared" si="16"/>
        <v>0.2244897959</v>
      </c>
      <c r="T97" s="142">
        <f t="shared" si="17"/>
        <v>60</v>
      </c>
    </row>
    <row r="98">
      <c r="A98" s="88"/>
      <c r="B98" s="106" t="s">
        <v>98</v>
      </c>
      <c r="C98" s="280">
        <v>0.9374999999999986</v>
      </c>
      <c r="D98" s="280">
        <v>0.9472222222222207</v>
      </c>
      <c r="E98" s="281">
        <v>0.0</v>
      </c>
      <c r="F98" s="280">
        <v>0.9472222222222207</v>
      </c>
      <c r="G98" s="280">
        <v>0.9548611111111096</v>
      </c>
      <c r="H98" s="281">
        <v>3.0</v>
      </c>
      <c r="I98" s="280">
        <v>0.9569444444444429</v>
      </c>
      <c r="J98" s="280">
        <v>0.9652777777777762</v>
      </c>
      <c r="K98" s="281">
        <v>3.0</v>
      </c>
      <c r="L98" s="280">
        <v>0.9673611111111096</v>
      </c>
      <c r="M98" s="280">
        <v>0.9756944444444429</v>
      </c>
      <c r="N98" s="281">
        <v>0.0</v>
      </c>
      <c r="O98" s="107" t="s">
        <v>80</v>
      </c>
      <c r="P98" s="103">
        <f t="shared" si="13"/>
        <v>49</v>
      </c>
      <c r="Q98" s="103">
        <f>(M98-C98)*1440</f>
        <v>55</v>
      </c>
      <c r="R98" s="103">
        <f t="shared" si="15"/>
        <v>6</v>
      </c>
      <c r="S98" s="104">
        <f t="shared" si="16"/>
        <v>0.1224489796</v>
      </c>
      <c r="T98" s="142">
        <f>(M98-M97)*1440</f>
        <v>60</v>
      </c>
    </row>
    <row r="99">
      <c r="A99" s="108"/>
      <c r="B99" s="62"/>
      <c r="P99" s="283"/>
      <c r="Q99" s="158">
        <f>SUM(Q84:Q98)/60</f>
        <v>14.91666667</v>
      </c>
    </row>
  </sheetData>
  <mergeCells count="18">
    <mergeCell ref="K44:K45"/>
    <mergeCell ref="N44:N45"/>
    <mergeCell ref="A1:A40"/>
    <mergeCell ref="A80:A99"/>
    <mergeCell ref="K3:K4"/>
    <mergeCell ref="N3:N4"/>
    <mergeCell ref="E82:E83"/>
    <mergeCell ref="H82:H83"/>
    <mergeCell ref="K82:K83"/>
    <mergeCell ref="N82:N83"/>
    <mergeCell ref="E3:E4"/>
    <mergeCell ref="H3:H4"/>
    <mergeCell ref="H44:H45"/>
    <mergeCell ref="A41:A78"/>
    <mergeCell ref="B42:O42"/>
    <mergeCell ref="B80:O80"/>
    <mergeCell ref="B1:O1"/>
    <mergeCell ref="E44:E45"/>
  </mergeCells>
  <conditionalFormatting sqref="A1:A4 B4 B45 B83">
    <cfRule type="containsText" dxfId="5" priority="1" operator="containsText" text="Peak">
      <formula>NOT(ISERROR(SEARCH(("Peak"),(A1))))</formula>
    </cfRule>
  </conditionalFormatting>
  <conditionalFormatting sqref="A1:A78 B4 B45 B77 B79 B83">
    <cfRule type="containsText" dxfId="1" priority="2" operator="containsText" text="Afternoon">
      <formula>NOT(ISERROR(SEARCH(("Afternoon"),(A1))))</formula>
    </cfRule>
  </conditionalFormatting>
  <conditionalFormatting sqref="A1:A4 B4 B45 B83">
    <cfRule type="containsText" dxfId="4" priority="3" operator="containsText" text="Evening">
      <formula>NOT(ISERROR(SEARCH(("Evening"),(A1))))</formula>
    </cfRule>
  </conditionalFormatting>
  <conditionalFormatting sqref="A1:A78 B4 B45 B83">
    <cfRule type="containsText" dxfId="2" priority="4" operator="containsText" text="Morning">
      <formula>NOT(ISERROR(SEARCH(("Morning"),(A1))))</formula>
    </cfRule>
  </conditionalFormatting>
  <conditionalFormatting sqref="A1:A99 B4 B45 B83">
    <cfRule type="containsText" dxfId="3" priority="5" operator="containsText" text="Night">
      <formula>NOT(ISERROR(SEARCH(("Night"),(A1))))</formula>
    </cfRule>
  </conditionalFormatting>
  <conditionalFormatting sqref="A41:A99">
    <cfRule type="containsText" dxfId="4" priority="6" operator="containsText" text="Evening">
      <formula>NOT(ISERROR(SEARCH(("Evening"),(A41))))</formula>
    </cfRule>
  </conditionalFormatting>
  <conditionalFormatting sqref="A41:A99">
    <cfRule type="containsText" dxfId="5" priority="7" operator="containsText" text="Peak">
      <formula>NOT(ISERROR(SEARCH(("Peak"),(A41))))</formula>
    </cfRule>
  </conditionalFormatting>
  <conditionalFormatting sqref="A79:A99">
    <cfRule type="containsText" dxfId="1" priority="8" operator="containsText" text="Afternoon">
      <formula>NOT(ISERROR(SEARCH(("Afternoon"),(A79))))</formula>
    </cfRule>
  </conditionalFormatting>
  <conditionalFormatting sqref="A79:A99">
    <cfRule type="containsText" dxfId="2" priority="9" operator="containsText" text="Morning">
      <formula>NOT(ISERROR(SEARCH(("Morning"),(A79))))</formula>
    </cfRule>
  </conditionalFormatting>
  <conditionalFormatting sqref="B46:B76">
    <cfRule type="containsText" dxfId="3" priority="10" operator="containsText" text="Night">
      <formula>NOT(ISERROR(SEARCH(("Night"),(B46))))</formula>
    </cfRule>
  </conditionalFormatting>
  <conditionalFormatting sqref="B46:B76">
    <cfRule type="containsText" dxfId="4" priority="11" operator="containsText" text="Evening">
      <formula>NOT(ISERROR(SEARCH(("Evening"),(B46))))</formula>
    </cfRule>
  </conditionalFormatting>
  <conditionalFormatting sqref="B46:B76">
    <cfRule type="containsText" dxfId="5" priority="12" operator="containsText" text="Peak">
      <formula>NOT(ISERROR(SEARCH(("Peak"),(B46))))</formula>
    </cfRule>
  </conditionalFormatting>
  <conditionalFormatting sqref="B84:B99">
    <cfRule type="containsText" dxfId="3" priority="13" operator="containsText" text="Night">
      <formula>NOT(ISERROR(SEARCH(("Night"),(B84))))</formula>
    </cfRule>
  </conditionalFormatting>
  <conditionalFormatting sqref="B84:B99">
    <cfRule type="containsText" dxfId="4" priority="14" operator="containsText" text="Evening">
      <formula>NOT(ISERROR(SEARCH(("Evening"),(B84))))</formula>
    </cfRule>
  </conditionalFormatting>
  <conditionalFormatting sqref="B84:B99">
    <cfRule type="containsText" dxfId="5" priority="15" operator="containsText" text="Peak">
      <formula>NOT(ISERROR(SEARCH(("Peak"),(B84))))</formula>
    </cfRule>
  </conditionalFormatting>
  <conditionalFormatting sqref="B5:B39">
    <cfRule type="containsText" dxfId="0" priority="16" operator="containsText" text="Early Morning">
      <formula>NOT(ISERROR(SEARCH(("Early Morning"),(B5))))</formula>
    </cfRule>
  </conditionalFormatting>
  <conditionalFormatting sqref="B5:B39">
    <cfRule type="containsText" dxfId="1" priority="17" operator="containsText" text="Midday">
      <formula>NOT(ISERROR(SEARCH(("Midday"),(B5))))</formula>
    </cfRule>
  </conditionalFormatting>
  <conditionalFormatting sqref="B5:B39">
    <cfRule type="containsText" dxfId="2" priority="18" operator="containsText" text="Morning">
      <formula>NOT(ISERROR(SEARCH(("Morning"),(B5))))</formula>
    </cfRule>
  </conditionalFormatting>
  <conditionalFormatting sqref="B5:B40">
    <cfRule type="containsText" dxfId="3" priority="19" operator="containsText" text="Night">
      <formula>NOT(ISERROR(SEARCH(("Night"),(B5))))</formula>
    </cfRule>
  </conditionalFormatting>
  <conditionalFormatting sqref="B5:B40">
    <cfRule type="containsText" dxfId="4" priority="20" operator="containsText" text="Evening">
      <formula>NOT(ISERROR(SEARCH(("Evening"),(B5))))</formula>
    </cfRule>
  </conditionalFormatting>
  <conditionalFormatting sqref="B5:B40">
    <cfRule type="containsText" dxfId="5" priority="21" operator="containsText" text="Peak">
      <formula>NOT(ISERROR(SEARCH(("Peak"),(B5))))</formula>
    </cfRule>
  </conditionalFormatting>
  <conditionalFormatting sqref="B43">
    <cfRule type="containsText" dxfId="3" priority="22" operator="containsText" text="Night">
      <formula>NOT(ISERROR(SEARCH(("Night"),(B43))))</formula>
    </cfRule>
  </conditionalFormatting>
  <conditionalFormatting sqref="B43">
    <cfRule type="containsText" dxfId="4" priority="23" operator="containsText" text="Evening">
      <formula>NOT(ISERROR(SEARCH(("Evening"),(B43))))</formula>
    </cfRule>
  </conditionalFormatting>
  <conditionalFormatting sqref="B43">
    <cfRule type="containsText" dxfId="5" priority="24" operator="containsText" text="Peak">
      <formula>NOT(ISERROR(SEARCH(("Peak"),(B43))))</formula>
    </cfRule>
  </conditionalFormatting>
  <conditionalFormatting sqref="B43">
    <cfRule type="containsText" dxfId="1" priority="25" operator="containsText" text="Afternoon">
      <formula>NOT(ISERROR(SEARCH(("Afternoon"),(B43))))</formula>
    </cfRule>
  </conditionalFormatting>
  <conditionalFormatting sqref="B43">
    <cfRule type="containsText" dxfId="2" priority="26" operator="containsText" text="Morning">
      <formula>NOT(ISERROR(SEARCH(("Morning"),(B43))))</formula>
    </cfRule>
  </conditionalFormatting>
  <conditionalFormatting sqref="B46:B76">
    <cfRule type="containsText" dxfId="0" priority="27" operator="containsText" text="Early Morning">
      <formula>NOT(ISERROR(SEARCH(("Early Morning"),(B46))))</formula>
    </cfRule>
  </conditionalFormatting>
  <conditionalFormatting sqref="B46:B76">
    <cfRule type="containsText" dxfId="1" priority="28" operator="containsText" text="Midday">
      <formula>NOT(ISERROR(SEARCH(("Midday"),(B46))))</formula>
    </cfRule>
  </conditionalFormatting>
  <conditionalFormatting sqref="B46:B77 B79">
    <cfRule type="containsText" dxfId="3" priority="29" operator="containsText" text="Night">
      <formula>NOT(ISERROR(SEARCH(("Night"),(B46))))</formula>
    </cfRule>
  </conditionalFormatting>
  <conditionalFormatting sqref="B46:B77 B79">
    <cfRule type="containsText" dxfId="4" priority="30" operator="containsText" text="Evening">
      <formula>NOT(ISERROR(SEARCH(("Evening"),(B46))))</formula>
    </cfRule>
  </conditionalFormatting>
  <conditionalFormatting sqref="B46:B77 B79">
    <cfRule type="containsText" dxfId="5" priority="31" operator="containsText" text="Peak">
      <formula>NOT(ISERROR(SEARCH(("Peak"),(B46))))</formula>
    </cfRule>
  </conditionalFormatting>
  <conditionalFormatting sqref="B46:B77">
    <cfRule type="containsText" dxfId="2" priority="32" operator="containsText" text="Morning">
      <formula>NOT(ISERROR(SEARCH(("Morning"),(B46))))</formula>
    </cfRule>
  </conditionalFormatting>
  <conditionalFormatting sqref="B79">
    <cfRule type="containsText" dxfId="2" priority="33" operator="containsText" text="Morning">
      <formula>NOT(ISERROR(SEARCH(("Morning"),(B79))))</formula>
    </cfRule>
  </conditionalFormatting>
  <conditionalFormatting sqref="B81">
    <cfRule type="containsText" dxfId="3" priority="34" operator="containsText" text="Night">
      <formula>NOT(ISERROR(SEARCH(("Night"),(B81))))</formula>
    </cfRule>
  </conditionalFormatting>
  <conditionalFormatting sqref="B81">
    <cfRule type="containsText" dxfId="4" priority="35" operator="containsText" text="Evening">
      <formula>NOT(ISERROR(SEARCH(("Evening"),(B81))))</formula>
    </cfRule>
  </conditionalFormatting>
  <conditionalFormatting sqref="B81">
    <cfRule type="containsText" dxfId="5" priority="36" operator="containsText" text="Peak">
      <formula>NOT(ISERROR(SEARCH(("Peak"),(B81))))</formula>
    </cfRule>
  </conditionalFormatting>
  <conditionalFormatting sqref="B81">
    <cfRule type="containsText" dxfId="1" priority="37" operator="containsText" text="Afternoon">
      <formula>NOT(ISERROR(SEARCH(("Afternoon"),(B81))))</formula>
    </cfRule>
  </conditionalFormatting>
  <conditionalFormatting sqref="B81">
    <cfRule type="containsText" dxfId="2" priority="38" operator="containsText" text="Morning">
      <formula>NOT(ISERROR(SEARCH(("Morning"),(B81))))</formula>
    </cfRule>
  </conditionalFormatting>
  <conditionalFormatting sqref="B84:B98">
    <cfRule type="containsText" dxfId="0" priority="39" operator="containsText" text="Early Morning">
      <formula>NOT(ISERROR(SEARCH(("Early Morning"),(B84))))</formula>
    </cfRule>
  </conditionalFormatting>
  <conditionalFormatting sqref="B84:B98">
    <cfRule type="containsText" dxfId="1" priority="40" operator="containsText" text="Midday">
      <formula>NOT(ISERROR(SEARCH(("Midday"),(B84))))</formula>
    </cfRule>
  </conditionalFormatting>
  <conditionalFormatting sqref="B84:B98">
    <cfRule type="containsText" dxfId="2" priority="41" operator="containsText" text="Morning">
      <formula>NOT(ISERROR(SEARCH(("Morning"),(B84))))</formula>
    </cfRule>
  </conditionalFormatting>
  <conditionalFormatting sqref="P81:R82 B99">
    <cfRule type="containsText" dxfId="1" priority="42" operator="containsText" text="Afternoon">
      <formula>NOT(ISERROR(SEARCH(("Afternoon"),(P81))))</formula>
    </cfRule>
  </conditionalFormatting>
  <conditionalFormatting sqref="P81:R82 B99">
    <cfRule type="containsText" dxfId="2" priority="43" operator="containsText" text="Morning">
      <formula>NOT(ISERROR(SEARCH(("Morning"),(P81))))</formula>
    </cfRule>
  </conditionalFormatting>
  <conditionalFormatting sqref="P81:R82">
    <cfRule type="containsText" dxfId="3" priority="44" operator="containsText" text="Night">
      <formula>NOT(ISERROR(SEARCH(("Night"),(P81))))</formula>
    </cfRule>
  </conditionalFormatting>
  <conditionalFormatting sqref="P81:R82">
    <cfRule type="containsText" dxfId="4" priority="45" operator="containsText" text="Evening">
      <formula>NOT(ISERROR(SEARCH(("Evening"),(P81))))</formula>
    </cfRule>
  </conditionalFormatting>
  <conditionalFormatting sqref="P81:R82">
    <cfRule type="containsText" dxfId="5" priority="46" operator="containsText" text="Peak">
      <formula>NOT(ISERROR(SEARCH(("Peak"),(P81))))</formula>
    </cfRule>
  </conditionalFormatting>
  <conditionalFormatting sqref="Q41:R41 S41:S43 T41 P43:R44">
    <cfRule type="containsText" dxfId="3" priority="47" operator="containsText" text="Night">
      <formula>NOT(ISERROR(SEARCH(("Night"),(Q41))))</formula>
    </cfRule>
  </conditionalFormatting>
  <conditionalFormatting sqref="Q41:R41 S41:S43 T41 P43:R44">
    <cfRule type="containsText" dxfId="4" priority="48" operator="containsText" text="Evening">
      <formula>NOT(ISERROR(SEARCH(("Evening"),(Q41))))</formula>
    </cfRule>
  </conditionalFormatting>
  <conditionalFormatting sqref="Q41:R41 S41:S43 T41 P43:R44">
    <cfRule type="containsText" dxfId="5" priority="49" operator="containsText" text="Peak">
      <formula>NOT(ISERROR(SEARCH(("Peak"),(Q41))))</formula>
    </cfRule>
  </conditionalFormatting>
  <conditionalFormatting sqref="Q41:R41 S41:S43 T41 P43:R44">
    <cfRule type="containsText" dxfId="1" priority="50" operator="containsText" text="Afternoon">
      <formula>NOT(ISERROR(SEARCH(("Afternoon"),(Q41))))</formula>
    </cfRule>
  </conditionalFormatting>
  <conditionalFormatting sqref="Q41:R41 S41:S43 T41 P43:R44">
    <cfRule type="containsText" dxfId="2" priority="51" operator="containsText" text="Morning">
      <formula>NOT(ISERROR(SEARCH(("Morning"),(Q41))))</formula>
    </cfRule>
  </conditionalFormatting>
  <conditionalFormatting sqref="S1:S2 B2 P2:R3 B40">
    <cfRule type="containsText" dxfId="1" priority="52" operator="containsText" text="Afternoon">
      <formula>NOT(ISERROR(SEARCH(("Afternoon"),(S1))))</formula>
    </cfRule>
  </conditionalFormatting>
  <conditionalFormatting sqref="S1:S2 B2 P2:R3 B40">
    <cfRule type="containsText" dxfId="2" priority="53" operator="containsText" text="Morning">
      <formula>NOT(ISERROR(SEARCH(("Morning"),(S1))))</formula>
    </cfRule>
  </conditionalFormatting>
  <conditionalFormatting sqref="S1:S2 B2 P2:R3">
    <cfRule type="containsText" dxfId="3" priority="54" operator="containsText" text="Night">
      <formula>NOT(ISERROR(SEARCH(("Night"),(S1))))</formula>
    </cfRule>
  </conditionalFormatting>
  <conditionalFormatting sqref="S1:S2 B2 P2:R3">
    <cfRule type="containsText" dxfId="4" priority="55" operator="containsText" text="Evening">
      <formula>NOT(ISERROR(SEARCH(("Evening"),(S1))))</formula>
    </cfRule>
  </conditionalFormatting>
  <conditionalFormatting sqref="S1:S2 B2 P2:R3">
    <cfRule type="containsText" dxfId="5" priority="56" operator="containsText" text="Peak">
      <formula>NOT(ISERROR(SEARCH(("Peak"),(S1))))</formula>
    </cfRule>
  </conditionalFormatting>
  <conditionalFormatting sqref="T6:T39">
    <cfRule type="containsText" dxfId="3" priority="57" operator="containsText" text="Night">
      <formula>NOT(ISERROR(SEARCH(("Night"),(T6))))</formula>
    </cfRule>
  </conditionalFormatting>
  <conditionalFormatting sqref="T6:T39">
    <cfRule type="containsText" dxfId="4" priority="58" operator="containsText" text="Evening">
      <formula>NOT(ISERROR(SEARCH(("Evening"),(T6))))</formula>
    </cfRule>
  </conditionalFormatting>
  <conditionalFormatting sqref="T6:T39">
    <cfRule type="containsText" dxfId="5" priority="59" operator="containsText" text="Peak">
      <formula>NOT(ISERROR(SEARCH(("Peak"),(T6))))</formula>
    </cfRule>
  </conditionalFormatting>
  <conditionalFormatting sqref="T6:T39">
    <cfRule type="containsText" dxfId="1" priority="60" operator="containsText" text="Afternoon">
      <formula>NOT(ISERROR(SEARCH(("Afternoon"),(T6))))</formula>
    </cfRule>
  </conditionalFormatting>
  <conditionalFormatting sqref="T6:T39">
    <cfRule type="containsText" dxfId="2" priority="61" operator="containsText" text="Morning">
      <formula>NOT(ISERROR(SEARCH(("Morning"),(T6))))</formula>
    </cfRule>
  </conditionalFormatting>
  <conditionalFormatting sqref="T6:T39">
    <cfRule type="cellIs" dxfId="6" priority="62" operator="lessThan">
      <formula>20</formula>
    </cfRule>
  </conditionalFormatting>
  <conditionalFormatting sqref="T6:T39">
    <cfRule type="cellIs" dxfId="7" priority="63" operator="equal">
      <formula>30</formula>
    </cfRule>
  </conditionalFormatting>
  <conditionalFormatting sqref="T6:T39">
    <cfRule type="cellIs" dxfId="8" priority="64" operator="greaterThan">
      <formula>31</formula>
    </cfRule>
  </conditionalFormatting>
  <conditionalFormatting sqref="T6:T39">
    <cfRule type="cellIs" dxfId="9" priority="65" operator="between">
      <formula>19</formula>
      <formula>29</formula>
    </cfRule>
  </conditionalFormatting>
  <conditionalFormatting sqref="T46:T76">
    <cfRule type="containsText" dxfId="3" priority="66" operator="containsText" text="Night">
      <formula>NOT(ISERROR(SEARCH(("Night"),(T46))))</formula>
    </cfRule>
  </conditionalFormatting>
  <conditionalFormatting sqref="T46:T76">
    <cfRule type="containsText" dxfId="4" priority="67" operator="containsText" text="Evening">
      <formula>NOT(ISERROR(SEARCH(("Evening"),(T46))))</formula>
    </cfRule>
  </conditionalFormatting>
  <conditionalFormatting sqref="T46:T76">
    <cfRule type="containsText" dxfId="5" priority="68" operator="containsText" text="Peak">
      <formula>NOT(ISERROR(SEARCH(("Peak"),(T46))))</formula>
    </cfRule>
  </conditionalFormatting>
  <conditionalFormatting sqref="T46:T76">
    <cfRule type="containsText" dxfId="1" priority="69" operator="containsText" text="Afternoon">
      <formula>NOT(ISERROR(SEARCH(("Afternoon"),(T46))))</formula>
    </cfRule>
  </conditionalFormatting>
  <conditionalFormatting sqref="T46:T76">
    <cfRule type="containsText" dxfId="2" priority="70" operator="containsText" text="Morning">
      <formula>NOT(ISERROR(SEARCH(("Morning"),(T46))))</formula>
    </cfRule>
  </conditionalFormatting>
  <conditionalFormatting sqref="T46:T76">
    <cfRule type="cellIs" dxfId="6" priority="71" operator="lessThan">
      <formula>20</formula>
    </cfRule>
  </conditionalFormatting>
  <conditionalFormatting sqref="T46:T76">
    <cfRule type="cellIs" dxfId="7" priority="72" operator="equal">
      <formula>30</formula>
    </cfRule>
  </conditionalFormatting>
  <conditionalFormatting sqref="T46:T76">
    <cfRule type="cellIs" dxfId="8" priority="73" operator="greaterThan">
      <formula>31</formula>
    </cfRule>
  </conditionalFormatting>
  <conditionalFormatting sqref="T46:T76">
    <cfRule type="cellIs" dxfId="9" priority="74" operator="between">
      <formula>19</formula>
      <formula>29</formula>
    </cfRule>
  </conditionalFormatting>
  <conditionalFormatting sqref="T84:T98">
    <cfRule type="containsText" dxfId="3" priority="75" operator="containsText" text="Night">
      <formula>NOT(ISERROR(SEARCH(("Night"),(T84))))</formula>
    </cfRule>
  </conditionalFormatting>
  <conditionalFormatting sqref="T84:T98">
    <cfRule type="containsText" dxfId="4" priority="76" operator="containsText" text="Evening">
      <formula>NOT(ISERROR(SEARCH(("Evening"),(T84))))</formula>
    </cfRule>
  </conditionalFormatting>
  <conditionalFormatting sqref="T84:T98">
    <cfRule type="containsText" dxfId="5" priority="77" operator="containsText" text="Peak">
      <formula>NOT(ISERROR(SEARCH(("Peak"),(T84))))</formula>
    </cfRule>
  </conditionalFormatting>
  <conditionalFormatting sqref="T84:T98">
    <cfRule type="containsText" dxfId="1" priority="78" operator="containsText" text="Afternoon">
      <formula>NOT(ISERROR(SEARCH(("Afternoon"),(T84))))</formula>
    </cfRule>
  </conditionalFormatting>
  <conditionalFormatting sqref="T84:T98">
    <cfRule type="containsText" dxfId="2" priority="79" operator="containsText" text="Morning">
      <formula>NOT(ISERROR(SEARCH(("Morning"),(T84))))</formula>
    </cfRule>
  </conditionalFormatting>
  <conditionalFormatting sqref="T84:T98">
    <cfRule type="cellIs" dxfId="6" priority="80" operator="lessThan">
      <formula>20</formula>
    </cfRule>
  </conditionalFormatting>
  <conditionalFormatting sqref="T84:T98">
    <cfRule type="cellIs" dxfId="7" priority="81" operator="equal">
      <formula>30</formula>
    </cfRule>
  </conditionalFormatting>
  <conditionalFormatting sqref="T84:T98">
    <cfRule type="cellIs" dxfId="8" priority="82" operator="greaterThan">
      <formula>31</formula>
    </cfRule>
  </conditionalFormatting>
  <conditionalFormatting sqref="T84:T98">
    <cfRule type="cellIs" dxfId="9" priority="83" operator="between">
      <formula>19</formula>
      <formula>29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3.25"/>
    <col customWidth="1" min="3" max="4" width="13.63"/>
    <col customWidth="1" min="5" max="5" width="3.25"/>
    <col customWidth="1" min="6" max="7" width="13.63"/>
    <col customWidth="1" min="8" max="8" width="8.25"/>
    <col customWidth="1" min="9" max="10" width="15.63"/>
    <col customWidth="1" min="11" max="11" width="3.25"/>
    <col customWidth="1" min="12" max="13" width="14.75"/>
    <col customWidth="1" min="14" max="14" width="4.5"/>
    <col customWidth="1" min="15" max="16" width="12.5"/>
    <col customWidth="1" min="17" max="17" width="6.25"/>
    <col customWidth="1" min="18" max="19" width="11.5"/>
    <col customWidth="1" min="20" max="20" width="6.25"/>
    <col customWidth="1" min="21" max="22" width="12.25"/>
    <col customWidth="1" min="23" max="23" width="3.25"/>
    <col customWidth="1" min="24" max="25" width="12.75"/>
    <col customWidth="1" min="26" max="26" width="3.25"/>
    <col customWidth="1" min="27" max="28" width="12.63"/>
    <col customWidth="1" min="29" max="29" width="3.25"/>
    <col customWidth="1" min="30" max="31" width="12.25"/>
    <col customWidth="1" min="32" max="32" width="4.5"/>
    <col customWidth="1" min="33" max="33" width="12.25"/>
    <col customWidth="1" min="34" max="34" width="10.25"/>
    <col customWidth="1" min="35" max="35" width="11.25"/>
    <col customWidth="1" min="36" max="36" width="13.25"/>
    <col customWidth="1" min="37" max="37" width="14.63"/>
    <col customWidth="1" min="38" max="38" width="8.63"/>
    <col customWidth="1" min="39" max="39" width="2.25"/>
    <col customWidth="1" min="40" max="40" width="45.75"/>
    <col customWidth="1" min="41" max="41" width="8.63"/>
  </cols>
  <sheetData>
    <row r="1" ht="13.5" customHeight="1">
      <c r="A1" s="209" t="s">
        <v>58</v>
      </c>
      <c r="B1" s="73"/>
      <c r="C1" s="124" t="s">
        <v>83</v>
      </c>
      <c r="D1" s="300" t="s">
        <v>159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62"/>
      <c r="R1" s="301" t="s">
        <v>83</v>
      </c>
      <c r="S1" s="300" t="s">
        <v>160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73"/>
      <c r="AI1" s="73"/>
      <c r="AJ1" s="73"/>
      <c r="AK1" s="73"/>
    </row>
    <row r="2" ht="13.5" customHeight="1">
      <c r="A2" s="127"/>
      <c r="B2" s="73"/>
      <c r="C2" s="128" t="s">
        <v>161</v>
      </c>
      <c r="D2" s="128" t="s">
        <v>162</v>
      </c>
      <c r="E2" s="85"/>
      <c r="F2" s="128" t="s">
        <v>161</v>
      </c>
      <c r="G2" s="128" t="s">
        <v>162</v>
      </c>
      <c r="H2" s="85"/>
      <c r="I2" s="128" t="s">
        <v>161</v>
      </c>
      <c r="J2" s="128" t="s">
        <v>162</v>
      </c>
      <c r="K2" s="85"/>
      <c r="L2" s="128" t="s">
        <v>161</v>
      </c>
      <c r="M2" s="128" t="s">
        <v>162</v>
      </c>
      <c r="N2" s="85"/>
      <c r="O2" s="128" t="s">
        <v>161</v>
      </c>
      <c r="P2" s="128" t="s">
        <v>162</v>
      </c>
      <c r="Q2" s="85"/>
      <c r="R2" s="128" t="s">
        <v>161</v>
      </c>
      <c r="S2" s="128" t="s">
        <v>162</v>
      </c>
      <c r="T2" s="85"/>
      <c r="U2" s="128" t="s">
        <v>161</v>
      </c>
      <c r="V2" s="128" t="s">
        <v>162</v>
      </c>
      <c r="W2" s="85"/>
      <c r="X2" s="128" t="s">
        <v>161</v>
      </c>
      <c r="Y2" s="128" t="s">
        <v>162</v>
      </c>
      <c r="Z2" s="85"/>
      <c r="AA2" s="128" t="s">
        <v>161</v>
      </c>
      <c r="AB2" s="128" t="s">
        <v>162</v>
      </c>
      <c r="AC2" s="85"/>
      <c r="AD2" s="128" t="s">
        <v>161</v>
      </c>
      <c r="AE2" s="128" t="s">
        <v>162</v>
      </c>
      <c r="AF2" s="85"/>
      <c r="AG2" s="128" t="s">
        <v>161</v>
      </c>
      <c r="AH2" s="62"/>
      <c r="AI2" s="73"/>
      <c r="AJ2" s="73"/>
      <c r="AK2" s="73"/>
    </row>
    <row r="3" ht="44.25" customHeight="1">
      <c r="A3" s="127"/>
      <c r="B3" s="89" t="s">
        <v>63</v>
      </c>
      <c r="C3" s="130" t="s">
        <v>127</v>
      </c>
      <c r="D3" s="130" t="s">
        <v>163</v>
      </c>
      <c r="E3" s="132"/>
      <c r="F3" s="130" t="s">
        <v>163</v>
      </c>
      <c r="G3" s="130" t="s">
        <v>64</v>
      </c>
      <c r="H3" s="132"/>
      <c r="I3" s="130" t="s">
        <v>64</v>
      </c>
      <c r="J3" s="302" t="s">
        <v>132</v>
      </c>
      <c r="K3" s="132"/>
      <c r="L3" s="130" t="s">
        <v>132</v>
      </c>
      <c r="M3" s="130" t="s">
        <v>86</v>
      </c>
      <c r="N3" s="132"/>
      <c r="O3" s="130" t="s">
        <v>86</v>
      </c>
      <c r="P3" s="131" t="s">
        <v>87</v>
      </c>
      <c r="Q3" s="132"/>
      <c r="R3" s="303" t="s">
        <v>87</v>
      </c>
      <c r="S3" s="130" t="s">
        <v>86</v>
      </c>
      <c r="T3" s="132"/>
      <c r="U3" s="130" t="s">
        <v>86</v>
      </c>
      <c r="V3" s="302" t="s">
        <v>132</v>
      </c>
      <c r="W3" s="132"/>
      <c r="X3" s="130" t="s">
        <v>132</v>
      </c>
      <c r="Y3" s="130" t="s">
        <v>64</v>
      </c>
      <c r="Z3" s="132"/>
      <c r="AA3" s="130" t="s">
        <v>64</v>
      </c>
      <c r="AB3" s="130" t="s">
        <v>164</v>
      </c>
      <c r="AC3" s="132"/>
      <c r="AD3" s="130" t="s">
        <v>164</v>
      </c>
      <c r="AE3" s="302" t="s">
        <v>127</v>
      </c>
      <c r="AF3" s="132"/>
      <c r="AG3" s="130" t="s">
        <v>127</v>
      </c>
      <c r="AH3" s="62"/>
      <c r="AI3" s="73"/>
      <c r="AJ3" s="73"/>
      <c r="AK3" s="73"/>
      <c r="AM3" s="64" t="s">
        <v>165</v>
      </c>
      <c r="AN3" s="6"/>
    </row>
    <row r="4" ht="13.5" customHeight="1">
      <c r="A4" s="127"/>
      <c r="B4" s="89" t="s">
        <v>72</v>
      </c>
      <c r="C4" s="130">
        <v>725.0</v>
      </c>
      <c r="D4" s="128">
        <v>972.0</v>
      </c>
      <c r="E4" s="137" t="s">
        <v>69</v>
      </c>
      <c r="F4" s="130">
        <v>972.0</v>
      </c>
      <c r="G4" s="128">
        <v>777.0</v>
      </c>
      <c r="H4" s="137" t="s">
        <v>69</v>
      </c>
      <c r="I4" s="128">
        <v>777.0</v>
      </c>
      <c r="J4" s="128">
        <v>732.0</v>
      </c>
      <c r="K4" s="136" t="s">
        <v>69</v>
      </c>
      <c r="L4" s="128">
        <v>732.0</v>
      </c>
      <c r="M4" s="128">
        <v>1.0</v>
      </c>
      <c r="N4" s="137" t="s">
        <v>69</v>
      </c>
      <c r="O4" s="128">
        <v>1.0</v>
      </c>
      <c r="P4" s="128">
        <v>76.0</v>
      </c>
      <c r="Q4" s="136" t="s">
        <v>69</v>
      </c>
      <c r="R4" s="128">
        <v>76.0</v>
      </c>
      <c r="S4" s="128">
        <v>1.0</v>
      </c>
      <c r="T4" s="137" t="s">
        <v>69</v>
      </c>
      <c r="U4" s="128">
        <v>1.0</v>
      </c>
      <c r="V4" s="128">
        <v>732.0</v>
      </c>
      <c r="W4" s="136" t="s">
        <v>69</v>
      </c>
      <c r="X4" s="128">
        <v>732.0</v>
      </c>
      <c r="Y4" s="128">
        <v>777.0</v>
      </c>
      <c r="Z4" s="137" t="s">
        <v>69</v>
      </c>
      <c r="AA4" s="128">
        <v>777.0</v>
      </c>
      <c r="AB4" s="128">
        <v>971.0</v>
      </c>
      <c r="AC4" s="137" t="s">
        <v>69</v>
      </c>
      <c r="AD4" s="128">
        <v>971.0</v>
      </c>
      <c r="AE4" s="128">
        <v>725.0</v>
      </c>
      <c r="AF4" s="137" t="s">
        <v>69</v>
      </c>
      <c r="AG4" s="128">
        <v>725.0</v>
      </c>
      <c r="AH4" s="139" t="s">
        <v>166</v>
      </c>
      <c r="AI4" s="139" t="s">
        <v>69</v>
      </c>
      <c r="AJ4" s="201" t="s">
        <v>167</v>
      </c>
      <c r="AK4" s="140" t="s">
        <v>168</v>
      </c>
      <c r="AL4" s="140" t="s">
        <v>169</v>
      </c>
      <c r="AM4" s="304">
        <v>1.0</v>
      </c>
      <c r="AN4" s="304" t="s">
        <v>170</v>
      </c>
    </row>
    <row r="5" ht="13.5" customHeight="1">
      <c r="A5" s="127"/>
      <c r="B5" s="141" t="s">
        <v>89</v>
      </c>
      <c r="C5" s="101"/>
      <c r="D5" s="101"/>
      <c r="E5" s="101"/>
      <c r="F5" s="101"/>
      <c r="G5" s="101"/>
      <c r="H5" s="99"/>
      <c r="I5" s="101"/>
      <c r="J5" s="101"/>
      <c r="K5" s="99"/>
      <c r="L5" s="101"/>
      <c r="M5" s="101"/>
      <c r="N5" s="99"/>
      <c r="O5" s="305"/>
      <c r="P5" s="306" t="s">
        <v>171</v>
      </c>
      <c r="Q5" s="307"/>
      <c r="R5" s="100">
        <v>0.21458333333333332</v>
      </c>
      <c r="S5" s="101">
        <v>0.22430555555555554</v>
      </c>
      <c r="T5" s="99">
        <v>2.0</v>
      </c>
      <c r="U5" s="101">
        <v>0.22569444444444442</v>
      </c>
      <c r="V5" s="101">
        <v>0.22916666666666663</v>
      </c>
      <c r="W5" s="99">
        <v>0.0</v>
      </c>
      <c r="X5" s="101">
        <v>0.22916666666666663</v>
      </c>
      <c r="Y5" s="101">
        <v>0.23680555555555552</v>
      </c>
      <c r="Z5" s="99">
        <v>1.0</v>
      </c>
      <c r="AA5" s="101">
        <v>0.23749999999999996</v>
      </c>
      <c r="AB5" s="101">
        <v>0.2458333333333333</v>
      </c>
      <c r="AC5" s="99">
        <v>0.0</v>
      </c>
      <c r="AD5" s="101">
        <v>0.2458333333333333</v>
      </c>
      <c r="AE5" s="101">
        <v>0.25347222222222215</v>
      </c>
      <c r="AF5" s="99">
        <v>3.0</v>
      </c>
      <c r="AG5" s="101">
        <v>0.2555555555555555</v>
      </c>
      <c r="AH5" s="103">
        <f t="shared" ref="AH5:AH6" si="1">(AG5-R5)*1440</f>
        <v>59</v>
      </c>
      <c r="AI5" s="103">
        <v>6.0</v>
      </c>
      <c r="AJ5" s="104">
        <v>0.11320754716981152</v>
      </c>
      <c r="AK5" s="142"/>
      <c r="AM5" s="304">
        <v>2.0</v>
      </c>
      <c r="AN5" s="304" t="s">
        <v>172</v>
      </c>
    </row>
    <row r="6" ht="13.5" customHeight="1">
      <c r="A6" s="127"/>
      <c r="B6" s="141" t="s">
        <v>89</v>
      </c>
      <c r="C6" s="101"/>
      <c r="D6" s="101"/>
      <c r="E6" s="101"/>
      <c r="F6" s="101"/>
      <c r="G6" s="101"/>
      <c r="H6" s="99"/>
      <c r="I6" s="101"/>
      <c r="J6" s="101"/>
      <c r="K6" s="99"/>
      <c r="L6" s="101"/>
      <c r="M6" s="101"/>
      <c r="N6" s="99"/>
      <c r="O6" s="305"/>
      <c r="P6" s="306" t="s">
        <v>173</v>
      </c>
      <c r="Q6" s="307"/>
      <c r="R6" s="100">
        <v>0.2388888888888889</v>
      </c>
      <c r="S6" s="101">
        <v>0.24861111111111112</v>
      </c>
      <c r="T6" s="99">
        <v>2.0</v>
      </c>
      <c r="U6" s="101">
        <v>0.25</v>
      </c>
      <c r="V6" s="101">
        <v>0.2534722222222222</v>
      </c>
      <c r="W6" s="99">
        <v>0.0</v>
      </c>
      <c r="X6" s="101">
        <v>0.2534722222222222</v>
      </c>
      <c r="Y6" s="101">
        <v>0.26111111111111107</v>
      </c>
      <c r="Z6" s="99">
        <v>1.0</v>
      </c>
      <c r="AA6" s="101">
        <v>0.2618055555555555</v>
      </c>
      <c r="AB6" s="101">
        <v>0.2701388888888889</v>
      </c>
      <c r="AC6" s="99">
        <v>0.0</v>
      </c>
      <c r="AD6" s="101">
        <v>0.2701388888888889</v>
      </c>
      <c r="AE6" s="101">
        <v>0.27777777777777773</v>
      </c>
      <c r="AF6" s="99">
        <v>2.0</v>
      </c>
      <c r="AG6" s="101">
        <v>0.2791666666666666</v>
      </c>
      <c r="AH6" s="103">
        <f t="shared" si="1"/>
        <v>58</v>
      </c>
      <c r="AI6" s="103">
        <v>5.0</v>
      </c>
      <c r="AJ6" s="104">
        <v>0.09433962264150958</v>
      </c>
      <c r="AK6" s="142"/>
      <c r="AL6" s="142">
        <v>35.000000000000036</v>
      </c>
      <c r="AM6" s="304">
        <v>3.0</v>
      </c>
      <c r="AN6" s="304" t="s">
        <v>174</v>
      </c>
    </row>
    <row r="7" ht="13.5" customHeight="1">
      <c r="A7" s="127"/>
      <c r="B7" s="141" t="s">
        <v>89</v>
      </c>
      <c r="C7" s="101"/>
      <c r="D7" s="101"/>
      <c r="E7" s="101"/>
      <c r="F7" s="101"/>
      <c r="G7" s="101"/>
      <c r="H7" s="99"/>
      <c r="I7" s="101"/>
      <c r="J7" s="101"/>
      <c r="K7" s="99"/>
      <c r="L7" s="101"/>
      <c r="M7" s="306" t="s">
        <v>175</v>
      </c>
      <c r="N7" s="99"/>
      <c r="O7" s="100">
        <v>0.24583333333333332</v>
      </c>
      <c r="P7" s="101">
        <v>0.2520833333333333</v>
      </c>
      <c r="Q7" s="99">
        <v>1.0</v>
      </c>
      <c r="R7" s="101">
        <v>0.25277777777777777</v>
      </c>
      <c r="S7" s="101">
        <v>0.2625</v>
      </c>
      <c r="T7" s="99">
        <v>5.0</v>
      </c>
      <c r="U7" s="101">
        <v>0.2659722222222222</v>
      </c>
      <c r="V7" s="101">
        <v>0.26944444444444443</v>
      </c>
      <c r="W7" s="99">
        <v>0.0</v>
      </c>
      <c r="X7" s="101">
        <v>0.26944444444444443</v>
      </c>
      <c r="Y7" s="101">
        <v>0.2770833333333333</v>
      </c>
      <c r="Z7" s="99">
        <v>3.0</v>
      </c>
      <c r="AA7" s="101">
        <v>0.2791666666666666</v>
      </c>
      <c r="AB7" s="101">
        <v>0.2875</v>
      </c>
      <c r="AC7" s="99">
        <v>0.0</v>
      </c>
      <c r="AD7" s="101">
        <v>0.2875</v>
      </c>
      <c r="AE7" s="101">
        <v>0.29513888888888884</v>
      </c>
      <c r="AF7" s="99">
        <v>7.0</v>
      </c>
      <c r="AG7" s="101">
        <v>0.29999999999999993</v>
      </c>
      <c r="AH7" s="103">
        <f>(AG7-O7)*1440</f>
        <v>78</v>
      </c>
      <c r="AI7" s="103">
        <v>16.0</v>
      </c>
      <c r="AJ7" s="104">
        <v>0.25806451612903253</v>
      </c>
      <c r="AK7" s="142"/>
      <c r="AL7" s="142">
        <v>19.999999999999968</v>
      </c>
      <c r="AM7" s="304">
        <v>4.0</v>
      </c>
      <c r="AN7" s="304" t="s">
        <v>176</v>
      </c>
    </row>
    <row r="8" ht="13.5" customHeight="1">
      <c r="A8" s="127"/>
      <c r="B8" s="308" t="s">
        <v>177</v>
      </c>
      <c r="C8" s="101">
        <v>0.23333333333333334</v>
      </c>
      <c r="D8" s="101">
        <v>0.2423611111111111</v>
      </c>
      <c r="E8" s="99">
        <v>0.0</v>
      </c>
      <c r="F8" s="101">
        <v>0.2423611111111111</v>
      </c>
      <c r="G8" s="101">
        <v>0.2513888888888889</v>
      </c>
      <c r="H8" s="99">
        <v>2.0</v>
      </c>
      <c r="I8" s="101">
        <v>0.25277777777777777</v>
      </c>
      <c r="J8" s="101">
        <v>0.26041666666666663</v>
      </c>
      <c r="K8" s="99">
        <v>0.0</v>
      </c>
      <c r="L8" s="101">
        <v>0.26041666666666663</v>
      </c>
      <c r="M8" s="101">
        <v>0.2631944444444444</v>
      </c>
      <c r="N8" s="99">
        <v>2.0</v>
      </c>
      <c r="O8" s="101">
        <v>0.2645833333333333</v>
      </c>
      <c r="P8" s="101">
        <v>0.2715277777777777</v>
      </c>
      <c r="Q8" s="99">
        <v>2.0</v>
      </c>
      <c r="R8" s="101">
        <v>0.2729166666666666</v>
      </c>
      <c r="S8" s="101">
        <v>0.28333333333333327</v>
      </c>
      <c r="T8" s="99">
        <v>4.0</v>
      </c>
      <c r="U8" s="101">
        <v>0.28611111111111104</v>
      </c>
      <c r="V8" s="101">
        <v>0.2888888888888888</v>
      </c>
      <c r="W8" s="99">
        <v>0.0</v>
      </c>
      <c r="X8" s="101">
        <v>0.2888888888888888</v>
      </c>
      <c r="Y8" s="101">
        <v>0.2979166666666666</v>
      </c>
      <c r="Z8" s="99">
        <v>3.0</v>
      </c>
      <c r="AA8" s="101">
        <v>0.29999999999999993</v>
      </c>
      <c r="AB8" s="101">
        <v>0.3097222222222222</v>
      </c>
      <c r="AC8" s="99">
        <v>0.0</v>
      </c>
      <c r="AD8" s="101">
        <v>0.3097222222222222</v>
      </c>
      <c r="AE8" s="101">
        <v>0.31736111111111104</v>
      </c>
      <c r="AF8" s="99">
        <v>3.0</v>
      </c>
      <c r="AG8" s="101">
        <v>0.31944444444444436</v>
      </c>
      <c r="AH8" s="103">
        <f t="shared" ref="AH8:AH31" si="2">(AG8-C8)*1440</f>
        <v>124</v>
      </c>
      <c r="AI8" s="103">
        <v>16.0</v>
      </c>
      <c r="AJ8" s="104">
        <v>0.1481481481481483</v>
      </c>
      <c r="AK8" s="309"/>
      <c r="AL8" s="142">
        <v>28.999999999999897</v>
      </c>
      <c r="AM8" s="304">
        <v>5.0</v>
      </c>
      <c r="AN8" s="304" t="s">
        <v>178</v>
      </c>
    </row>
    <row r="9" ht="13.5" customHeight="1">
      <c r="A9" s="127"/>
      <c r="B9" s="141" t="s">
        <v>177</v>
      </c>
      <c r="C9" s="101">
        <v>0.2555555555555555</v>
      </c>
      <c r="D9" s="101">
        <v>0.2645833333333333</v>
      </c>
      <c r="E9" s="99">
        <v>0.0</v>
      </c>
      <c r="F9" s="101">
        <v>0.2645833333333333</v>
      </c>
      <c r="G9" s="101">
        <v>0.2736111111111111</v>
      </c>
      <c r="H9" s="99">
        <v>2.0</v>
      </c>
      <c r="I9" s="101">
        <v>0.27499999999999997</v>
      </c>
      <c r="J9" s="101">
        <v>0.28263888888888883</v>
      </c>
      <c r="K9" s="99">
        <v>0.0</v>
      </c>
      <c r="L9" s="101">
        <v>0.28263888888888883</v>
      </c>
      <c r="M9" s="101">
        <v>0.2854166666666666</v>
      </c>
      <c r="N9" s="99">
        <v>2.0</v>
      </c>
      <c r="O9" s="101">
        <v>0.2868055555555555</v>
      </c>
      <c r="P9" s="101">
        <v>0.2937499999999999</v>
      </c>
      <c r="Q9" s="99">
        <v>2.0</v>
      </c>
      <c r="R9" s="101">
        <v>0.2951388888888888</v>
      </c>
      <c r="S9" s="101">
        <v>0.30555555555555547</v>
      </c>
      <c r="T9" s="99">
        <v>5.0</v>
      </c>
      <c r="U9" s="101">
        <v>0.3090277777777777</v>
      </c>
      <c r="V9" s="101">
        <v>0.31180555555555545</v>
      </c>
      <c r="W9" s="99">
        <v>0.0</v>
      </c>
      <c r="X9" s="101">
        <v>0.31180555555555545</v>
      </c>
      <c r="Y9" s="101">
        <v>0.32083333333333325</v>
      </c>
      <c r="Z9" s="99">
        <v>3.0</v>
      </c>
      <c r="AA9" s="101">
        <v>0.3229166666666666</v>
      </c>
      <c r="AB9" s="101">
        <v>0.3326388888888888</v>
      </c>
      <c r="AC9" s="99">
        <v>0.0</v>
      </c>
      <c r="AD9" s="101">
        <v>0.3326388888888888</v>
      </c>
      <c r="AE9" s="101">
        <v>0.3402777777777777</v>
      </c>
      <c r="AF9" s="99">
        <v>5.0</v>
      </c>
      <c r="AG9" s="101">
        <v>0.3437499999999999</v>
      </c>
      <c r="AH9" s="103">
        <f t="shared" si="2"/>
        <v>127</v>
      </c>
      <c r="AI9" s="103">
        <v>19.0</v>
      </c>
      <c r="AJ9" s="104">
        <v>0.175925925925926</v>
      </c>
      <c r="AK9" s="142">
        <v>31.999999999999886</v>
      </c>
      <c r="AL9" s="142">
        <v>31.999999999999964</v>
      </c>
    </row>
    <row r="10" ht="13.5" customHeight="1">
      <c r="A10" s="127"/>
      <c r="B10" s="141" t="s">
        <v>177</v>
      </c>
      <c r="C10" s="101">
        <v>0.2791666666666666</v>
      </c>
      <c r="D10" s="101">
        <v>0.2881944444444444</v>
      </c>
      <c r="E10" s="99">
        <v>0.0</v>
      </c>
      <c r="F10" s="101">
        <v>0.2881944444444444</v>
      </c>
      <c r="G10" s="101">
        <v>0.2972222222222222</v>
      </c>
      <c r="H10" s="99">
        <v>2.0</v>
      </c>
      <c r="I10" s="101">
        <v>0.2986111111111111</v>
      </c>
      <c r="J10" s="101">
        <v>0.30624999999999997</v>
      </c>
      <c r="K10" s="99">
        <v>0.0</v>
      </c>
      <c r="L10" s="101">
        <v>0.30624999999999997</v>
      </c>
      <c r="M10" s="101">
        <v>0.30902777777777773</v>
      </c>
      <c r="N10" s="99">
        <v>2.0</v>
      </c>
      <c r="O10" s="101">
        <v>0.3104166666666666</v>
      </c>
      <c r="P10" s="101">
        <v>0.31736111111111104</v>
      </c>
      <c r="Q10" s="99">
        <v>2.0</v>
      </c>
      <c r="R10" s="101">
        <v>0.3187499999999999</v>
      </c>
      <c r="S10" s="101">
        <v>0.3291666666666666</v>
      </c>
      <c r="T10" s="99">
        <v>5.0</v>
      </c>
      <c r="U10" s="101">
        <v>0.3326388888888888</v>
      </c>
      <c r="V10" s="101">
        <v>0.3354166666666666</v>
      </c>
      <c r="W10" s="99">
        <v>0.0</v>
      </c>
      <c r="X10" s="101">
        <v>0.3354166666666666</v>
      </c>
      <c r="Y10" s="101">
        <v>0.3444444444444444</v>
      </c>
      <c r="Z10" s="99">
        <v>3.0</v>
      </c>
      <c r="AA10" s="101">
        <v>0.3465277777777777</v>
      </c>
      <c r="AB10" s="101">
        <v>0.35624999999999996</v>
      </c>
      <c r="AC10" s="99">
        <v>0.0</v>
      </c>
      <c r="AD10" s="101">
        <v>0.35624999999999996</v>
      </c>
      <c r="AE10" s="101">
        <v>0.3638888888888888</v>
      </c>
      <c r="AF10" s="99">
        <v>6.0</v>
      </c>
      <c r="AG10" s="101">
        <v>0.36805555555555547</v>
      </c>
      <c r="AH10" s="103">
        <f t="shared" si="2"/>
        <v>128</v>
      </c>
      <c r="AI10" s="103">
        <v>20.0</v>
      </c>
      <c r="AJ10" s="104">
        <v>0.18518518518518529</v>
      </c>
      <c r="AK10" s="142">
        <v>34.00000000000004</v>
      </c>
      <c r="AL10" s="142">
        <v>34.00000000000004</v>
      </c>
      <c r="AN10" s="85" t="s">
        <v>179</v>
      </c>
    </row>
    <row r="11" ht="13.5" customHeight="1">
      <c r="A11" s="127"/>
      <c r="B11" s="141" t="s">
        <v>77</v>
      </c>
      <c r="C11" s="101">
        <v>0.29999999999999993</v>
      </c>
      <c r="D11" s="101">
        <v>0.30902777777777773</v>
      </c>
      <c r="E11" s="99">
        <v>0.0</v>
      </c>
      <c r="F11" s="101">
        <v>0.30902777777777773</v>
      </c>
      <c r="G11" s="101">
        <v>0.31805555555555554</v>
      </c>
      <c r="H11" s="99">
        <v>1.0</v>
      </c>
      <c r="I11" s="101">
        <v>0.31875</v>
      </c>
      <c r="J11" s="101">
        <v>0.32708333333333334</v>
      </c>
      <c r="K11" s="99">
        <v>0.0</v>
      </c>
      <c r="L11" s="101">
        <v>0.32708333333333334</v>
      </c>
      <c r="M11" s="101">
        <v>0.33055555555555555</v>
      </c>
      <c r="N11" s="99">
        <v>3.0</v>
      </c>
      <c r="O11" s="101">
        <v>0.3326388888888889</v>
      </c>
      <c r="P11" s="101">
        <v>0.34027777777777773</v>
      </c>
      <c r="Q11" s="99">
        <v>2.0</v>
      </c>
      <c r="R11" s="101">
        <v>0.3416666666666666</v>
      </c>
      <c r="S11" s="101">
        <v>0.3520833333333333</v>
      </c>
      <c r="T11" s="99">
        <v>5.0</v>
      </c>
      <c r="U11" s="101">
        <v>0.3555555555555555</v>
      </c>
      <c r="V11" s="101">
        <v>0.3583333333333333</v>
      </c>
      <c r="W11" s="99">
        <v>0.0</v>
      </c>
      <c r="X11" s="101">
        <v>0.3583333333333333</v>
      </c>
      <c r="Y11" s="101">
        <v>0.3673611111111111</v>
      </c>
      <c r="Z11" s="99">
        <v>3.0</v>
      </c>
      <c r="AA11" s="101">
        <v>0.3694444444444444</v>
      </c>
      <c r="AB11" s="101">
        <v>0.3784722222222222</v>
      </c>
      <c r="AC11" s="99">
        <v>0.0</v>
      </c>
      <c r="AD11" s="101">
        <v>0.3784722222222222</v>
      </c>
      <c r="AE11" s="101">
        <v>0.38611111111111107</v>
      </c>
      <c r="AF11" s="99">
        <v>4.0</v>
      </c>
      <c r="AG11" s="101">
        <v>0.38888888888888884</v>
      </c>
      <c r="AH11" s="103">
        <f t="shared" si="2"/>
        <v>128</v>
      </c>
      <c r="AI11" s="103">
        <v>18.0</v>
      </c>
      <c r="AJ11" s="104">
        <v>0.1636363636363636</v>
      </c>
      <c r="AK11" s="142">
        <v>29.99999999999997</v>
      </c>
      <c r="AL11" s="142">
        <v>33.00000000000004</v>
      </c>
    </row>
    <row r="12" ht="13.5" customHeight="1">
      <c r="A12" s="127"/>
      <c r="B12" s="141" t="s">
        <v>77</v>
      </c>
      <c r="C12" s="101">
        <v>0.31944444444444436</v>
      </c>
      <c r="D12" s="101">
        <v>0.32847222222222217</v>
      </c>
      <c r="E12" s="99">
        <v>0.0</v>
      </c>
      <c r="F12" s="101">
        <v>0.32847222222222217</v>
      </c>
      <c r="G12" s="101">
        <v>0.33749999999999997</v>
      </c>
      <c r="H12" s="99">
        <v>3.0</v>
      </c>
      <c r="I12" s="101">
        <v>0.3395833333333333</v>
      </c>
      <c r="J12" s="101">
        <v>0.34791666666666665</v>
      </c>
      <c r="K12" s="99">
        <v>0.0</v>
      </c>
      <c r="L12" s="101">
        <v>0.34791666666666665</v>
      </c>
      <c r="M12" s="101">
        <v>0.35138888888888886</v>
      </c>
      <c r="N12" s="99">
        <v>3.0</v>
      </c>
      <c r="O12" s="101">
        <v>0.3534722222222222</v>
      </c>
      <c r="P12" s="101">
        <v>0.36111111111111105</v>
      </c>
      <c r="Q12" s="99">
        <v>2.0</v>
      </c>
      <c r="R12" s="101">
        <v>0.36249999999999993</v>
      </c>
      <c r="S12" s="101">
        <v>0.3729166666666666</v>
      </c>
      <c r="T12" s="99">
        <v>5.0</v>
      </c>
      <c r="U12" s="101">
        <v>0.37638888888888883</v>
      </c>
      <c r="V12" s="101">
        <v>0.3791666666666666</v>
      </c>
      <c r="W12" s="99">
        <v>0.0</v>
      </c>
      <c r="X12" s="101">
        <v>0.3791666666666666</v>
      </c>
      <c r="Y12" s="101">
        <v>0.3881944444444444</v>
      </c>
      <c r="Z12" s="99">
        <v>3.0</v>
      </c>
      <c r="AA12" s="101">
        <v>0.3902777777777777</v>
      </c>
      <c r="AB12" s="101">
        <v>0.3993055555555555</v>
      </c>
      <c r="AC12" s="99">
        <v>0.0</v>
      </c>
      <c r="AD12" s="101">
        <v>0.3993055555555555</v>
      </c>
      <c r="AE12" s="101">
        <v>0.4069444444444444</v>
      </c>
      <c r="AF12" s="99">
        <v>4.0</v>
      </c>
      <c r="AG12" s="101">
        <v>0.40972222222222215</v>
      </c>
      <c r="AH12" s="103">
        <f t="shared" si="2"/>
        <v>130</v>
      </c>
      <c r="AI12" s="103">
        <v>20.0</v>
      </c>
      <c r="AJ12" s="104">
        <v>0.18181818181818177</v>
      </c>
      <c r="AK12" s="142">
        <v>27.99999999999998</v>
      </c>
      <c r="AL12" s="142">
        <v>29.99999999999997</v>
      </c>
    </row>
    <row r="13" ht="13.5" customHeight="1">
      <c r="A13" s="127"/>
      <c r="B13" s="141" t="s">
        <v>77</v>
      </c>
      <c r="C13" s="101">
        <v>0.3437499999999999</v>
      </c>
      <c r="D13" s="101">
        <v>0.3527777777777777</v>
      </c>
      <c r="E13" s="99">
        <v>0.0</v>
      </c>
      <c r="F13" s="101">
        <v>0.3527777777777777</v>
      </c>
      <c r="G13" s="101">
        <v>0.3618055555555555</v>
      </c>
      <c r="H13" s="99">
        <v>3.0</v>
      </c>
      <c r="I13" s="101">
        <v>0.3638888888888888</v>
      </c>
      <c r="J13" s="101">
        <v>0.3722222222222222</v>
      </c>
      <c r="K13" s="99">
        <v>0.0</v>
      </c>
      <c r="L13" s="101">
        <v>0.3722222222222222</v>
      </c>
      <c r="M13" s="101">
        <v>0.3756944444444444</v>
      </c>
      <c r="N13" s="99">
        <v>3.0</v>
      </c>
      <c r="O13" s="101">
        <v>0.3777777777777777</v>
      </c>
      <c r="P13" s="101">
        <v>0.3854166666666666</v>
      </c>
      <c r="Q13" s="99">
        <v>2.0</v>
      </c>
      <c r="R13" s="101">
        <v>0.38680555555555546</v>
      </c>
      <c r="S13" s="101">
        <v>0.39722222222222214</v>
      </c>
      <c r="T13" s="99">
        <v>5.0</v>
      </c>
      <c r="U13" s="101">
        <v>0.40069444444444435</v>
      </c>
      <c r="V13" s="101">
        <v>0.4034722222222221</v>
      </c>
      <c r="W13" s="99">
        <v>0.0</v>
      </c>
      <c r="X13" s="101">
        <v>0.4034722222222221</v>
      </c>
      <c r="Y13" s="101">
        <v>0.4124999999999999</v>
      </c>
      <c r="Z13" s="99">
        <v>3.0</v>
      </c>
      <c r="AA13" s="101">
        <v>0.41458333333333325</v>
      </c>
      <c r="AB13" s="101">
        <v>0.42361111111111105</v>
      </c>
      <c r="AC13" s="99">
        <v>0.0</v>
      </c>
      <c r="AD13" s="101">
        <v>0.42361111111111105</v>
      </c>
      <c r="AE13" s="101">
        <v>0.4312499999999999</v>
      </c>
      <c r="AF13" s="99">
        <v>4.0</v>
      </c>
      <c r="AG13" s="101">
        <v>0.4340277777777777</v>
      </c>
      <c r="AH13" s="103">
        <f t="shared" si="2"/>
        <v>130</v>
      </c>
      <c r="AI13" s="103">
        <v>20.0</v>
      </c>
      <c r="AJ13" s="104">
        <v>0.18181818181818177</v>
      </c>
      <c r="AK13" s="142">
        <v>34.99999999999996</v>
      </c>
      <c r="AL13" s="142">
        <v>34.99999999999996</v>
      </c>
    </row>
    <row r="14" ht="13.5" customHeight="1">
      <c r="A14" s="127"/>
      <c r="B14" s="141" t="s">
        <v>77</v>
      </c>
      <c r="C14" s="101">
        <v>0.36805555555555547</v>
      </c>
      <c r="D14" s="101">
        <v>0.37708333333333327</v>
      </c>
      <c r="E14" s="99">
        <v>0.0</v>
      </c>
      <c r="F14" s="101">
        <v>0.37708333333333327</v>
      </c>
      <c r="G14" s="101">
        <v>0.38611111111111107</v>
      </c>
      <c r="H14" s="99">
        <v>3.0</v>
      </c>
      <c r="I14" s="101">
        <v>0.3881944444444444</v>
      </c>
      <c r="J14" s="101">
        <v>0.39652777777777776</v>
      </c>
      <c r="K14" s="99">
        <v>0.0</v>
      </c>
      <c r="L14" s="101">
        <v>0.39652777777777776</v>
      </c>
      <c r="M14" s="101">
        <v>0.39999999999999997</v>
      </c>
      <c r="N14" s="99">
        <v>3.0</v>
      </c>
      <c r="O14" s="101">
        <v>0.4020833333333333</v>
      </c>
      <c r="P14" s="101">
        <v>0.40972222222222215</v>
      </c>
      <c r="Q14" s="99">
        <v>2.0</v>
      </c>
      <c r="R14" s="101">
        <v>0.41111111111111104</v>
      </c>
      <c r="S14" s="101">
        <v>0.4215277777777777</v>
      </c>
      <c r="T14" s="99">
        <v>5.0</v>
      </c>
      <c r="U14" s="101">
        <v>0.42499999999999993</v>
      </c>
      <c r="V14" s="101">
        <v>0.4277777777777777</v>
      </c>
      <c r="W14" s="99">
        <v>0.0</v>
      </c>
      <c r="X14" s="101">
        <v>0.4277777777777777</v>
      </c>
      <c r="Y14" s="101">
        <v>0.4368055555555555</v>
      </c>
      <c r="Z14" s="99">
        <v>3.0</v>
      </c>
      <c r="AA14" s="101">
        <v>0.43888888888888883</v>
      </c>
      <c r="AB14" s="101">
        <v>0.44791666666666663</v>
      </c>
      <c r="AC14" s="99">
        <v>0.0</v>
      </c>
      <c r="AD14" s="101">
        <v>0.44791666666666663</v>
      </c>
      <c r="AE14" s="101">
        <v>0.4555555555555555</v>
      </c>
      <c r="AF14" s="99">
        <v>4.0</v>
      </c>
      <c r="AG14" s="101">
        <v>0.45833333333333326</v>
      </c>
      <c r="AH14" s="103">
        <f t="shared" si="2"/>
        <v>130</v>
      </c>
      <c r="AI14" s="103">
        <v>20.0</v>
      </c>
      <c r="AJ14" s="104">
        <v>0.18181818181818177</v>
      </c>
      <c r="AK14" s="142">
        <v>35.000000000000036</v>
      </c>
      <c r="AL14" s="142">
        <v>35.000000000000036</v>
      </c>
    </row>
    <row r="15" ht="13.5" customHeight="1">
      <c r="A15" s="127"/>
      <c r="B15" s="141" t="s">
        <v>77</v>
      </c>
      <c r="C15" s="101">
        <v>0.38888888888888884</v>
      </c>
      <c r="D15" s="101">
        <v>0.39791666666666664</v>
      </c>
      <c r="E15" s="99">
        <v>0.0</v>
      </c>
      <c r="F15" s="101">
        <v>0.39791666666666664</v>
      </c>
      <c r="G15" s="101">
        <v>0.40694444444444444</v>
      </c>
      <c r="H15" s="99">
        <v>3.0</v>
      </c>
      <c r="I15" s="101">
        <v>0.40902777777777777</v>
      </c>
      <c r="J15" s="101">
        <v>0.4173611111111111</v>
      </c>
      <c r="K15" s="99">
        <v>0.0</v>
      </c>
      <c r="L15" s="101">
        <v>0.4173611111111111</v>
      </c>
      <c r="M15" s="101">
        <v>0.42083333333333334</v>
      </c>
      <c r="N15" s="99">
        <v>3.0</v>
      </c>
      <c r="O15" s="101">
        <v>0.42291666666666666</v>
      </c>
      <c r="P15" s="101">
        <v>0.4305555555555555</v>
      </c>
      <c r="Q15" s="99">
        <v>2.0</v>
      </c>
      <c r="R15" s="101">
        <v>0.4319444444444444</v>
      </c>
      <c r="S15" s="101">
        <v>0.4423611111111111</v>
      </c>
      <c r="T15" s="99">
        <v>5.0</v>
      </c>
      <c r="U15" s="101">
        <v>0.4458333333333333</v>
      </c>
      <c r="V15" s="101">
        <v>0.44861111111111107</v>
      </c>
      <c r="W15" s="99">
        <v>0.0</v>
      </c>
      <c r="X15" s="101">
        <v>0.44861111111111107</v>
      </c>
      <c r="Y15" s="101">
        <v>0.4576388888888889</v>
      </c>
      <c r="Z15" s="99">
        <v>3.0</v>
      </c>
      <c r="AA15" s="101">
        <v>0.4597222222222222</v>
      </c>
      <c r="AB15" s="101">
        <v>0.46875</v>
      </c>
      <c r="AC15" s="99">
        <v>0.0</v>
      </c>
      <c r="AD15" s="101">
        <v>0.46875</v>
      </c>
      <c r="AE15" s="101">
        <v>0.47638888888888886</v>
      </c>
      <c r="AF15" s="99">
        <v>4.0</v>
      </c>
      <c r="AG15" s="101">
        <v>0.47916666666666663</v>
      </c>
      <c r="AH15" s="103">
        <f t="shared" si="2"/>
        <v>130</v>
      </c>
      <c r="AI15" s="103">
        <v>20.0</v>
      </c>
      <c r="AJ15" s="104">
        <v>0.18181818181818177</v>
      </c>
      <c r="AK15" s="142">
        <v>30.000000000000053</v>
      </c>
      <c r="AL15" s="142">
        <v>30.000000000000053</v>
      </c>
    </row>
    <row r="16" ht="13.5" customHeight="1">
      <c r="A16" s="127"/>
      <c r="B16" s="141" t="s">
        <v>77</v>
      </c>
      <c r="C16" s="101">
        <v>0.40972222222222215</v>
      </c>
      <c r="D16" s="101">
        <v>0.41874999999999996</v>
      </c>
      <c r="E16" s="99">
        <v>0.0</v>
      </c>
      <c r="F16" s="101">
        <v>0.41874999999999996</v>
      </c>
      <c r="G16" s="101">
        <v>0.42777777777777776</v>
      </c>
      <c r="H16" s="99">
        <v>3.0</v>
      </c>
      <c r="I16" s="101">
        <v>0.4298611111111111</v>
      </c>
      <c r="J16" s="101">
        <v>0.43819444444444444</v>
      </c>
      <c r="K16" s="99">
        <v>0.0</v>
      </c>
      <c r="L16" s="101">
        <v>0.43819444444444444</v>
      </c>
      <c r="M16" s="101">
        <v>0.44166666666666665</v>
      </c>
      <c r="N16" s="99">
        <v>3.0</v>
      </c>
      <c r="O16" s="101">
        <v>0.44375</v>
      </c>
      <c r="P16" s="101">
        <v>0.45138888888888884</v>
      </c>
      <c r="Q16" s="99">
        <v>2.0</v>
      </c>
      <c r="R16" s="101">
        <v>0.4527777777777777</v>
      </c>
      <c r="S16" s="101">
        <v>0.4631944444444444</v>
      </c>
      <c r="T16" s="99">
        <v>5.0</v>
      </c>
      <c r="U16" s="101">
        <v>0.4666666666666666</v>
      </c>
      <c r="V16" s="101">
        <v>0.4694444444444444</v>
      </c>
      <c r="W16" s="99">
        <v>0.0</v>
      </c>
      <c r="X16" s="101">
        <v>0.4694444444444444</v>
      </c>
      <c r="Y16" s="101">
        <v>0.4784722222222222</v>
      </c>
      <c r="Z16" s="99">
        <v>3.0</v>
      </c>
      <c r="AA16" s="101">
        <v>0.4805555555555555</v>
      </c>
      <c r="AB16" s="101">
        <v>0.4895833333333333</v>
      </c>
      <c r="AC16" s="99">
        <v>0.0</v>
      </c>
      <c r="AD16" s="101">
        <v>0.4895833333333333</v>
      </c>
      <c r="AE16" s="101">
        <v>0.4972222222222222</v>
      </c>
      <c r="AF16" s="99">
        <v>4.0</v>
      </c>
      <c r="AG16" s="101">
        <v>0.49999999999999994</v>
      </c>
      <c r="AH16" s="103">
        <f t="shared" si="2"/>
        <v>130</v>
      </c>
      <c r="AI16" s="103">
        <v>20.0</v>
      </c>
      <c r="AJ16" s="104">
        <v>0.18181818181818177</v>
      </c>
      <c r="AK16" s="142">
        <v>29.99999999999997</v>
      </c>
      <c r="AL16" s="142">
        <v>29.99999999999997</v>
      </c>
    </row>
    <row r="17" ht="13.5" customHeight="1">
      <c r="A17" s="127"/>
      <c r="B17" s="141" t="s">
        <v>77</v>
      </c>
      <c r="C17" s="101">
        <v>0.4340277777777777</v>
      </c>
      <c r="D17" s="101">
        <v>0.4430555555555555</v>
      </c>
      <c r="E17" s="99">
        <v>0.0</v>
      </c>
      <c r="F17" s="101">
        <v>0.4430555555555555</v>
      </c>
      <c r="G17" s="101">
        <v>0.4520833333333333</v>
      </c>
      <c r="H17" s="99">
        <v>3.0</v>
      </c>
      <c r="I17" s="101">
        <v>0.4541666666666666</v>
      </c>
      <c r="J17" s="101">
        <v>0.46249999999999997</v>
      </c>
      <c r="K17" s="99">
        <v>0.0</v>
      </c>
      <c r="L17" s="101">
        <v>0.46249999999999997</v>
      </c>
      <c r="M17" s="101">
        <v>0.4659722222222222</v>
      </c>
      <c r="N17" s="99">
        <v>3.0</v>
      </c>
      <c r="O17" s="101">
        <v>0.4680555555555555</v>
      </c>
      <c r="P17" s="101">
        <v>0.47569444444444436</v>
      </c>
      <c r="Q17" s="99">
        <v>2.0</v>
      </c>
      <c r="R17" s="101">
        <v>0.47708333333333325</v>
      </c>
      <c r="S17" s="101">
        <v>0.48749999999999993</v>
      </c>
      <c r="T17" s="99">
        <v>5.0</v>
      </c>
      <c r="U17" s="101">
        <v>0.49097222222222214</v>
      </c>
      <c r="V17" s="101">
        <v>0.4937499999999999</v>
      </c>
      <c r="W17" s="99">
        <v>0.0</v>
      </c>
      <c r="X17" s="101">
        <v>0.4937499999999999</v>
      </c>
      <c r="Y17" s="101">
        <v>0.5027777777777777</v>
      </c>
      <c r="Z17" s="99">
        <v>3.0</v>
      </c>
      <c r="AA17" s="101">
        <v>0.504861111111111</v>
      </c>
      <c r="AB17" s="101">
        <v>0.5138888888888887</v>
      </c>
      <c r="AC17" s="99">
        <v>0.0</v>
      </c>
      <c r="AD17" s="101">
        <v>0.5138888888888887</v>
      </c>
      <c r="AE17" s="101">
        <v>0.5215277777777776</v>
      </c>
      <c r="AF17" s="99">
        <v>4.0</v>
      </c>
      <c r="AG17" s="101">
        <v>0.5243055555555554</v>
      </c>
      <c r="AH17" s="103">
        <f t="shared" si="2"/>
        <v>130</v>
      </c>
      <c r="AI17" s="103">
        <v>20.0</v>
      </c>
      <c r="AJ17" s="104">
        <v>0.18181818181818205</v>
      </c>
      <c r="AK17" s="142">
        <v>34.99999999999996</v>
      </c>
      <c r="AL17" s="142">
        <v>34.99999999999996</v>
      </c>
    </row>
    <row r="18" ht="13.5" customHeight="1">
      <c r="A18" s="127"/>
      <c r="B18" s="310" t="s">
        <v>78</v>
      </c>
      <c r="C18" s="101">
        <v>0.45833333333333326</v>
      </c>
      <c r="D18" s="101">
        <v>0.46736111111111106</v>
      </c>
      <c r="E18" s="99">
        <v>0.0</v>
      </c>
      <c r="F18" s="101">
        <v>0.46736111111111106</v>
      </c>
      <c r="G18" s="101">
        <v>0.4770833333333333</v>
      </c>
      <c r="H18" s="99">
        <v>2.0</v>
      </c>
      <c r="I18" s="101">
        <v>0.4784722222222222</v>
      </c>
      <c r="J18" s="101">
        <v>0.48680555555555555</v>
      </c>
      <c r="K18" s="99">
        <v>0.0</v>
      </c>
      <c r="L18" s="101">
        <v>0.48680555555555555</v>
      </c>
      <c r="M18" s="101">
        <v>0.49027777777777776</v>
      </c>
      <c r="N18" s="99">
        <v>3.0</v>
      </c>
      <c r="O18" s="101">
        <v>0.4923611111111111</v>
      </c>
      <c r="P18" s="101">
        <v>0.49999999999999994</v>
      </c>
      <c r="Q18" s="99">
        <v>2.0</v>
      </c>
      <c r="R18" s="101">
        <v>0.5013888888888889</v>
      </c>
      <c r="S18" s="101">
        <v>0.5125</v>
      </c>
      <c r="T18" s="99">
        <v>3.0</v>
      </c>
      <c r="U18" s="101">
        <v>0.5145833333333333</v>
      </c>
      <c r="V18" s="101">
        <v>0.517361111111111</v>
      </c>
      <c r="W18" s="99">
        <v>0.0</v>
      </c>
      <c r="X18" s="101">
        <v>0.517361111111111</v>
      </c>
      <c r="Y18" s="101">
        <v>0.5263888888888888</v>
      </c>
      <c r="Z18" s="99">
        <v>2.0</v>
      </c>
      <c r="AA18" s="101">
        <v>0.5277777777777777</v>
      </c>
      <c r="AB18" s="101">
        <v>0.5374999999999999</v>
      </c>
      <c r="AC18" s="99">
        <v>0.0</v>
      </c>
      <c r="AD18" s="101">
        <v>0.5374999999999999</v>
      </c>
      <c r="AE18" s="101">
        <v>0.5444444444444443</v>
      </c>
      <c r="AF18" s="99">
        <v>6.0</v>
      </c>
      <c r="AG18" s="101">
        <v>0.5486111111111109</v>
      </c>
      <c r="AH18" s="103">
        <f t="shared" si="2"/>
        <v>130</v>
      </c>
      <c r="AI18" s="103">
        <v>18.0</v>
      </c>
      <c r="AJ18" s="104">
        <v>0.16071428571428592</v>
      </c>
      <c r="AK18" s="142">
        <v>35.000000000000036</v>
      </c>
      <c r="AL18" s="142">
        <v>35.000000000000114</v>
      </c>
    </row>
    <row r="19" ht="13.5" customHeight="1">
      <c r="A19" s="127"/>
      <c r="B19" s="310" t="s">
        <v>78</v>
      </c>
      <c r="C19" s="101">
        <v>0.47916666666666663</v>
      </c>
      <c r="D19" s="101">
        <v>0.48819444444444443</v>
      </c>
      <c r="E19" s="99">
        <v>0.0</v>
      </c>
      <c r="F19" s="101">
        <v>0.48819444444444443</v>
      </c>
      <c r="G19" s="101">
        <v>0.4979166666666667</v>
      </c>
      <c r="H19" s="99">
        <v>2.0</v>
      </c>
      <c r="I19" s="101">
        <v>0.49930555555555556</v>
      </c>
      <c r="J19" s="101">
        <v>0.5076388888888889</v>
      </c>
      <c r="K19" s="99">
        <v>0.0</v>
      </c>
      <c r="L19" s="101">
        <v>0.5076388888888889</v>
      </c>
      <c r="M19" s="101">
        <v>0.5111111111111111</v>
      </c>
      <c r="N19" s="99">
        <v>3.0</v>
      </c>
      <c r="O19" s="101">
        <v>0.5131944444444444</v>
      </c>
      <c r="P19" s="101">
        <v>0.5208333333333333</v>
      </c>
      <c r="Q19" s="99">
        <v>2.0</v>
      </c>
      <c r="R19" s="101">
        <v>0.5222222222222221</v>
      </c>
      <c r="S19" s="101">
        <v>0.5333333333333332</v>
      </c>
      <c r="T19" s="99">
        <v>3.0</v>
      </c>
      <c r="U19" s="101">
        <v>0.5354166666666665</v>
      </c>
      <c r="V19" s="101">
        <v>0.5381944444444443</v>
      </c>
      <c r="W19" s="99">
        <v>0.0</v>
      </c>
      <c r="X19" s="101">
        <v>0.5381944444444443</v>
      </c>
      <c r="Y19" s="101">
        <v>0.547222222222222</v>
      </c>
      <c r="Z19" s="99">
        <v>2.0</v>
      </c>
      <c r="AA19" s="101">
        <v>0.5486111111111109</v>
      </c>
      <c r="AB19" s="101">
        <v>0.5583333333333331</v>
      </c>
      <c r="AC19" s="99">
        <v>0.0</v>
      </c>
      <c r="AD19" s="101">
        <v>0.5583333333333331</v>
      </c>
      <c r="AE19" s="101">
        <v>0.5652777777777775</v>
      </c>
      <c r="AF19" s="99">
        <v>6.0</v>
      </c>
      <c r="AG19" s="101">
        <v>0.5694444444444442</v>
      </c>
      <c r="AH19" s="103">
        <f t="shared" si="2"/>
        <v>130</v>
      </c>
      <c r="AI19" s="103">
        <v>18.0</v>
      </c>
      <c r="AJ19" s="104">
        <v>0.16071428571428617</v>
      </c>
      <c r="AK19" s="142">
        <v>30.000000000000053</v>
      </c>
      <c r="AL19" s="142">
        <v>29.999999999999893</v>
      </c>
    </row>
    <row r="20" ht="13.5" customHeight="1">
      <c r="A20" s="127"/>
      <c r="B20" s="310" t="s">
        <v>78</v>
      </c>
      <c r="C20" s="101">
        <v>0.49999999999999994</v>
      </c>
      <c r="D20" s="101">
        <v>0.5090277777777777</v>
      </c>
      <c r="E20" s="99">
        <v>0.0</v>
      </c>
      <c r="F20" s="101">
        <v>0.5090277777777777</v>
      </c>
      <c r="G20" s="101">
        <v>0.5187499999999999</v>
      </c>
      <c r="H20" s="99">
        <v>2.0</v>
      </c>
      <c r="I20" s="101">
        <v>0.5201388888888888</v>
      </c>
      <c r="J20" s="101">
        <v>0.5284722222222221</v>
      </c>
      <c r="K20" s="99">
        <v>0.0</v>
      </c>
      <c r="L20" s="101">
        <v>0.5284722222222221</v>
      </c>
      <c r="M20" s="101">
        <v>0.5319444444444443</v>
      </c>
      <c r="N20" s="99">
        <v>3.0</v>
      </c>
      <c r="O20" s="101">
        <v>0.5340277777777777</v>
      </c>
      <c r="P20" s="101">
        <v>0.5416666666666665</v>
      </c>
      <c r="Q20" s="99">
        <v>2.0</v>
      </c>
      <c r="R20" s="101">
        <v>0.5430555555555554</v>
      </c>
      <c r="S20" s="101">
        <v>0.5541666666666665</v>
      </c>
      <c r="T20" s="99">
        <v>3.0</v>
      </c>
      <c r="U20" s="101">
        <v>0.5562499999999998</v>
      </c>
      <c r="V20" s="101">
        <v>0.5590277777777776</v>
      </c>
      <c r="W20" s="99">
        <v>0.0</v>
      </c>
      <c r="X20" s="101">
        <v>0.5590277777777776</v>
      </c>
      <c r="Y20" s="101">
        <v>0.5680555555555553</v>
      </c>
      <c r="Z20" s="99">
        <v>2.0</v>
      </c>
      <c r="AA20" s="101">
        <v>0.5694444444444442</v>
      </c>
      <c r="AB20" s="101">
        <v>0.5791666666666664</v>
      </c>
      <c r="AC20" s="99">
        <v>0.0</v>
      </c>
      <c r="AD20" s="101">
        <v>0.5791666666666664</v>
      </c>
      <c r="AE20" s="101">
        <v>0.5861111111111108</v>
      </c>
      <c r="AF20" s="99">
        <v>13.0</v>
      </c>
      <c r="AG20" s="101">
        <v>0.5951388888888889</v>
      </c>
      <c r="AH20" s="103">
        <f t="shared" si="2"/>
        <v>137</v>
      </c>
      <c r="AI20" s="103">
        <v>23.0</v>
      </c>
      <c r="AJ20" s="104">
        <v>0.2053571428571436</v>
      </c>
      <c r="AK20" s="142">
        <v>29.99999999999997</v>
      </c>
      <c r="AL20" s="142">
        <v>29.999999999999893</v>
      </c>
    </row>
    <row r="21" ht="13.5" customHeight="1">
      <c r="A21" s="127"/>
      <c r="B21" s="310" t="s">
        <v>78</v>
      </c>
      <c r="C21" s="101">
        <v>0.5243055555555554</v>
      </c>
      <c r="D21" s="101">
        <v>0.5333333333333331</v>
      </c>
      <c r="E21" s="99">
        <v>0.0</v>
      </c>
      <c r="F21" s="101">
        <v>0.5333333333333331</v>
      </c>
      <c r="G21" s="101">
        <v>0.5430555555555553</v>
      </c>
      <c r="H21" s="99">
        <v>2.0</v>
      </c>
      <c r="I21" s="101">
        <v>0.5444444444444442</v>
      </c>
      <c r="J21" s="101">
        <v>0.5527777777777775</v>
      </c>
      <c r="K21" s="99">
        <v>0.0</v>
      </c>
      <c r="L21" s="101">
        <v>0.5527777777777775</v>
      </c>
      <c r="M21" s="101">
        <v>0.5562499999999997</v>
      </c>
      <c r="N21" s="99">
        <v>3.0</v>
      </c>
      <c r="O21" s="101">
        <v>0.558333333333333</v>
      </c>
      <c r="P21" s="101">
        <v>0.5659722222222219</v>
      </c>
      <c r="Q21" s="99">
        <v>2.0</v>
      </c>
      <c r="R21" s="101">
        <v>0.5673611111111108</v>
      </c>
      <c r="S21" s="101">
        <v>0.5784722222222218</v>
      </c>
      <c r="T21" s="99">
        <v>3.0</v>
      </c>
      <c r="U21" s="101">
        <v>0.5805555555555552</v>
      </c>
      <c r="V21" s="101">
        <v>0.5833333333333329</v>
      </c>
      <c r="W21" s="99">
        <v>0.0</v>
      </c>
      <c r="X21" s="101">
        <v>0.5833333333333329</v>
      </c>
      <c r="Y21" s="101">
        <v>0.5923611111111107</v>
      </c>
      <c r="Z21" s="99">
        <v>3.0</v>
      </c>
      <c r="AA21" s="101">
        <v>0.594444444444444</v>
      </c>
      <c r="AB21" s="101">
        <v>0.6041666666666662</v>
      </c>
      <c r="AC21" s="99">
        <v>0.0</v>
      </c>
      <c r="AD21" s="101">
        <v>0.6041666666666662</v>
      </c>
      <c r="AE21" s="101">
        <v>0.6111111111111106</v>
      </c>
      <c r="AF21" s="99">
        <v>10.0</v>
      </c>
      <c r="AG21" s="101">
        <v>0.618055555555555</v>
      </c>
      <c r="AH21" s="103">
        <f t="shared" si="2"/>
        <v>135</v>
      </c>
      <c r="AI21" s="103">
        <v>23.0</v>
      </c>
      <c r="AJ21" s="104">
        <v>0.20535714285714374</v>
      </c>
      <c r="AK21" s="142">
        <v>34.999999999999794</v>
      </c>
      <c r="AL21" s="142">
        <v>34.999999999999716</v>
      </c>
    </row>
    <row r="22" ht="13.5" customHeight="1">
      <c r="A22" s="127"/>
      <c r="B22" s="310" t="s">
        <v>78</v>
      </c>
      <c r="C22" s="101">
        <v>0.5486111111111109</v>
      </c>
      <c r="D22" s="101">
        <v>0.5576388888888887</v>
      </c>
      <c r="E22" s="99">
        <v>0.0</v>
      </c>
      <c r="F22" s="101">
        <v>0.5576388888888887</v>
      </c>
      <c r="G22" s="101">
        <v>0.5673611111111109</v>
      </c>
      <c r="H22" s="99">
        <v>2.0</v>
      </c>
      <c r="I22" s="101">
        <v>0.5687499999999998</v>
      </c>
      <c r="J22" s="101">
        <v>0.5770833333333331</v>
      </c>
      <c r="K22" s="99">
        <v>0.0</v>
      </c>
      <c r="L22" s="101">
        <v>0.5770833333333331</v>
      </c>
      <c r="M22" s="101">
        <v>0.5805555555555553</v>
      </c>
      <c r="N22" s="99">
        <v>3.0</v>
      </c>
      <c r="O22" s="101">
        <v>0.5826388888888886</v>
      </c>
      <c r="P22" s="101">
        <v>0.5902777777777775</v>
      </c>
      <c r="Q22" s="99">
        <v>2.0</v>
      </c>
      <c r="R22" s="101">
        <v>0.5916666666666663</v>
      </c>
      <c r="S22" s="101">
        <v>0.6027777777777774</v>
      </c>
      <c r="T22" s="99">
        <v>3.0</v>
      </c>
      <c r="U22" s="101">
        <v>0.6048611111111107</v>
      </c>
      <c r="V22" s="101">
        <v>0.6076388888888885</v>
      </c>
      <c r="W22" s="99">
        <v>0.0</v>
      </c>
      <c r="X22" s="101">
        <v>0.6076388888888885</v>
      </c>
      <c r="Y22" s="101">
        <v>0.6166666666666663</v>
      </c>
      <c r="Z22" s="99">
        <v>3.0</v>
      </c>
      <c r="AA22" s="101">
        <v>0.6187499999999996</v>
      </c>
      <c r="AB22" s="101">
        <v>0.6284722222222218</v>
      </c>
      <c r="AC22" s="99">
        <v>0.0</v>
      </c>
      <c r="AD22" s="101">
        <v>0.6284722222222218</v>
      </c>
      <c r="AE22" s="101">
        <v>0.6354166666666662</v>
      </c>
      <c r="AF22" s="99">
        <v>10.0</v>
      </c>
      <c r="AG22" s="101">
        <v>0.6423611111111106</v>
      </c>
      <c r="AH22" s="103">
        <f t="shared" si="2"/>
        <v>135</v>
      </c>
      <c r="AI22" s="103">
        <v>23.0</v>
      </c>
      <c r="AJ22" s="104">
        <v>0.20535714285714374</v>
      </c>
      <c r="AK22" s="142">
        <v>35.000000000000036</v>
      </c>
      <c r="AL22" s="142">
        <v>35.000000000000036</v>
      </c>
    </row>
    <row r="23" ht="13.5" customHeight="1">
      <c r="A23" s="127"/>
      <c r="B23" s="141" t="s">
        <v>180</v>
      </c>
      <c r="C23" s="101">
        <v>0.5694444444444442</v>
      </c>
      <c r="D23" s="101">
        <v>0.5784722222222219</v>
      </c>
      <c r="E23" s="99">
        <v>0.0</v>
      </c>
      <c r="F23" s="101">
        <v>0.5784722222222219</v>
      </c>
      <c r="G23" s="101">
        <v>0.5888888888888886</v>
      </c>
      <c r="H23" s="99">
        <v>2.0</v>
      </c>
      <c r="I23" s="101">
        <v>0.5902777777777775</v>
      </c>
      <c r="J23" s="101">
        <v>0.5993055555555552</v>
      </c>
      <c r="K23" s="99">
        <v>0.0</v>
      </c>
      <c r="L23" s="101">
        <v>0.5993055555555552</v>
      </c>
      <c r="M23" s="101">
        <v>0.6027777777777774</v>
      </c>
      <c r="N23" s="99">
        <v>5.0</v>
      </c>
      <c r="O23" s="101">
        <v>0.6062499999999996</v>
      </c>
      <c r="P23" s="101">
        <v>0.6152777777777774</v>
      </c>
      <c r="Q23" s="99">
        <v>1.0</v>
      </c>
      <c r="R23" s="101">
        <v>0.6159722222222218</v>
      </c>
      <c r="S23" s="101">
        <v>0.6277777777777773</v>
      </c>
      <c r="T23" s="99">
        <v>5.0</v>
      </c>
      <c r="U23" s="101">
        <v>0.6312499999999995</v>
      </c>
      <c r="V23" s="101">
        <v>0.6347222222222217</v>
      </c>
      <c r="W23" s="99">
        <v>0.0</v>
      </c>
      <c r="X23" s="101">
        <v>0.6347222222222217</v>
      </c>
      <c r="Y23" s="101">
        <v>0.6444444444444439</v>
      </c>
      <c r="Z23" s="99">
        <v>2.0</v>
      </c>
      <c r="AA23" s="101">
        <v>0.6458333333333328</v>
      </c>
      <c r="AB23" s="101">
        <v>0.655555555555555</v>
      </c>
      <c r="AC23" s="99">
        <v>0.0</v>
      </c>
      <c r="AD23" s="101">
        <v>0.655555555555555</v>
      </c>
      <c r="AE23" s="101">
        <v>0.6638888888888883</v>
      </c>
      <c r="AF23" s="99">
        <v>4.0</v>
      </c>
      <c r="AG23" s="101">
        <v>0.6666666666666661</v>
      </c>
      <c r="AH23" s="103">
        <f t="shared" si="2"/>
        <v>140</v>
      </c>
      <c r="AI23" s="103">
        <v>19.0</v>
      </c>
      <c r="AJ23" s="104">
        <v>0.15702479338843042</v>
      </c>
      <c r="AK23" s="142">
        <v>29.999999999999893</v>
      </c>
      <c r="AL23" s="142">
        <v>34.99999999999987</v>
      </c>
    </row>
    <row r="24" ht="13.5" customHeight="1">
      <c r="A24" s="127"/>
      <c r="B24" s="141" t="s">
        <v>180</v>
      </c>
      <c r="C24" s="101">
        <v>0.5951388888888889</v>
      </c>
      <c r="D24" s="101">
        <v>0.6041666666666666</v>
      </c>
      <c r="E24" s="99">
        <v>0.0</v>
      </c>
      <c r="F24" s="101">
        <v>0.6041666666666666</v>
      </c>
      <c r="G24" s="101">
        <v>0.6145833333333334</v>
      </c>
      <c r="H24" s="99">
        <v>0.0</v>
      </c>
      <c r="I24" s="101">
        <v>0.6145833333333329</v>
      </c>
      <c r="J24" s="101">
        <v>0.6236111111111107</v>
      </c>
      <c r="K24" s="99">
        <v>0.0</v>
      </c>
      <c r="L24" s="101">
        <v>0.6236111111111107</v>
      </c>
      <c r="M24" s="101">
        <v>0.6270833333333329</v>
      </c>
      <c r="N24" s="99">
        <v>5.0</v>
      </c>
      <c r="O24" s="101">
        <v>0.6305555555555551</v>
      </c>
      <c r="P24" s="101">
        <v>0.6395833333333328</v>
      </c>
      <c r="Q24" s="99">
        <v>1.0</v>
      </c>
      <c r="R24" s="101">
        <v>0.6402777777777773</v>
      </c>
      <c r="S24" s="101">
        <v>0.6520833333333328</v>
      </c>
      <c r="T24" s="99">
        <v>5.0</v>
      </c>
      <c r="U24" s="101">
        <v>0.655555555555555</v>
      </c>
      <c r="V24" s="101">
        <v>0.6590277777777772</v>
      </c>
      <c r="W24" s="99">
        <v>0.0</v>
      </c>
      <c r="X24" s="101">
        <v>0.6590277777777772</v>
      </c>
      <c r="Y24" s="101">
        <v>0.6687499999999994</v>
      </c>
      <c r="Z24" s="99">
        <v>2.0</v>
      </c>
      <c r="AA24" s="101">
        <v>0.6701388888888883</v>
      </c>
      <c r="AB24" s="101">
        <v>0.6798611111111105</v>
      </c>
      <c r="AC24" s="99">
        <v>0.0</v>
      </c>
      <c r="AD24" s="101">
        <v>0.6798611111111105</v>
      </c>
      <c r="AE24" s="101">
        <v>0.6881944444444438</v>
      </c>
      <c r="AF24" s="99">
        <v>4.0</v>
      </c>
      <c r="AG24" s="101">
        <v>0.6909722222222215</v>
      </c>
      <c r="AH24" s="103">
        <f t="shared" si="2"/>
        <v>138</v>
      </c>
      <c r="AI24" s="103">
        <v>19.0</v>
      </c>
      <c r="AJ24" s="104">
        <v>0.15702479338843042</v>
      </c>
      <c r="AK24" s="142">
        <v>34.99999999999987</v>
      </c>
      <c r="AL24" s="142">
        <v>34.99999999999987</v>
      </c>
    </row>
    <row r="25" ht="13.5" customHeight="1">
      <c r="A25" s="127"/>
      <c r="B25" s="141" t="s">
        <v>180</v>
      </c>
      <c r="C25" s="101">
        <v>0.618055555555555</v>
      </c>
      <c r="D25" s="101">
        <v>0.6270833333333328</v>
      </c>
      <c r="E25" s="99">
        <v>0.0</v>
      </c>
      <c r="F25" s="101">
        <v>0.6270833333333328</v>
      </c>
      <c r="G25" s="101">
        <v>0.6374999999999994</v>
      </c>
      <c r="H25" s="99">
        <v>2.0</v>
      </c>
      <c r="I25" s="101">
        <v>0.6388888888888883</v>
      </c>
      <c r="J25" s="101">
        <v>0.647916666666666</v>
      </c>
      <c r="K25" s="99">
        <v>0.0</v>
      </c>
      <c r="L25" s="101">
        <v>0.647916666666666</v>
      </c>
      <c r="M25" s="101">
        <v>0.6513888888888882</v>
      </c>
      <c r="N25" s="99">
        <v>5.0</v>
      </c>
      <c r="O25" s="101">
        <v>0.6548611111111104</v>
      </c>
      <c r="P25" s="101">
        <v>0.6638888888888882</v>
      </c>
      <c r="Q25" s="99">
        <v>1.0</v>
      </c>
      <c r="R25" s="101">
        <v>0.6645833333333326</v>
      </c>
      <c r="S25" s="101">
        <v>0.6763888888888882</v>
      </c>
      <c r="T25" s="99">
        <v>5.0</v>
      </c>
      <c r="U25" s="101">
        <v>0.6798611111111104</v>
      </c>
      <c r="V25" s="101">
        <v>0.6833333333333326</v>
      </c>
      <c r="W25" s="99">
        <v>0.0</v>
      </c>
      <c r="X25" s="101">
        <v>0.6833333333333326</v>
      </c>
      <c r="Y25" s="101">
        <v>0.6930555555555548</v>
      </c>
      <c r="Z25" s="99">
        <v>2.0</v>
      </c>
      <c r="AA25" s="101">
        <v>0.6944444444444436</v>
      </c>
      <c r="AB25" s="101">
        <v>0.7041666666666658</v>
      </c>
      <c r="AC25" s="99">
        <v>0.0</v>
      </c>
      <c r="AD25" s="101">
        <v>0.7041666666666658</v>
      </c>
      <c r="AE25" s="101">
        <v>0.7124999999999991</v>
      </c>
      <c r="AF25" s="99">
        <v>4.0</v>
      </c>
      <c r="AG25" s="101">
        <v>0.7152777777777769</v>
      </c>
      <c r="AH25" s="103">
        <f t="shared" si="2"/>
        <v>140</v>
      </c>
      <c r="AI25" s="103">
        <v>19.0</v>
      </c>
      <c r="AJ25" s="104">
        <v>0.15702479338843042</v>
      </c>
      <c r="AK25" s="142">
        <v>34.999999999999716</v>
      </c>
      <c r="AL25" s="142">
        <v>34.999999999999716</v>
      </c>
    </row>
    <row r="26" ht="13.5" customHeight="1">
      <c r="A26" s="127"/>
      <c r="B26" s="141" t="s">
        <v>180</v>
      </c>
      <c r="C26" s="101">
        <v>0.6423611111111106</v>
      </c>
      <c r="D26" s="101">
        <v>0.6513888888888884</v>
      </c>
      <c r="E26" s="99">
        <v>0.0</v>
      </c>
      <c r="F26" s="101">
        <v>0.6513888888888884</v>
      </c>
      <c r="G26" s="101">
        <v>0.661805555555555</v>
      </c>
      <c r="H26" s="99">
        <v>2.0</v>
      </c>
      <c r="I26" s="101">
        <v>0.6631944444444439</v>
      </c>
      <c r="J26" s="101">
        <v>0.6722222222222216</v>
      </c>
      <c r="K26" s="99">
        <v>0.0</v>
      </c>
      <c r="L26" s="101">
        <v>0.6722222222222216</v>
      </c>
      <c r="M26" s="101">
        <v>0.6756944444444438</v>
      </c>
      <c r="N26" s="99">
        <v>5.0</v>
      </c>
      <c r="O26" s="101">
        <v>0.679166666666666</v>
      </c>
      <c r="P26" s="101">
        <v>0.6881944444444438</v>
      </c>
      <c r="Q26" s="99">
        <v>1.0</v>
      </c>
      <c r="R26" s="101">
        <v>0.6888888888888882</v>
      </c>
      <c r="S26" s="101">
        <v>0.7006944444444437</v>
      </c>
      <c r="T26" s="99">
        <v>5.0</v>
      </c>
      <c r="U26" s="101">
        <v>0.7041666666666659</v>
      </c>
      <c r="V26" s="101">
        <v>0.7076388888888882</v>
      </c>
      <c r="W26" s="99">
        <v>0.0</v>
      </c>
      <c r="X26" s="101">
        <v>0.7076388888888882</v>
      </c>
      <c r="Y26" s="101">
        <v>0.7173611111111103</v>
      </c>
      <c r="Z26" s="99">
        <v>2.0</v>
      </c>
      <c r="AA26" s="101">
        <v>0.7187499999999992</v>
      </c>
      <c r="AB26" s="101">
        <v>0.7284722222222214</v>
      </c>
      <c r="AC26" s="99">
        <v>0.0</v>
      </c>
      <c r="AD26" s="101">
        <v>0.7284722222222214</v>
      </c>
      <c r="AE26" s="101">
        <v>0.7368055555555547</v>
      </c>
      <c r="AF26" s="99">
        <v>4.0</v>
      </c>
      <c r="AG26" s="101">
        <v>0.7395833333333325</v>
      </c>
      <c r="AH26" s="103">
        <f t="shared" si="2"/>
        <v>140</v>
      </c>
      <c r="AI26" s="103">
        <v>19.0</v>
      </c>
      <c r="AJ26" s="104">
        <v>0.15702479338843042</v>
      </c>
      <c r="AK26" s="142">
        <v>35.000000000000036</v>
      </c>
      <c r="AL26" s="142">
        <v>35.000000000000036</v>
      </c>
    </row>
    <row r="27" ht="13.5" customHeight="1">
      <c r="A27" s="127"/>
      <c r="B27" s="141" t="s">
        <v>180</v>
      </c>
      <c r="C27" s="101">
        <v>0.6666666666666661</v>
      </c>
      <c r="D27" s="101">
        <v>0.6756944444444438</v>
      </c>
      <c r="E27" s="99">
        <v>0.0</v>
      </c>
      <c r="F27" s="101">
        <v>0.6756944444444438</v>
      </c>
      <c r="G27" s="101">
        <v>0.6861111111111104</v>
      </c>
      <c r="H27" s="99">
        <v>2.0</v>
      </c>
      <c r="I27" s="101">
        <v>0.6874999999999993</v>
      </c>
      <c r="J27" s="101">
        <v>0.6965277777777771</v>
      </c>
      <c r="K27" s="99">
        <v>0.0</v>
      </c>
      <c r="L27" s="101">
        <v>0.6965277777777771</v>
      </c>
      <c r="M27" s="101">
        <v>0.6999999999999993</v>
      </c>
      <c r="N27" s="99">
        <v>5.0</v>
      </c>
      <c r="O27" s="101">
        <v>0.7034722222222215</v>
      </c>
      <c r="P27" s="101">
        <v>0.7124999999999992</v>
      </c>
      <c r="Q27" s="99">
        <v>1.0</v>
      </c>
      <c r="R27" s="101">
        <v>0.7131944444444437</v>
      </c>
      <c r="S27" s="101">
        <v>0.7249999999999992</v>
      </c>
      <c r="T27" s="99">
        <v>5.0</v>
      </c>
      <c r="U27" s="101">
        <v>0.7284722222222214</v>
      </c>
      <c r="V27" s="101">
        <v>0.7319444444444436</v>
      </c>
      <c r="W27" s="99">
        <v>0.0</v>
      </c>
      <c r="X27" s="101">
        <v>0.7319444444444436</v>
      </c>
      <c r="Y27" s="101">
        <v>0.7416666666666658</v>
      </c>
      <c r="Z27" s="99">
        <v>2.0</v>
      </c>
      <c r="AA27" s="101">
        <v>0.7430555555555547</v>
      </c>
      <c r="AB27" s="101">
        <v>0.7527777777777769</v>
      </c>
      <c r="AC27" s="99">
        <v>0.0</v>
      </c>
      <c r="AD27" s="101">
        <v>0.7527777777777769</v>
      </c>
      <c r="AE27" s="101">
        <v>0.7611111111111102</v>
      </c>
      <c r="AF27" s="99">
        <v>4.0</v>
      </c>
      <c r="AG27" s="101">
        <v>0.763888888888888</v>
      </c>
      <c r="AH27" s="103">
        <f t="shared" si="2"/>
        <v>140</v>
      </c>
      <c r="AI27" s="103">
        <v>19.0</v>
      </c>
      <c r="AJ27" s="104">
        <v>0.15702479338843042</v>
      </c>
      <c r="AK27" s="142">
        <v>34.99999999999987</v>
      </c>
      <c r="AL27" s="142">
        <v>34.99999999999987</v>
      </c>
    </row>
    <row r="28" ht="13.5" customHeight="1">
      <c r="A28" s="127"/>
      <c r="B28" s="141" t="s">
        <v>180</v>
      </c>
      <c r="C28" s="101">
        <v>0.6909722222222215</v>
      </c>
      <c r="D28" s="101">
        <v>0.6999999999999993</v>
      </c>
      <c r="E28" s="99">
        <v>0.0</v>
      </c>
      <c r="F28" s="101">
        <v>0.6999999999999993</v>
      </c>
      <c r="G28" s="101">
        <v>0.7104166666666659</v>
      </c>
      <c r="H28" s="99">
        <v>2.0</v>
      </c>
      <c r="I28" s="101">
        <v>0.7118055555555548</v>
      </c>
      <c r="J28" s="101">
        <v>0.7208333333333325</v>
      </c>
      <c r="K28" s="99">
        <v>0.0</v>
      </c>
      <c r="L28" s="101">
        <v>0.7208333333333325</v>
      </c>
      <c r="M28" s="101">
        <v>0.7243055555555548</v>
      </c>
      <c r="N28" s="99">
        <v>5.0</v>
      </c>
      <c r="O28" s="101">
        <v>0.727777777777777</v>
      </c>
      <c r="P28" s="101">
        <v>0.7368055555555547</v>
      </c>
      <c r="Q28" s="99">
        <v>1.0</v>
      </c>
      <c r="R28" s="101">
        <v>0.7374999999999992</v>
      </c>
      <c r="S28" s="101">
        <v>0.7493055555555547</v>
      </c>
      <c r="T28" s="99">
        <v>5.0</v>
      </c>
      <c r="U28" s="101">
        <v>0.7527777777777769</v>
      </c>
      <c r="V28" s="101">
        <v>0.7562499999999991</v>
      </c>
      <c r="W28" s="99">
        <v>0.0</v>
      </c>
      <c r="X28" s="101">
        <v>0.7562499999999991</v>
      </c>
      <c r="Y28" s="101">
        <v>0.7659722222222213</v>
      </c>
      <c r="Z28" s="99">
        <v>2.0</v>
      </c>
      <c r="AA28" s="101">
        <v>0.7673611111111102</v>
      </c>
      <c r="AB28" s="101">
        <v>0.7770833333333323</v>
      </c>
      <c r="AC28" s="99">
        <v>0.0</v>
      </c>
      <c r="AD28" s="101">
        <v>0.7770833333333323</v>
      </c>
      <c r="AE28" s="101">
        <v>0.7854166666666657</v>
      </c>
      <c r="AF28" s="99">
        <v>4.0</v>
      </c>
      <c r="AG28" s="101">
        <v>0.7881944444444434</v>
      </c>
      <c r="AH28" s="103">
        <f t="shared" si="2"/>
        <v>140</v>
      </c>
      <c r="AI28" s="103">
        <v>19.0</v>
      </c>
      <c r="AJ28" s="104">
        <v>0.15702479338843042</v>
      </c>
      <c r="AK28" s="142">
        <v>34.99999999999987</v>
      </c>
      <c r="AL28" s="142">
        <v>34.99999999999987</v>
      </c>
    </row>
    <row r="29" ht="13.5" customHeight="1">
      <c r="A29" s="127"/>
      <c r="B29" s="141" t="s">
        <v>180</v>
      </c>
      <c r="C29" s="101">
        <v>0.7152777777777769</v>
      </c>
      <c r="D29" s="101">
        <v>0.7243055555555546</v>
      </c>
      <c r="E29" s="99">
        <v>0.0</v>
      </c>
      <c r="F29" s="101">
        <v>0.7243055555555546</v>
      </c>
      <c r="G29" s="101">
        <v>0.7347222222222213</v>
      </c>
      <c r="H29" s="99">
        <v>2.0</v>
      </c>
      <c r="I29" s="101">
        <v>0.7361111111111102</v>
      </c>
      <c r="J29" s="101">
        <v>0.7451388888888879</v>
      </c>
      <c r="K29" s="99">
        <v>0.0</v>
      </c>
      <c r="L29" s="101">
        <v>0.7451388888888879</v>
      </c>
      <c r="M29" s="101">
        <v>0.7486111111111101</v>
      </c>
      <c r="N29" s="99">
        <v>5.0</v>
      </c>
      <c r="O29" s="101">
        <v>0.7520833333333323</v>
      </c>
      <c r="P29" s="101">
        <v>0.7611111111111101</v>
      </c>
      <c r="Q29" s="99">
        <v>1.0</v>
      </c>
      <c r="R29" s="101">
        <v>0.7618055555555545</v>
      </c>
      <c r="S29" s="101">
        <v>0.77361111111111</v>
      </c>
      <c r="T29" s="99">
        <v>5.0</v>
      </c>
      <c r="U29" s="101">
        <v>0.7770833333333322</v>
      </c>
      <c r="V29" s="101">
        <v>0.7805555555555544</v>
      </c>
      <c r="W29" s="99">
        <v>0.0</v>
      </c>
      <c r="X29" s="101">
        <v>0.7805555555555544</v>
      </c>
      <c r="Y29" s="101">
        <v>0.7902777777777766</v>
      </c>
      <c r="Z29" s="99">
        <v>2.0</v>
      </c>
      <c r="AA29" s="101">
        <v>0.7916666666666655</v>
      </c>
      <c r="AB29" s="101">
        <v>0.8013888888888877</v>
      </c>
      <c r="AC29" s="99">
        <v>0.0</v>
      </c>
      <c r="AD29" s="101">
        <v>0.8013888888888877</v>
      </c>
      <c r="AE29" s="101">
        <v>0.809722222222221</v>
      </c>
      <c r="AF29" s="99">
        <v>4.0</v>
      </c>
      <c r="AG29" s="101">
        <v>0.8124999999999988</v>
      </c>
      <c r="AH29" s="103">
        <f t="shared" si="2"/>
        <v>140</v>
      </c>
      <c r="AI29" s="103">
        <v>19.0</v>
      </c>
      <c r="AJ29" s="104">
        <v>0.15702479338843042</v>
      </c>
      <c r="AK29" s="142">
        <v>34.999999999999716</v>
      </c>
      <c r="AL29" s="142">
        <v>34.999999999999716</v>
      </c>
    </row>
    <row r="30" ht="13.5" customHeight="1">
      <c r="A30" s="127"/>
      <c r="B30" s="141" t="s">
        <v>79</v>
      </c>
      <c r="C30" s="101">
        <v>0.7395833333333325</v>
      </c>
      <c r="D30" s="101">
        <v>0.7479166666666658</v>
      </c>
      <c r="E30" s="99">
        <v>0.0</v>
      </c>
      <c r="F30" s="101">
        <v>0.7479166666666658</v>
      </c>
      <c r="G30" s="101">
        <v>0.7569444444444435</v>
      </c>
      <c r="H30" s="99">
        <v>2.0</v>
      </c>
      <c r="I30" s="101">
        <v>0.7583333333333324</v>
      </c>
      <c r="J30" s="101">
        <v>0.7659722222222213</v>
      </c>
      <c r="K30" s="99">
        <v>0.0</v>
      </c>
      <c r="L30" s="101">
        <v>0.7659722222222213</v>
      </c>
      <c r="M30" s="101">
        <v>0.768749999999999</v>
      </c>
      <c r="N30" s="99">
        <v>5.0</v>
      </c>
      <c r="O30" s="101">
        <v>0.7722222222222213</v>
      </c>
      <c r="P30" s="101">
        <v>0.7798611111111101</v>
      </c>
      <c r="Q30" s="99">
        <v>1.0</v>
      </c>
      <c r="R30" s="101">
        <v>0.7805555555555546</v>
      </c>
      <c r="S30" s="101">
        <v>0.7902777777777767</v>
      </c>
      <c r="T30" s="99">
        <v>5.0</v>
      </c>
      <c r="U30" s="101">
        <v>0.793749999999999</v>
      </c>
      <c r="V30" s="101">
        <v>0.7965277777777767</v>
      </c>
      <c r="W30" s="99">
        <v>0.0</v>
      </c>
      <c r="X30" s="101">
        <v>0.7965277777777767</v>
      </c>
      <c r="Y30" s="101">
        <v>0.8041666666666656</v>
      </c>
      <c r="Z30" s="99">
        <v>2.0</v>
      </c>
      <c r="AA30" s="101">
        <v>0.8055555555555545</v>
      </c>
      <c r="AB30" s="101">
        <v>0.8138888888888878</v>
      </c>
      <c r="AC30" s="99">
        <v>0.0</v>
      </c>
      <c r="AD30" s="101">
        <v>0.8138888888888878</v>
      </c>
      <c r="AE30" s="101">
        <v>0.8215277777777766</v>
      </c>
      <c r="AF30" s="99">
        <v>17.0</v>
      </c>
      <c r="AG30" s="101">
        <v>0.8333333333333321</v>
      </c>
      <c r="AH30" s="103">
        <f t="shared" si="2"/>
        <v>135</v>
      </c>
      <c r="AI30" s="103">
        <v>32.0</v>
      </c>
      <c r="AJ30" s="104">
        <v>0.3106796116504869</v>
      </c>
      <c r="AK30" s="142">
        <v>35.000000000000036</v>
      </c>
      <c r="AL30" s="142">
        <v>27.000000000000064</v>
      </c>
    </row>
    <row r="31" ht="13.5" customHeight="1">
      <c r="A31" s="127"/>
      <c r="B31" s="141" t="s">
        <v>79</v>
      </c>
      <c r="C31" s="101">
        <v>0.763888888888888</v>
      </c>
      <c r="D31" s="101">
        <v>0.7722222222222213</v>
      </c>
      <c r="E31" s="99">
        <v>0.0</v>
      </c>
      <c r="F31" s="101">
        <v>0.7722222222222213</v>
      </c>
      <c r="G31" s="101">
        <v>0.781249999999999</v>
      </c>
      <c r="H31" s="99">
        <v>2.0</v>
      </c>
      <c r="I31" s="101">
        <v>0.7826388888888879</v>
      </c>
      <c r="J31" s="101">
        <v>0.7902777777777767</v>
      </c>
      <c r="K31" s="99">
        <v>0.0</v>
      </c>
      <c r="L31" s="101">
        <v>0.7902777777777767</v>
      </c>
      <c r="M31" s="101">
        <v>0.7930555555555545</v>
      </c>
      <c r="N31" s="99">
        <v>5.0</v>
      </c>
      <c r="O31" s="101">
        <v>0.7965277777777767</v>
      </c>
      <c r="P31" s="101">
        <v>0.8041666666666656</v>
      </c>
      <c r="Q31" s="99">
        <v>1.0</v>
      </c>
      <c r="R31" s="101">
        <v>0.80486111111111</v>
      </c>
      <c r="S31" s="101">
        <v>0.8145833333333322</v>
      </c>
      <c r="T31" s="99">
        <v>5.0</v>
      </c>
      <c r="U31" s="101">
        <v>0.8180555555555544</v>
      </c>
      <c r="V31" s="101">
        <v>0.8208333333333322</v>
      </c>
      <c r="W31" s="99">
        <v>0.0</v>
      </c>
      <c r="X31" s="101">
        <v>0.8208333333333322</v>
      </c>
      <c r="Y31" s="101">
        <v>0.828472222222221</v>
      </c>
      <c r="Z31" s="99">
        <v>2.0</v>
      </c>
      <c r="AA31" s="101">
        <v>0.8298611111111099</v>
      </c>
      <c r="AB31" s="101">
        <v>0.8381944444444432</v>
      </c>
      <c r="AC31" s="99">
        <v>0.0</v>
      </c>
      <c r="AD31" s="101">
        <v>0.8381944444444432</v>
      </c>
      <c r="AE31" s="101">
        <v>0.8458333333333321</v>
      </c>
      <c r="AF31" s="99">
        <v>12.0</v>
      </c>
      <c r="AG31" s="101">
        <v>0.8541666666666654</v>
      </c>
      <c r="AH31" s="103">
        <f t="shared" si="2"/>
        <v>130</v>
      </c>
      <c r="AI31" s="103">
        <v>27.0</v>
      </c>
      <c r="AJ31" s="104">
        <v>0.26213592233009825</v>
      </c>
      <c r="AK31" s="142">
        <v>34.99999999999987</v>
      </c>
      <c r="AL31" s="142">
        <v>34.99999999999987</v>
      </c>
    </row>
    <row r="32" ht="13.5" customHeight="1">
      <c r="A32" s="127"/>
      <c r="B32" s="141" t="s">
        <v>79</v>
      </c>
      <c r="C32" s="101">
        <v>0.7881944444444434</v>
      </c>
      <c r="D32" s="101">
        <v>0.7965277777777767</v>
      </c>
      <c r="E32" s="99">
        <v>0.0</v>
      </c>
      <c r="F32" s="101">
        <v>0.7965277777777767</v>
      </c>
      <c r="G32" s="101">
        <v>0.8055555555555545</v>
      </c>
      <c r="H32" s="99">
        <v>2.0</v>
      </c>
      <c r="I32" s="101">
        <v>0.8069444444444434</v>
      </c>
      <c r="J32" s="101">
        <v>0.8145833333333322</v>
      </c>
      <c r="K32" s="99">
        <v>0.0</v>
      </c>
      <c r="L32" s="101">
        <v>0.8145833333333322</v>
      </c>
      <c r="M32" s="101">
        <v>0.81736111111111</v>
      </c>
      <c r="N32" s="99">
        <v>5.0</v>
      </c>
      <c r="O32" s="101">
        <v>0.8208333333333322</v>
      </c>
      <c r="P32" s="101">
        <v>0.828472222222221</v>
      </c>
      <c r="Q32" s="99">
        <v>1.0</v>
      </c>
      <c r="R32" s="101">
        <v>0.8291666666666655</v>
      </c>
      <c r="S32" s="101">
        <v>0.8388888888888877</v>
      </c>
      <c r="T32" s="99">
        <v>5.0</v>
      </c>
      <c r="U32" s="101">
        <v>0.8423611111111099</v>
      </c>
      <c r="V32" s="101">
        <v>0.8451388888888877</v>
      </c>
      <c r="W32" s="99">
        <v>0.0</v>
      </c>
      <c r="X32" s="101">
        <v>0.8451388888888877</v>
      </c>
      <c r="Y32" s="101">
        <v>0.8527777777777765</v>
      </c>
      <c r="Z32" s="99">
        <v>2.0</v>
      </c>
      <c r="AA32" s="101">
        <v>0.8541666666666654</v>
      </c>
      <c r="AB32" s="101">
        <v>0.8624999999999987</v>
      </c>
      <c r="AC32" s="99">
        <v>0.0</v>
      </c>
      <c r="AD32" s="101">
        <v>0.8624999999999987</v>
      </c>
      <c r="AE32" s="100">
        <v>0.8701388888888876</v>
      </c>
      <c r="AF32" s="99"/>
      <c r="AG32" s="306" t="s">
        <v>181</v>
      </c>
      <c r="AH32" s="103">
        <f>(AE32-C32)*1440</f>
        <v>118</v>
      </c>
      <c r="AI32" s="103">
        <v>15.0</v>
      </c>
      <c r="AJ32" s="104">
        <v>0.14563106796116565</v>
      </c>
      <c r="AK32" s="142">
        <v>34.99999999999987</v>
      </c>
      <c r="AL32" s="142">
        <v>34.99999999999987</v>
      </c>
    </row>
    <row r="33" ht="13.5" customHeight="1">
      <c r="A33" s="127"/>
      <c r="B33" s="141" t="s">
        <v>79</v>
      </c>
      <c r="C33" s="101">
        <v>0.8124999999999988</v>
      </c>
      <c r="D33" s="101">
        <v>0.8208333333333321</v>
      </c>
      <c r="E33" s="99">
        <v>0.0</v>
      </c>
      <c r="F33" s="101">
        <v>0.8208333333333321</v>
      </c>
      <c r="G33" s="101">
        <v>0.8298611111111098</v>
      </c>
      <c r="H33" s="99">
        <v>2.0</v>
      </c>
      <c r="I33" s="101">
        <v>0.8312499999999987</v>
      </c>
      <c r="J33" s="101">
        <v>0.8388888888888876</v>
      </c>
      <c r="K33" s="99">
        <v>0.0</v>
      </c>
      <c r="L33" s="101">
        <v>0.8388888888888876</v>
      </c>
      <c r="M33" s="101">
        <v>0.8416666666666653</v>
      </c>
      <c r="N33" s="99">
        <v>5.0</v>
      </c>
      <c r="O33" s="101">
        <v>0.8451388888888876</v>
      </c>
      <c r="P33" s="101">
        <v>0.8527777777777764</v>
      </c>
      <c r="Q33" s="99">
        <v>1.0</v>
      </c>
      <c r="R33" s="101">
        <v>0.8534722222222209</v>
      </c>
      <c r="S33" s="101">
        <v>0.863194444444443</v>
      </c>
      <c r="T33" s="99">
        <v>5.0</v>
      </c>
      <c r="U33" s="101">
        <v>0.8666666666666653</v>
      </c>
      <c r="V33" s="101">
        <v>0.869444444444443</v>
      </c>
      <c r="W33" s="99">
        <v>0.0</v>
      </c>
      <c r="X33" s="101">
        <v>0.869444444444443</v>
      </c>
      <c r="Y33" s="101">
        <v>0.8770833333333319</v>
      </c>
      <c r="Z33" s="99">
        <v>2.0</v>
      </c>
      <c r="AA33" s="101">
        <v>0.8784722222222208</v>
      </c>
      <c r="AB33" s="101">
        <v>0.8868055555555541</v>
      </c>
      <c r="AC33" s="99">
        <v>0.0</v>
      </c>
      <c r="AD33" s="101">
        <v>0.8868055555555541</v>
      </c>
      <c r="AE33" s="101">
        <v>0.8944444444444429</v>
      </c>
      <c r="AF33" s="99">
        <v>2.0</v>
      </c>
      <c r="AG33" s="101">
        <v>0.8958333333333318</v>
      </c>
      <c r="AH33" s="103">
        <f>(AG33-C33)*1440</f>
        <v>120</v>
      </c>
      <c r="AI33" s="103">
        <v>17.0</v>
      </c>
      <c r="AJ33" s="104">
        <v>0.16504854368932106</v>
      </c>
      <c r="AK33" s="142">
        <v>34.999999999999716</v>
      </c>
      <c r="AL33" s="142">
        <v>34.999999999999716</v>
      </c>
    </row>
    <row r="34" ht="13.5" customHeight="1">
      <c r="A34" s="127"/>
      <c r="B34" s="141" t="s">
        <v>79</v>
      </c>
      <c r="C34" s="101">
        <v>0.8333333333333321</v>
      </c>
      <c r="D34" s="101">
        <v>0.8416666666666655</v>
      </c>
      <c r="E34" s="99">
        <v>0.0</v>
      </c>
      <c r="F34" s="101">
        <v>0.8416666666666655</v>
      </c>
      <c r="G34" s="101">
        <v>0.8506944444444432</v>
      </c>
      <c r="H34" s="99">
        <v>2.0</v>
      </c>
      <c r="I34" s="101">
        <v>0.8520833333333321</v>
      </c>
      <c r="J34" s="101">
        <v>0.8597222222222209</v>
      </c>
      <c r="K34" s="99">
        <v>0.0</v>
      </c>
      <c r="L34" s="101">
        <v>0.8597222222222209</v>
      </c>
      <c r="M34" s="101">
        <v>0.8624999999999987</v>
      </c>
      <c r="N34" s="99">
        <v>5.0</v>
      </c>
      <c r="O34" s="101">
        <v>0.8659722222222209</v>
      </c>
      <c r="P34" s="101">
        <v>0.8736111111111098</v>
      </c>
      <c r="Q34" s="99">
        <v>1.0</v>
      </c>
      <c r="R34" s="101">
        <v>0.8743055555555542</v>
      </c>
      <c r="S34" s="101">
        <v>0.8840277777777764</v>
      </c>
      <c r="T34" s="99">
        <v>5.0</v>
      </c>
      <c r="U34" s="101">
        <v>0.8874999999999986</v>
      </c>
      <c r="V34" s="101">
        <v>0.8902777777777764</v>
      </c>
      <c r="W34" s="99">
        <v>0.0</v>
      </c>
      <c r="X34" s="101">
        <v>0.8902777777777764</v>
      </c>
      <c r="Y34" s="101">
        <v>0.8979166666666653</v>
      </c>
      <c r="Z34" s="99">
        <v>2.0</v>
      </c>
      <c r="AA34" s="101">
        <v>0.8993055555555541</v>
      </c>
      <c r="AB34" s="101">
        <v>0.9076388888888874</v>
      </c>
      <c r="AC34" s="99">
        <v>0.0</v>
      </c>
      <c r="AD34" s="101">
        <v>0.9076388888888874</v>
      </c>
      <c r="AE34" s="100">
        <v>0.9152777777777763</v>
      </c>
      <c r="AF34" s="99"/>
      <c r="AG34" s="306" t="s">
        <v>182</v>
      </c>
      <c r="AH34" s="103">
        <f>(AE34-C34)*1440</f>
        <v>118</v>
      </c>
      <c r="AI34" s="103">
        <v>15.0</v>
      </c>
      <c r="AJ34" s="104">
        <v>0.14563106796116565</v>
      </c>
      <c r="AK34" s="142">
        <v>30.000000000000053</v>
      </c>
      <c r="AL34" s="142">
        <v>30.000000000000053</v>
      </c>
    </row>
    <row r="35" ht="13.5" customHeight="1">
      <c r="A35" s="127"/>
      <c r="B35" s="141" t="s">
        <v>79</v>
      </c>
      <c r="C35" s="101">
        <v>0.8541666666666654</v>
      </c>
      <c r="D35" s="101">
        <v>0.8624999999999987</v>
      </c>
      <c r="E35" s="99">
        <v>0.0</v>
      </c>
      <c r="F35" s="101">
        <v>0.8624999999999987</v>
      </c>
      <c r="G35" s="101">
        <v>0.8715277777777765</v>
      </c>
      <c r="H35" s="99">
        <v>2.0</v>
      </c>
      <c r="I35" s="101">
        <v>0.8729166666666653</v>
      </c>
      <c r="J35" s="101">
        <v>0.8805555555555542</v>
      </c>
      <c r="K35" s="99">
        <v>0.0</v>
      </c>
      <c r="L35" s="101">
        <v>0.8805555555555542</v>
      </c>
      <c r="M35" s="101">
        <v>0.883333333333332</v>
      </c>
      <c r="N35" s="99">
        <v>5.0</v>
      </c>
      <c r="O35" s="101">
        <v>0.8868055555555542</v>
      </c>
      <c r="P35" s="101">
        <v>0.894444444444443</v>
      </c>
      <c r="Q35" s="99">
        <v>1.0</v>
      </c>
      <c r="R35" s="101">
        <v>0.8951388888888875</v>
      </c>
      <c r="S35" s="101">
        <v>0.9048611111111097</v>
      </c>
      <c r="T35" s="99">
        <v>5.0</v>
      </c>
      <c r="U35" s="101">
        <v>0.9083333333333319</v>
      </c>
      <c r="V35" s="101">
        <v>0.9111111111111097</v>
      </c>
      <c r="W35" s="99">
        <v>0.0</v>
      </c>
      <c r="X35" s="101">
        <v>0.9111111111111097</v>
      </c>
      <c r="Y35" s="101">
        <v>0.9187499999999985</v>
      </c>
      <c r="Z35" s="99">
        <v>2.0</v>
      </c>
      <c r="AA35" s="101">
        <v>0.9201388888888874</v>
      </c>
      <c r="AB35" s="101">
        <v>0.9284722222222207</v>
      </c>
      <c r="AC35" s="99">
        <v>0.0</v>
      </c>
      <c r="AD35" s="101">
        <v>0.9284722222222207</v>
      </c>
      <c r="AE35" s="101">
        <v>0.9361111111111096</v>
      </c>
      <c r="AF35" s="99">
        <v>2.0</v>
      </c>
      <c r="AG35" s="101">
        <v>0.9374999999999984</v>
      </c>
      <c r="AH35" s="103">
        <f t="shared" ref="AH35:AH36" si="3">(AG35-C35)*1440</f>
        <v>120</v>
      </c>
      <c r="AI35" s="103">
        <v>17.0</v>
      </c>
      <c r="AJ35" s="104">
        <v>0.16504854368932106</v>
      </c>
      <c r="AK35" s="142">
        <v>29.999999999999893</v>
      </c>
      <c r="AL35" s="142">
        <v>29.999999999999893</v>
      </c>
    </row>
    <row r="36" ht="13.5" customHeight="1">
      <c r="A36" s="127"/>
      <c r="B36" s="141" t="s">
        <v>79</v>
      </c>
      <c r="C36" s="101">
        <v>0.8958333333333318</v>
      </c>
      <c r="D36" s="101">
        <v>0.9041666666666651</v>
      </c>
      <c r="E36" s="99">
        <v>0.0</v>
      </c>
      <c r="F36" s="101">
        <v>0.9041666666666651</v>
      </c>
      <c r="G36" s="101">
        <v>0.9131944444444429</v>
      </c>
      <c r="H36" s="99">
        <v>2.0</v>
      </c>
      <c r="I36" s="101">
        <v>0.9145833333333317</v>
      </c>
      <c r="J36" s="101">
        <v>0.9222222222222206</v>
      </c>
      <c r="K36" s="99">
        <v>0.0</v>
      </c>
      <c r="L36" s="101">
        <v>0.9222222222222206</v>
      </c>
      <c r="M36" s="101">
        <v>0.9249999999999984</v>
      </c>
      <c r="N36" s="99">
        <v>5.0</v>
      </c>
      <c r="O36" s="101">
        <v>0.9284722222222206</v>
      </c>
      <c r="P36" s="101">
        <v>0.9361111111111095</v>
      </c>
      <c r="Q36" s="99">
        <v>1.0</v>
      </c>
      <c r="R36" s="101">
        <v>0.9368055555555539</v>
      </c>
      <c r="S36" s="101">
        <v>0.9465277777777761</v>
      </c>
      <c r="T36" s="99">
        <v>5.0</v>
      </c>
      <c r="U36" s="101">
        <v>0.9499999999999983</v>
      </c>
      <c r="V36" s="101">
        <v>0.9527777777777761</v>
      </c>
      <c r="W36" s="99">
        <v>0.0</v>
      </c>
      <c r="X36" s="101">
        <v>0.9527777777777761</v>
      </c>
      <c r="Y36" s="101">
        <v>0.9604166666666649</v>
      </c>
      <c r="Z36" s="99">
        <v>2.0</v>
      </c>
      <c r="AA36" s="101">
        <v>0.9618055555555538</v>
      </c>
      <c r="AB36" s="101">
        <v>0.9701388888888871</v>
      </c>
      <c r="AC36" s="99">
        <v>0.0</v>
      </c>
      <c r="AD36" s="101">
        <v>0.9701388888888871</v>
      </c>
      <c r="AE36" s="101">
        <v>0.977777777777776</v>
      </c>
      <c r="AF36" s="99">
        <v>12.0</v>
      </c>
      <c r="AG36" s="101">
        <v>0.9861111111111093</v>
      </c>
      <c r="AH36" s="103">
        <f t="shared" si="3"/>
        <v>130</v>
      </c>
      <c r="AI36" s="103">
        <v>27.0</v>
      </c>
      <c r="AJ36" s="104">
        <v>0.26213592233009825</v>
      </c>
      <c r="AK36" s="142">
        <v>59.99999999999963</v>
      </c>
      <c r="AL36" s="142">
        <v>59.99999999999963</v>
      </c>
    </row>
    <row r="37" ht="13.5" customHeight="1">
      <c r="A37" s="127"/>
      <c r="B37" s="141" t="s">
        <v>79</v>
      </c>
      <c r="C37" s="101">
        <v>0.9374999999999984</v>
      </c>
      <c r="D37" s="101">
        <v>0.9458333333333317</v>
      </c>
      <c r="E37" s="99">
        <v>0.0</v>
      </c>
      <c r="F37" s="101">
        <v>0.9458333333333317</v>
      </c>
      <c r="G37" s="101">
        <v>0.9548611111111095</v>
      </c>
      <c r="H37" s="99">
        <v>2.0</v>
      </c>
      <c r="I37" s="101">
        <v>0.9562499999999984</v>
      </c>
      <c r="J37" s="101">
        <v>0.9638888888888872</v>
      </c>
      <c r="K37" s="99">
        <v>0.0</v>
      </c>
      <c r="L37" s="101">
        <v>0.9638888888888872</v>
      </c>
      <c r="M37" s="101">
        <v>0.966666666666665</v>
      </c>
      <c r="N37" s="99">
        <v>5.0</v>
      </c>
      <c r="O37" s="101">
        <v>0.9701388888888872</v>
      </c>
      <c r="P37" s="101">
        <v>0.9777777777777761</v>
      </c>
      <c r="Q37" s="99">
        <v>1.0</v>
      </c>
      <c r="R37" s="101">
        <v>0.9784722222222205</v>
      </c>
      <c r="S37" s="101">
        <v>0.9881944444444427</v>
      </c>
      <c r="T37" s="99">
        <v>5.0</v>
      </c>
      <c r="U37" s="101">
        <v>0.9916666666666649</v>
      </c>
      <c r="V37" s="101">
        <v>0.9944444444444427</v>
      </c>
      <c r="W37" s="99">
        <v>0.0</v>
      </c>
      <c r="X37" s="101">
        <v>0.9944444444444427</v>
      </c>
      <c r="Y37" s="101">
        <v>1.0020833333333317</v>
      </c>
      <c r="Z37" s="99">
        <v>2.0</v>
      </c>
      <c r="AA37" s="101">
        <v>1.0034722222222205</v>
      </c>
      <c r="AB37" s="101">
        <v>1.0118055555555538</v>
      </c>
      <c r="AC37" s="99">
        <v>0.0</v>
      </c>
      <c r="AD37" s="101">
        <v>1.0118055555555538</v>
      </c>
      <c r="AE37" s="100">
        <v>1.0194444444444428</v>
      </c>
      <c r="AF37" s="99"/>
      <c r="AG37" s="306" t="s">
        <v>183</v>
      </c>
      <c r="AH37" s="103">
        <f>(AE37-C37)*1440</f>
        <v>118</v>
      </c>
      <c r="AI37" s="103">
        <v>15.0</v>
      </c>
      <c r="AJ37" s="104">
        <v>0.14563106796116518</v>
      </c>
      <c r="AK37" s="142">
        <v>59.99999999999994</v>
      </c>
      <c r="AL37" s="142">
        <v>59.99999999999994</v>
      </c>
    </row>
    <row r="38" ht="13.5" customHeight="1">
      <c r="A38" s="127"/>
      <c r="B38" s="141" t="s">
        <v>79</v>
      </c>
      <c r="C38" s="101">
        <v>0.9861111111111093</v>
      </c>
      <c r="D38" s="101">
        <v>0.9944444444444426</v>
      </c>
      <c r="E38" s="99">
        <v>0.0</v>
      </c>
      <c r="F38" s="101">
        <v>0.9944444444444426</v>
      </c>
      <c r="G38" s="101">
        <v>1.0034722222222203</v>
      </c>
      <c r="H38" s="99">
        <v>1.0</v>
      </c>
      <c r="I38" s="101">
        <v>1.0041666666666649</v>
      </c>
      <c r="J38" s="101">
        <v>1.0118055555555538</v>
      </c>
      <c r="K38" s="99">
        <v>0.0</v>
      </c>
      <c r="L38" s="101">
        <v>1.0118055555555538</v>
      </c>
      <c r="M38" s="101">
        <v>1.0145833333333316</v>
      </c>
      <c r="N38" s="99">
        <v>1.0</v>
      </c>
      <c r="O38" s="101">
        <v>1.0152777777777762</v>
      </c>
      <c r="P38" s="100">
        <v>1.0229166666666651</v>
      </c>
      <c r="Q38" s="99"/>
      <c r="R38" s="306" t="s">
        <v>184</v>
      </c>
      <c r="S38" s="101"/>
      <c r="T38" s="99"/>
      <c r="U38" s="101"/>
      <c r="V38" s="101"/>
      <c r="W38" s="99"/>
      <c r="X38" s="101"/>
      <c r="Y38" s="101"/>
      <c r="Z38" s="99"/>
      <c r="AA38" s="101"/>
      <c r="AB38" s="101"/>
      <c r="AC38" s="99"/>
      <c r="AD38" s="101"/>
      <c r="AE38" s="101"/>
      <c r="AF38" s="99"/>
      <c r="AG38" s="101"/>
      <c r="AH38" s="103">
        <f>(P38-C38)*1440</f>
        <v>53</v>
      </c>
      <c r="AI38" s="103">
        <v>2.0</v>
      </c>
      <c r="AJ38" s="104">
        <v>0.039215686274509456</v>
      </c>
      <c r="AK38" s="142"/>
    </row>
    <row r="39" ht="13.5" customHeight="1">
      <c r="A39" s="156"/>
      <c r="C39" s="311" t="s">
        <v>185</v>
      </c>
      <c r="D39" s="312">
        <v>30.0</v>
      </c>
      <c r="E39" s="99">
        <v>0.0</v>
      </c>
      <c r="F39" s="313"/>
      <c r="G39" s="73"/>
      <c r="H39" s="99">
        <v>66.0</v>
      </c>
      <c r="I39" s="62"/>
      <c r="J39" s="73"/>
      <c r="K39" s="99">
        <v>0.0</v>
      </c>
      <c r="L39" s="62"/>
      <c r="M39" s="73"/>
      <c r="N39" s="99">
        <v>118.0</v>
      </c>
      <c r="O39" s="62"/>
      <c r="P39" s="158"/>
      <c r="Q39" s="99">
        <v>45.0</v>
      </c>
      <c r="R39" s="311" t="s">
        <v>185</v>
      </c>
      <c r="S39" s="312">
        <v>33.0</v>
      </c>
      <c r="T39" s="99">
        <v>139.0</v>
      </c>
      <c r="U39" s="73"/>
      <c r="V39" s="73"/>
      <c r="W39" s="99">
        <v>0.0</v>
      </c>
      <c r="X39" s="62"/>
      <c r="Y39" s="73"/>
      <c r="Z39" s="99">
        <v>72.0</v>
      </c>
      <c r="AA39" s="62"/>
      <c r="AB39" s="62"/>
      <c r="AC39" s="99">
        <v>0.0</v>
      </c>
      <c r="AD39" s="62"/>
      <c r="AE39" s="73"/>
      <c r="AF39" s="99">
        <v>158.0</v>
      </c>
      <c r="AG39" s="73" t="s">
        <v>34</v>
      </c>
      <c r="AH39" s="314">
        <f>SUM(AH5:AH38)/60</f>
        <v>69.48333333</v>
      </c>
      <c r="AI39" s="314">
        <v>10.416666666666666</v>
      </c>
      <c r="AJ39" s="104">
        <v>0.1750210025203029</v>
      </c>
    </row>
    <row r="40" ht="13.5" customHeight="1">
      <c r="AI40" s="82">
        <f>AH39+AI39</f>
        <v>79.9</v>
      </c>
    </row>
    <row r="41" ht="13.5" customHeight="1">
      <c r="R41" s="315"/>
    </row>
    <row r="42" ht="13.5" customHeight="1">
      <c r="A42" s="209" t="s">
        <v>82</v>
      </c>
      <c r="B42" s="73"/>
      <c r="C42" s="124" t="s">
        <v>83</v>
      </c>
      <c r="D42" s="300" t="s">
        <v>159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62"/>
      <c r="R42" s="301" t="s">
        <v>83</v>
      </c>
      <c r="S42" s="300" t="s">
        <v>160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3"/>
      <c r="AH42" s="73"/>
      <c r="AI42" s="73"/>
      <c r="AJ42" s="73"/>
      <c r="AK42" s="73"/>
      <c r="AL42" s="73"/>
    </row>
    <row r="43" ht="13.5" customHeight="1">
      <c r="A43" s="127"/>
      <c r="B43" s="73"/>
      <c r="C43" s="128" t="s">
        <v>62</v>
      </c>
      <c r="D43" s="128" t="s">
        <v>85</v>
      </c>
      <c r="E43" s="85"/>
      <c r="F43" s="128" t="s">
        <v>62</v>
      </c>
      <c r="G43" s="128" t="s">
        <v>85</v>
      </c>
      <c r="H43" s="85"/>
      <c r="I43" s="128" t="s">
        <v>62</v>
      </c>
      <c r="J43" s="128" t="s">
        <v>85</v>
      </c>
      <c r="K43" s="85"/>
      <c r="L43" s="128" t="s">
        <v>62</v>
      </c>
      <c r="M43" s="128" t="s">
        <v>85</v>
      </c>
      <c r="N43" s="85"/>
      <c r="O43" s="128" t="s">
        <v>62</v>
      </c>
      <c r="P43" s="128" t="s">
        <v>85</v>
      </c>
      <c r="Q43" s="85"/>
      <c r="R43" s="316" t="s">
        <v>62</v>
      </c>
      <c r="S43" s="128" t="s">
        <v>85</v>
      </c>
      <c r="T43" s="85"/>
      <c r="U43" s="128" t="s">
        <v>62</v>
      </c>
      <c r="V43" s="128" t="s">
        <v>85</v>
      </c>
      <c r="W43" s="85"/>
      <c r="X43" s="128" t="s">
        <v>62</v>
      </c>
      <c r="Y43" s="128" t="s">
        <v>85</v>
      </c>
      <c r="Z43" s="85"/>
      <c r="AA43" s="128" t="s">
        <v>62</v>
      </c>
      <c r="AB43" s="128" t="s">
        <v>85</v>
      </c>
      <c r="AC43" s="85"/>
      <c r="AD43" s="128" t="s">
        <v>62</v>
      </c>
      <c r="AE43" s="128" t="s">
        <v>85</v>
      </c>
      <c r="AF43" s="85"/>
      <c r="AG43" s="128" t="s">
        <v>62</v>
      </c>
      <c r="AH43" s="62"/>
      <c r="AI43" s="73"/>
      <c r="AJ43" s="73"/>
      <c r="AK43" s="73"/>
      <c r="AL43" s="73"/>
    </row>
    <row r="44" ht="51.75" customHeight="1">
      <c r="A44" s="127"/>
      <c r="B44" s="89" t="s">
        <v>63</v>
      </c>
      <c r="C44" s="302" t="s">
        <v>127</v>
      </c>
      <c r="D44" s="130" t="s">
        <v>163</v>
      </c>
      <c r="E44" s="132"/>
      <c r="F44" s="130" t="s">
        <v>163</v>
      </c>
      <c r="G44" s="130" t="s">
        <v>64</v>
      </c>
      <c r="H44" s="132"/>
      <c r="I44" s="130" t="s">
        <v>64</v>
      </c>
      <c r="J44" s="302" t="s">
        <v>132</v>
      </c>
      <c r="K44" s="132"/>
      <c r="L44" s="130" t="s">
        <v>132</v>
      </c>
      <c r="M44" s="130" t="s">
        <v>86</v>
      </c>
      <c r="N44" s="132"/>
      <c r="O44" s="130" t="s">
        <v>86</v>
      </c>
      <c r="P44" s="131" t="s">
        <v>87</v>
      </c>
      <c r="Q44" s="132"/>
      <c r="R44" s="303" t="s">
        <v>87</v>
      </c>
      <c r="S44" s="130" t="s">
        <v>86</v>
      </c>
      <c r="T44" s="132"/>
      <c r="U44" s="130" t="s">
        <v>86</v>
      </c>
      <c r="V44" s="302" t="s">
        <v>132</v>
      </c>
      <c r="W44" s="132"/>
      <c r="X44" s="130" t="s">
        <v>132</v>
      </c>
      <c r="Y44" s="130" t="s">
        <v>64</v>
      </c>
      <c r="Z44" s="132"/>
      <c r="AA44" s="130" t="s">
        <v>64</v>
      </c>
      <c r="AB44" s="130" t="s">
        <v>164</v>
      </c>
      <c r="AC44" s="132"/>
      <c r="AD44" s="130" t="s">
        <v>164</v>
      </c>
      <c r="AE44" s="302" t="s">
        <v>127</v>
      </c>
      <c r="AF44" s="132"/>
      <c r="AG44" s="302" t="s">
        <v>127</v>
      </c>
      <c r="AH44" s="62"/>
      <c r="AI44" s="73"/>
      <c r="AJ44" s="73"/>
      <c r="AK44" s="73"/>
      <c r="AL44" s="73"/>
    </row>
    <row r="45" ht="50.25" customHeight="1">
      <c r="A45" s="127"/>
      <c r="B45" s="93" t="s">
        <v>72</v>
      </c>
      <c r="C45" s="302">
        <v>725.0</v>
      </c>
      <c r="D45" s="128">
        <v>972.0</v>
      </c>
      <c r="E45" s="137" t="s">
        <v>69</v>
      </c>
      <c r="F45" s="130">
        <v>972.0</v>
      </c>
      <c r="G45" s="128">
        <v>777.0</v>
      </c>
      <c r="H45" s="137" t="s">
        <v>69</v>
      </c>
      <c r="I45" s="128">
        <v>777.0</v>
      </c>
      <c r="J45" s="128">
        <v>732.0</v>
      </c>
      <c r="K45" s="136" t="s">
        <v>69</v>
      </c>
      <c r="L45" s="128">
        <v>732.0</v>
      </c>
      <c r="M45" s="128">
        <v>1.0</v>
      </c>
      <c r="N45" s="137" t="s">
        <v>69</v>
      </c>
      <c r="O45" s="128">
        <v>1.0</v>
      </c>
      <c r="P45" s="128">
        <v>76.0</v>
      </c>
      <c r="Q45" s="136" t="s">
        <v>69</v>
      </c>
      <c r="R45" s="128">
        <v>76.0</v>
      </c>
      <c r="S45" s="128">
        <v>1.0</v>
      </c>
      <c r="T45" s="137" t="s">
        <v>69</v>
      </c>
      <c r="U45" s="128">
        <v>1.0</v>
      </c>
      <c r="V45" s="128">
        <v>732.0</v>
      </c>
      <c r="W45" s="136" t="s">
        <v>69</v>
      </c>
      <c r="X45" s="128">
        <v>732.0</v>
      </c>
      <c r="Y45" s="128">
        <v>777.0</v>
      </c>
      <c r="Z45" s="137" t="s">
        <v>69</v>
      </c>
      <c r="AA45" s="128">
        <v>777.0</v>
      </c>
      <c r="AB45" s="128">
        <v>971.0</v>
      </c>
      <c r="AC45" s="137" t="s">
        <v>69</v>
      </c>
      <c r="AD45" s="128">
        <v>971.0</v>
      </c>
      <c r="AE45" s="128">
        <v>725.0</v>
      </c>
      <c r="AF45" s="137" t="s">
        <v>69</v>
      </c>
      <c r="AG45" s="128">
        <v>725.0</v>
      </c>
      <c r="AH45" s="140" t="s">
        <v>166</v>
      </c>
      <c r="AI45" s="140" t="s">
        <v>69</v>
      </c>
      <c r="AJ45" s="140" t="s">
        <v>121</v>
      </c>
      <c r="AK45" s="140" t="s">
        <v>76</v>
      </c>
      <c r="AL45" s="317"/>
      <c r="AN45" s="143" t="s">
        <v>90</v>
      </c>
    </row>
    <row r="46" ht="13.5" customHeight="1">
      <c r="A46" s="127"/>
      <c r="B46" s="318" t="s">
        <v>89</v>
      </c>
      <c r="C46" s="101"/>
      <c r="D46" s="101"/>
      <c r="E46" s="101"/>
      <c r="F46" s="101"/>
      <c r="G46" s="101"/>
      <c r="H46" s="99"/>
      <c r="I46" s="101"/>
      <c r="J46" s="101"/>
      <c r="K46" s="99"/>
      <c r="L46" s="101"/>
      <c r="M46" s="101"/>
      <c r="N46" s="99"/>
      <c r="O46" s="305"/>
      <c r="P46" s="305"/>
      <c r="Q46" s="307"/>
      <c r="R46" s="100">
        <v>0.2611111111111111</v>
      </c>
      <c r="S46" s="101">
        <v>0.27083333333333337</v>
      </c>
      <c r="T46" s="99">
        <v>5.0</v>
      </c>
      <c r="U46" s="101">
        <v>0.2743055555555556</v>
      </c>
      <c r="V46" s="101">
        <v>0.2777777777777778</v>
      </c>
      <c r="W46" s="99">
        <v>0.0</v>
      </c>
      <c r="X46" s="101">
        <v>0.2777777777777778</v>
      </c>
      <c r="Y46" s="101">
        <v>0.28541666666666665</v>
      </c>
      <c r="Z46" s="99">
        <v>2.0</v>
      </c>
      <c r="AA46" s="319">
        <v>0.28680555555555554</v>
      </c>
      <c r="AB46" s="101">
        <v>0.2951388888888889</v>
      </c>
      <c r="AC46" s="99">
        <v>0.0</v>
      </c>
      <c r="AD46" s="101">
        <v>0.2951388888888889</v>
      </c>
      <c r="AE46" s="101">
        <v>0.30277777777777776</v>
      </c>
      <c r="AF46" s="99">
        <v>3.0</v>
      </c>
      <c r="AG46" s="101">
        <v>0.3048611111111111</v>
      </c>
      <c r="AH46" s="103">
        <v>62.999999999999936</v>
      </c>
      <c r="AI46" s="103">
        <v>10.0</v>
      </c>
      <c r="AJ46" s="104">
        <v>0.1886792452830191</v>
      </c>
      <c r="AK46" s="142"/>
      <c r="AL46" s="320"/>
      <c r="AN46" s="321" t="s">
        <v>172</v>
      </c>
    </row>
    <row r="47" ht="13.5" customHeight="1">
      <c r="A47" s="127"/>
      <c r="B47" s="318" t="s">
        <v>89</v>
      </c>
      <c r="C47" s="101"/>
      <c r="D47" s="101"/>
      <c r="E47" s="101"/>
      <c r="F47" s="101"/>
      <c r="G47" s="101"/>
      <c r="H47" s="99"/>
      <c r="I47" s="101"/>
      <c r="J47" s="101"/>
      <c r="K47" s="99"/>
      <c r="L47" s="101"/>
      <c r="M47" s="101"/>
      <c r="N47" s="99"/>
      <c r="O47" s="305"/>
      <c r="P47" s="305"/>
      <c r="Q47" s="307"/>
      <c r="R47" s="100">
        <v>0.28194444444444444</v>
      </c>
      <c r="S47" s="101">
        <v>0.2916666666666667</v>
      </c>
      <c r="T47" s="99">
        <v>5.0</v>
      </c>
      <c r="U47" s="101">
        <v>0.2951388888888889</v>
      </c>
      <c r="V47" s="101">
        <v>0.2986111111111111</v>
      </c>
      <c r="W47" s="99">
        <v>0.0</v>
      </c>
      <c r="X47" s="101">
        <v>0.2986111111111111</v>
      </c>
      <c r="Y47" s="101">
        <v>0.30624999999999997</v>
      </c>
      <c r="Z47" s="99">
        <v>2.0</v>
      </c>
      <c r="AA47" s="319">
        <v>0.30763888888888885</v>
      </c>
      <c r="AB47" s="101">
        <v>0.3159722222222222</v>
      </c>
      <c r="AC47" s="99">
        <v>0.0</v>
      </c>
      <c r="AD47" s="101">
        <v>0.3159722222222222</v>
      </c>
      <c r="AE47" s="101">
        <v>0.32361111111111107</v>
      </c>
      <c r="AF47" s="99">
        <v>3.0</v>
      </c>
      <c r="AG47" s="101">
        <v>0.3256944444444444</v>
      </c>
      <c r="AH47" s="103">
        <v>62.999999999999936</v>
      </c>
      <c r="AI47" s="103">
        <v>10.0</v>
      </c>
      <c r="AJ47" s="104">
        <v>0.1886792452830191</v>
      </c>
      <c r="AK47" s="142">
        <v>29.99999999999997</v>
      </c>
      <c r="AL47" s="320"/>
      <c r="AN47" s="147" t="s">
        <v>92</v>
      </c>
    </row>
    <row r="48" ht="13.5" customHeight="1">
      <c r="A48" s="127"/>
      <c r="B48" s="318" t="s">
        <v>89</v>
      </c>
      <c r="C48" s="322">
        <v>0.26319444444444445</v>
      </c>
      <c r="D48" s="101">
        <v>0.27222222222222225</v>
      </c>
      <c r="E48" s="99">
        <v>0.0</v>
      </c>
      <c r="F48" s="101">
        <v>0.27222222222222225</v>
      </c>
      <c r="G48" s="101">
        <v>0.2805555555555556</v>
      </c>
      <c r="H48" s="99">
        <v>3.0</v>
      </c>
      <c r="I48" s="101">
        <v>0.28263888888888894</v>
      </c>
      <c r="J48" s="101">
        <v>0.28958333333333336</v>
      </c>
      <c r="K48" s="99">
        <v>0.0</v>
      </c>
      <c r="L48" s="101">
        <v>0.28958333333333336</v>
      </c>
      <c r="M48" s="101">
        <v>0.2923611111111111</v>
      </c>
      <c r="N48" s="99">
        <v>4.0</v>
      </c>
      <c r="O48" s="101">
        <v>0.2951388888888889</v>
      </c>
      <c r="P48" s="101">
        <v>0.3013888888888889</v>
      </c>
      <c r="Q48" s="99">
        <v>2.0</v>
      </c>
      <c r="R48" s="101">
        <v>0.30277777777777776</v>
      </c>
      <c r="S48" s="101">
        <v>0.3125</v>
      </c>
      <c r="T48" s="99">
        <v>5.0</v>
      </c>
      <c r="U48" s="101">
        <v>0.3159722222222222</v>
      </c>
      <c r="V48" s="101">
        <v>0.3194444444444444</v>
      </c>
      <c r="W48" s="99">
        <v>0.0</v>
      </c>
      <c r="X48" s="101">
        <v>0.3194444444444444</v>
      </c>
      <c r="Y48" s="101">
        <v>0.3270833333333333</v>
      </c>
      <c r="Z48" s="99">
        <v>2.0</v>
      </c>
      <c r="AA48" s="319">
        <v>0.32847222222222217</v>
      </c>
      <c r="AB48" s="101">
        <v>0.3368055555555555</v>
      </c>
      <c r="AC48" s="99">
        <v>0.0</v>
      </c>
      <c r="AD48" s="101">
        <v>0.3368055555555555</v>
      </c>
      <c r="AE48" s="101">
        <v>0.3444444444444444</v>
      </c>
      <c r="AF48" s="99">
        <v>3.0</v>
      </c>
      <c r="AG48" s="101">
        <v>0.3465277777777777</v>
      </c>
      <c r="AH48" s="103">
        <v>119.99999999999989</v>
      </c>
      <c r="AI48" s="103">
        <v>19.0</v>
      </c>
      <c r="AJ48" s="104">
        <v>0.18811881188118834</v>
      </c>
      <c r="AK48" s="142">
        <v>29.99999999999997</v>
      </c>
      <c r="AL48" s="320"/>
      <c r="AM48" s="109">
        <v>-1.1368683772161603E-13</v>
      </c>
      <c r="AN48" s="146" t="s">
        <v>91</v>
      </c>
    </row>
    <row r="49" ht="13.5" customHeight="1">
      <c r="A49" s="127"/>
      <c r="B49" s="318" t="s">
        <v>77</v>
      </c>
      <c r="C49" s="322">
        <v>0.28402777777777777</v>
      </c>
      <c r="D49" s="101">
        <v>0.29305555555555557</v>
      </c>
      <c r="E49" s="99">
        <v>0.0</v>
      </c>
      <c r="F49" s="101">
        <v>0.29305555555555557</v>
      </c>
      <c r="G49" s="101">
        <v>0.30208333333333337</v>
      </c>
      <c r="H49" s="99">
        <v>1.0</v>
      </c>
      <c r="I49" s="101">
        <v>0.3027777777777778</v>
      </c>
      <c r="J49" s="101">
        <v>0.31111111111111117</v>
      </c>
      <c r="K49" s="99">
        <v>0.0</v>
      </c>
      <c r="L49" s="101">
        <v>0.31111111111111117</v>
      </c>
      <c r="M49" s="101">
        <v>0.3145833333333334</v>
      </c>
      <c r="N49" s="99">
        <v>2.0</v>
      </c>
      <c r="O49" s="101">
        <v>0.31597222222222227</v>
      </c>
      <c r="P49" s="101">
        <v>0.3236111111111111</v>
      </c>
      <c r="Q49" s="99">
        <v>1.0</v>
      </c>
      <c r="R49" s="101">
        <v>0.32430555555555557</v>
      </c>
      <c r="S49" s="101">
        <v>0.33472222222222225</v>
      </c>
      <c r="T49" s="99">
        <v>2.0</v>
      </c>
      <c r="U49" s="101">
        <v>0.33611111111111114</v>
      </c>
      <c r="V49" s="101">
        <v>0.3388888888888889</v>
      </c>
      <c r="W49" s="99">
        <v>0.0</v>
      </c>
      <c r="X49" s="101">
        <v>0.3388888888888889</v>
      </c>
      <c r="Y49" s="101">
        <v>0.3479166666666667</v>
      </c>
      <c r="Z49" s="99">
        <v>3.0</v>
      </c>
      <c r="AA49" s="319">
        <v>0.35000000000000003</v>
      </c>
      <c r="AB49" s="101">
        <v>0.35902777777777783</v>
      </c>
      <c r="AC49" s="99">
        <v>0.0</v>
      </c>
      <c r="AD49" s="101">
        <v>0.35902777777777783</v>
      </c>
      <c r="AE49" s="101">
        <v>0.3666666666666667</v>
      </c>
      <c r="AF49" s="99">
        <v>1.0</v>
      </c>
      <c r="AG49" s="101">
        <v>0.36736111111111114</v>
      </c>
      <c r="AH49" s="103">
        <v>120.00000000000006</v>
      </c>
      <c r="AI49" s="103">
        <v>10.0</v>
      </c>
      <c r="AJ49" s="104">
        <v>0.09090909090909086</v>
      </c>
      <c r="AK49" s="142">
        <v>29.000000000000057</v>
      </c>
      <c r="AL49" s="320"/>
      <c r="AM49" s="109">
        <v>0.0</v>
      </c>
      <c r="AN49" s="149" t="s">
        <v>94</v>
      </c>
    </row>
    <row r="50" ht="13.5" customHeight="1">
      <c r="A50" s="127"/>
      <c r="B50" s="318" t="s">
        <v>77</v>
      </c>
      <c r="C50" s="101">
        <v>0.3048611111111111</v>
      </c>
      <c r="D50" s="101">
        <v>0.3138888888888889</v>
      </c>
      <c r="E50" s="99">
        <v>0.0</v>
      </c>
      <c r="F50" s="101">
        <v>0.3138888888888889</v>
      </c>
      <c r="G50" s="101">
        <v>0.3229166666666667</v>
      </c>
      <c r="H50" s="99">
        <v>1.0</v>
      </c>
      <c r="I50" s="101">
        <v>0.3236111111111111</v>
      </c>
      <c r="J50" s="101">
        <v>0.3319444444444445</v>
      </c>
      <c r="K50" s="99">
        <v>0.0</v>
      </c>
      <c r="L50" s="101">
        <v>0.3319444444444445</v>
      </c>
      <c r="M50" s="101">
        <v>0.3354166666666667</v>
      </c>
      <c r="N50" s="99">
        <v>2.0</v>
      </c>
      <c r="O50" s="101">
        <v>0.3368055555555556</v>
      </c>
      <c r="P50" s="101">
        <v>0.34444444444444444</v>
      </c>
      <c r="Q50" s="99">
        <v>1.0</v>
      </c>
      <c r="R50" s="101">
        <v>0.3451388888888889</v>
      </c>
      <c r="S50" s="101">
        <v>0.35555555555555557</v>
      </c>
      <c r="T50" s="99">
        <v>2.0</v>
      </c>
      <c r="U50" s="101">
        <v>0.35694444444444445</v>
      </c>
      <c r="V50" s="101">
        <v>0.3597222222222222</v>
      </c>
      <c r="W50" s="99">
        <v>0.0</v>
      </c>
      <c r="X50" s="101">
        <v>0.3597222222222222</v>
      </c>
      <c r="Y50" s="101">
        <v>0.36875</v>
      </c>
      <c r="Z50" s="99">
        <v>3.0</v>
      </c>
      <c r="AA50" s="319">
        <v>0.37083333333333335</v>
      </c>
      <c r="AB50" s="101">
        <v>0.37986111111111115</v>
      </c>
      <c r="AC50" s="99">
        <v>0.0</v>
      </c>
      <c r="AD50" s="101">
        <v>0.37986111111111115</v>
      </c>
      <c r="AE50" s="101">
        <v>0.3875</v>
      </c>
      <c r="AF50" s="99">
        <v>1.0</v>
      </c>
      <c r="AG50" s="101">
        <v>0.38819444444444445</v>
      </c>
      <c r="AH50" s="103">
        <v>120.00000000000006</v>
      </c>
      <c r="AI50" s="103">
        <v>10.0</v>
      </c>
      <c r="AJ50" s="104">
        <v>0.09090909090909086</v>
      </c>
      <c r="AK50" s="142">
        <v>29.99999999999997</v>
      </c>
      <c r="AL50" s="320"/>
      <c r="AM50" s="109">
        <v>0.0</v>
      </c>
      <c r="AN50" s="150" t="s">
        <v>95</v>
      </c>
    </row>
    <row r="51" ht="13.5" customHeight="1">
      <c r="A51" s="127"/>
      <c r="B51" s="318" t="s">
        <v>77</v>
      </c>
      <c r="C51" s="101">
        <v>0.3256944444444444</v>
      </c>
      <c r="D51" s="101">
        <v>0.3347222222222222</v>
      </c>
      <c r="E51" s="99">
        <v>0.0</v>
      </c>
      <c r="F51" s="101">
        <v>0.3347222222222222</v>
      </c>
      <c r="G51" s="101">
        <v>0.34375</v>
      </c>
      <c r="H51" s="99">
        <v>1.0</v>
      </c>
      <c r="I51" s="101">
        <v>0.34444444444444444</v>
      </c>
      <c r="J51" s="101">
        <v>0.3527777777777778</v>
      </c>
      <c r="K51" s="99">
        <v>0.0</v>
      </c>
      <c r="L51" s="101">
        <v>0.3527777777777778</v>
      </c>
      <c r="M51" s="101">
        <v>0.35625</v>
      </c>
      <c r="N51" s="99">
        <v>2.0</v>
      </c>
      <c r="O51" s="101">
        <v>0.3576388888888889</v>
      </c>
      <c r="P51" s="101">
        <v>0.36527777777777776</v>
      </c>
      <c r="Q51" s="99">
        <v>1.0</v>
      </c>
      <c r="R51" s="101">
        <v>0.3659722222222222</v>
      </c>
      <c r="S51" s="101">
        <v>0.3763888888888889</v>
      </c>
      <c r="T51" s="99">
        <v>2.0</v>
      </c>
      <c r="U51" s="101">
        <v>0.37777777777777777</v>
      </c>
      <c r="V51" s="101">
        <v>0.38055555555555554</v>
      </c>
      <c r="W51" s="99">
        <v>0.0</v>
      </c>
      <c r="X51" s="101">
        <v>0.38055555555555554</v>
      </c>
      <c r="Y51" s="101">
        <v>0.38958333333333334</v>
      </c>
      <c r="Z51" s="99">
        <v>3.0</v>
      </c>
      <c r="AA51" s="319">
        <v>0.39166666666666666</v>
      </c>
      <c r="AB51" s="101">
        <v>0.40069444444444446</v>
      </c>
      <c r="AC51" s="99">
        <v>0.0</v>
      </c>
      <c r="AD51" s="101">
        <v>0.40069444444444446</v>
      </c>
      <c r="AE51" s="101">
        <v>0.4083333333333333</v>
      </c>
      <c r="AF51" s="99">
        <v>1.0</v>
      </c>
      <c r="AG51" s="101">
        <v>0.40902777777777777</v>
      </c>
      <c r="AH51" s="103">
        <v>120.00000000000006</v>
      </c>
      <c r="AI51" s="103">
        <v>10.0</v>
      </c>
      <c r="AJ51" s="104">
        <v>0.09090909090909086</v>
      </c>
      <c r="AK51" s="142">
        <v>29.99999999999997</v>
      </c>
      <c r="AL51" s="320"/>
      <c r="AM51" s="109">
        <v>0.0</v>
      </c>
    </row>
    <row r="52" ht="13.5" customHeight="1">
      <c r="A52" s="127"/>
      <c r="B52" s="318" t="s">
        <v>77</v>
      </c>
      <c r="C52" s="101">
        <v>0.3465277777777777</v>
      </c>
      <c r="D52" s="101">
        <v>0.3555555555555555</v>
      </c>
      <c r="E52" s="99">
        <v>0.0</v>
      </c>
      <c r="F52" s="101">
        <v>0.3555555555555555</v>
      </c>
      <c r="G52" s="101">
        <v>0.3645833333333333</v>
      </c>
      <c r="H52" s="99">
        <v>1.0</v>
      </c>
      <c r="I52" s="101">
        <v>0.36527777777777776</v>
      </c>
      <c r="J52" s="101">
        <v>0.3736111111111111</v>
      </c>
      <c r="K52" s="99">
        <v>0.0</v>
      </c>
      <c r="L52" s="101">
        <v>0.3736111111111111</v>
      </c>
      <c r="M52" s="101">
        <v>0.3770833333333333</v>
      </c>
      <c r="N52" s="99">
        <v>2.0</v>
      </c>
      <c r="O52" s="101">
        <v>0.3784722222222222</v>
      </c>
      <c r="P52" s="101">
        <v>0.38611111111111107</v>
      </c>
      <c r="Q52" s="99">
        <v>1.0</v>
      </c>
      <c r="R52" s="101">
        <v>0.3868055555555555</v>
      </c>
      <c r="S52" s="101">
        <v>0.3972222222222222</v>
      </c>
      <c r="T52" s="99">
        <v>2.0</v>
      </c>
      <c r="U52" s="101">
        <v>0.3986111111111111</v>
      </c>
      <c r="V52" s="101">
        <v>0.40138888888888885</v>
      </c>
      <c r="W52" s="99">
        <v>0.0</v>
      </c>
      <c r="X52" s="101">
        <v>0.40138888888888885</v>
      </c>
      <c r="Y52" s="101">
        <v>0.41041666666666665</v>
      </c>
      <c r="Z52" s="99">
        <v>3.0</v>
      </c>
      <c r="AA52" s="319">
        <v>0.4125</v>
      </c>
      <c r="AB52" s="101">
        <v>0.4215277777777778</v>
      </c>
      <c r="AC52" s="99">
        <v>0.0</v>
      </c>
      <c r="AD52" s="101">
        <v>0.4215277777777778</v>
      </c>
      <c r="AE52" s="101">
        <v>0.42916666666666664</v>
      </c>
      <c r="AF52" s="99">
        <v>2.0</v>
      </c>
      <c r="AG52" s="323">
        <v>0.4305555555555555</v>
      </c>
      <c r="AH52" s="103">
        <v>121.00000000000006</v>
      </c>
      <c r="AI52" s="103">
        <v>11.0</v>
      </c>
      <c r="AJ52" s="104">
        <v>0.09999999999999995</v>
      </c>
      <c r="AK52" s="142">
        <v>29.99999999999997</v>
      </c>
      <c r="AL52" s="320"/>
      <c r="AM52" s="109">
        <v>1.0000000000000568</v>
      </c>
    </row>
    <row r="53" ht="13.5" customHeight="1">
      <c r="A53" s="127"/>
      <c r="B53" s="318" t="s">
        <v>77</v>
      </c>
      <c r="C53" s="101">
        <v>0.36736111111111114</v>
      </c>
      <c r="D53" s="101">
        <v>0.37638888888888894</v>
      </c>
      <c r="E53" s="99">
        <v>0.0</v>
      </c>
      <c r="F53" s="101">
        <v>0.37638888888888894</v>
      </c>
      <c r="G53" s="319">
        <v>0.38541666666666674</v>
      </c>
      <c r="H53" s="99">
        <v>1.0</v>
      </c>
      <c r="I53" s="101">
        <v>0.3861111111111112</v>
      </c>
      <c r="J53" s="101">
        <v>0.39444444444444454</v>
      </c>
      <c r="K53" s="99">
        <v>0.0</v>
      </c>
      <c r="L53" s="101">
        <v>0.39444444444444454</v>
      </c>
      <c r="M53" s="101">
        <v>0.39791666666666675</v>
      </c>
      <c r="N53" s="99">
        <v>2.0</v>
      </c>
      <c r="O53" s="101">
        <v>0.39930555555555564</v>
      </c>
      <c r="P53" s="101">
        <v>0.4069444444444445</v>
      </c>
      <c r="Q53" s="99">
        <v>1.0</v>
      </c>
      <c r="R53" s="101">
        <v>0.40763888888888894</v>
      </c>
      <c r="S53" s="101">
        <v>0.4180555555555556</v>
      </c>
      <c r="T53" s="99">
        <v>2.0</v>
      </c>
      <c r="U53" s="101">
        <v>0.4194444444444445</v>
      </c>
      <c r="V53" s="101">
        <v>0.4222222222222223</v>
      </c>
      <c r="W53" s="99">
        <v>0.0</v>
      </c>
      <c r="X53" s="101">
        <v>0.4222222222222223</v>
      </c>
      <c r="Y53" s="101">
        <v>0.4312500000000001</v>
      </c>
      <c r="Z53" s="99">
        <v>3.0</v>
      </c>
      <c r="AA53" s="319">
        <v>0.4333333333333334</v>
      </c>
      <c r="AB53" s="101">
        <v>0.4423611111111112</v>
      </c>
      <c r="AC53" s="99">
        <v>0.0</v>
      </c>
      <c r="AD53" s="101">
        <v>0.4423611111111112</v>
      </c>
      <c r="AE53" s="101">
        <v>0.45000000000000007</v>
      </c>
      <c r="AF53" s="99">
        <v>5.0</v>
      </c>
      <c r="AG53" s="101">
        <v>0.4534722222222223</v>
      </c>
      <c r="AH53" s="103">
        <v>124.00000000000004</v>
      </c>
      <c r="AI53" s="103">
        <v>14.0</v>
      </c>
      <c r="AJ53" s="104">
        <v>0.12727272727272723</v>
      </c>
      <c r="AK53" s="142">
        <v>30.000000000000135</v>
      </c>
      <c r="AL53" s="320"/>
      <c r="AM53" s="109">
        <v>4.000000000000043</v>
      </c>
    </row>
    <row r="54" ht="13.5" customHeight="1">
      <c r="A54" s="127"/>
      <c r="B54" s="318" t="s">
        <v>77</v>
      </c>
      <c r="C54" s="101">
        <v>0.38819444444444445</v>
      </c>
      <c r="D54" s="101">
        <v>0.39722222222222225</v>
      </c>
      <c r="E54" s="99">
        <v>0.0</v>
      </c>
      <c r="F54" s="101">
        <v>0.39722222222222225</v>
      </c>
      <c r="G54" s="319">
        <v>0.40625000000000006</v>
      </c>
      <c r="H54" s="324">
        <v>4.0</v>
      </c>
      <c r="I54" s="101">
        <v>0.4090277777777778</v>
      </c>
      <c r="J54" s="101">
        <v>0.4173611111111112</v>
      </c>
      <c r="K54" s="99">
        <v>0.0</v>
      </c>
      <c r="L54" s="101">
        <v>0.4173611111111112</v>
      </c>
      <c r="M54" s="101">
        <v>0.4208333333333334</v>
      </c>
      <c r="N54" s="99">
        <v>2.0</v>
      </c>
      <c r="O54" s="101">
        <v>0.4222222222222223</v>
      </c>
      <c r="P54" s="101">
        <v>0.42986111111111114</v>
      </c>
      <c r="Q54" s="99">
        <v>1.0</v>
      </c>
      <c r="R54" s="101">
        <v>0.4305555555555556</v>
      </c>
      <c r="S54" s="101">
        <v>0.44097222222222227</v>
      </c>
      <c r="T54" s="99">
        <v>2.0</v>
      </c>
      <c r="U54" s="101">
        <v>0.44236111111111115</v>
      </c>
      <c r="V54" s="101">
        <v>0.4451388888888889</v>
      </c>
      <c r="W54" s="99">
        <v>0.0</v>
      </c>
      <c r="X54" s="101">
        <v>0.4451388888888889</v>
      </c>
      <c r="Y54" s="101">
        <v>0.4541666666666667</v>
      </c>
      <c r="Z54" s="99">
        <v>3.0</v>
      </c>
      <c r="AA54" s="319">
        <v>0.45625000000000004</v>
      </c>
      <c r="AB54" s="101">
        <v>0.46527777777777785</v>
      </c>
      <c r="AC54" s="99">
        <v>0.0</v>
      </c>
      <c r="AD54" s="101">
        <v>0.46527777777777785</v>
      </c>
      <c r="AE54" s="101">
        <v>0.4729166666666667</v>
      </c>
      <c r="AF54" s="324">
        <v>5.0</v>
      </c>
      <c r="AG54" s="101">
        <v>0.4763888888888889</v>
      </c>
      <c r="AH54" s="103">
        <v>127.00000000000003</v>
      </c>
      <c r="AI54" s="103">
        <v>17.0</v>
      </c>
      <c r="AJ54" s="104">
        <v>0.1545454545454545</v>
      </c>
      <c r="AK54" s="142">
        <v>32.999999999999964</v>
      </c>
      <c r="AL54" s="320"/>
      <c r="AM54" s="109">
        <v>7.000000000000028</v>
      </c>
    </row>
    <row r="55" ht="13.5" customHeight="1">
      <c r="A55" s="127"/>
      <c r="B55" s="318" t="s">
        <v>77</v>
      </c>
      <c r="C55" s="101">
        <v>0.40902777777777777</v>
      </c>
      <c r="D55" s="101">
        <v>0.41805555555555557</v>
      </c>
      <c r="E55" s="99">
        <v>0.0</v>
      </c>
      <c r="F55" s="101">
        <v>0.41805555555555557</v>
      </c>
      <c r="G55" s="319">
        <v>0.42708333333333337</v>
      </c>
      <c r="H55" s="324">
        <v>4.0</v>
      </c>
      <c r="I55" s="101">
        <v>0.42986111111111114</v>
      </c>
      <c r="J55" s="101">
        <v>0.4381944444444445</v>
      </c>
      <c r="K55" s="99">
        <v>0.0</v>
      </c>
      <c r="L55" s="101">
        <v>0.4381944444444445</v>
      </c>
      <c r="M55" s="101">
        <v>0.4416666666666667</v>
      </c>
      <c r="N55" s="99">
        <v>2.0</v>
      </c>
      <c r="O55" s="101">
        <v>0.4430555555555556</v>
      </c>
      <c r="P55" s="101">
        <v>0.45069444444444445</v>
      </c>
      <c r="Q55" s="99">
        <v>1.0</v>
      </c>
      <c r="R55" s="101">
        <v>0.4513888888888889</v>
      </c>
      <c r="S55" s="101">
        <v>0.4618055555555556</v>
      </c>
      <c r="T55" s="99">
        <v>2.0</v>
      </c>
      <c r="U55" s="101">
        <v>0.46319444444444446</v>
      </c>
      <c r="V55" s="101">
        <v>0.46597222222222223</v>
      </c>
      <c r="W55" s="99">
        <v>0.0</v>
      </c>
      <c r="X55" s="101">
        <v>0.46597222222222223</v>
      </c>
      <c r="Y55" s="101">
        <v>0.47500000000000003</v>
      </c>
      <c r="Z55" s="99">
        <v>3.0</v>
      </c>
      <c r="AA55" s="319">
        <v>0.47708333333333336</v>
      </c>
      <c r="AB55" s="101">
        <v>0.48611111111111116</v>
      </c>
      <c r="AC55" s="99">
        <v>0.0</v>
      </c>
      <c r="AD55" s="101">
        <v>0.48611111111111116</v>
      </c>
      <c r="AE55" s="101">
        <v>0.49375</v>
      </c>
      <c r="AF55" s="324">
        <v>5.0</v>
      </c>
      <c r="AG55" s="101">
        <v>0.49722222222222223</v>
      </c>
      <c r="AH55" s="103">
        <v>127.00000000000003</v>
      </c>
      <c r="AI55" s="103">
        <v>17.0</v>
      </c>
      <c r="AJ55" s="104">
        <v>0.1545454545454545</v>
      </c>
      <c r="AK55" s="142">
        <v>29.99999999999997</v>
      </c>
      <c r="AL55" s="320"/>
      <c r="AM55" s="109">
        <v>7.000000000000028</v>
      </c>
    </row>
    <row r="56" ht="13.5" customHeight="1">
      <c r="A56" s="127"/>
      <c r="B56" s="318" t="s">
        <v>77</v>
      </c>
      <c r="C56" s="101">
        <v>0.4305555555555555</v>
      </c>
      <c r="D56" s="101">
        <v>0.4395833333333333</v>
      </c>
      <c r="E56" s="99">
        <v>0.0</v>
      </c>
      <c r="F56" s="101">
        <v>0.4395833333333333</v>
      </c>
      <c r="G56" s="319">
        <v>0.4486111111111111</v>
      </c>
      <c r="H56" s="324">
        <v>3.0</v>
      </c>
      <c r="I56" s="101">
        <v>0.45069444444444445</v>
      </c>
      <c r="J56" s="101">
        <v>0.4590277777777778</v>
      </c>
      <c r="K56" s="99">
        <v>0.0</v>
      </c>
      <c r="L56" s="101">
        <v>0.4590277777777778</v>
      </c>
      <c r="M56" s="101">
        <v>0.4625</v>
      </c>
      <c r="N56" s="99">
        <v>2.0</v>
      </c>
      <c r="O56" s="101">
        <v>0.4638888888888889</v>
      </c>
      <c r="P56" s="101">
        <v>0.47152777777777777</v>
      </c>
      <c r="Q56" s="99">
        <v>1.0</v>
      </c>
      <c r="R56" s="101">
        <v>0.4722222222222222</v>
      </c>
      <c r="S56" s="101">
        <v>0.4826388888888889</v>
      </c>
      <c r="T56" s="99">
        <v>2.0</v>
      </c>
      <c r="U56" s="101">
        <v>0.4840277777777778</v>
      </c>
      <c r="V56" s="101">
        <v>0.48680555555555555</v>
      </c>
      <c r="W56" s="99">
        <v>0.0</v>
      </c>
      <c r="X56" s="101">
        <v>0.48680555555555555</v>
      </c>
      <c r="Y56" s="101">
        <v>0.49583333333333335</v>
      </c>
      <c r="Z56" s="99">
        <v>3.0</v>
      </c>
      <c r="AA56" s="319">
        <v>0.4979166666666667</v>
      </c>
      <c r="AB56" s="101">
        <v>0.5069444444444444</v>
      </c>
      <c r="AC56" s="99">
        <v>0.0</v>
      </c>
      <c r="AD56" s="101">
        <v>0.5069444444444444</v>
      </c>
      <c r="AE56" s="101">
        <v>0.5145833333333333</v>
      </c>
      <c r="AF56" s="324">
        <v>5.0</v>
      </c>
      <c r="AG56" s="101">
        <v>0.5180555555555555</v>
      </c>
      <c r="AH56" s="103">
        <v>125.99999999999996</v>
      </c>
      <c r="AI56" s="103">
        <v>16.0</v>
      </c>
      <c r="AJ56" s="104">
        <v>0.1454545454545455</v>
      </c>
      <c r="AK56" s="142">
        <v>29.99999999999997</v>
      </c>
      <c r="AL56" s="320"/>
      <c r="AM56" s="109">
        <v>5.999999999999957</v>
      </c>
    </row>
    <row r="57" ht="13.5" customHeight="1">
      <c r="A57" s="127"/>
      <c r="B57" s="318" t="s">
        <v>78</v>
      </c>
      <c r="C57" s="101">
        <v>0.4534722222222223</v>
      </c>
      <c r="D57" s="101">
        <v>0.4625000000000001</v>
      </c>
      <c r="E57" s="99">
        <v>0.0</v>
      </c>
      <c r="F57" s="101">
        <v>0.4625000000000001</v>
      </c>
      <c r="G57" s="101">
        <v>0.4722222222222223</v>
      </c>
      <c r="H57" s="324">
        <v>5.0</v>
      </c>
      <c r="I57" s="101">
        <v>0.47569444444444453</v>
      </c>
      <c r="J57" s="101">
        <v>0.4840277777777779</v>
      </c>
      <c r="K57" s="99">
        <v>0.0</v>
      </c>
      <c r="L57" s="101">
        <v>0.4840277777777779</v>
      </c>
      <c r="M57" s="101">
        <v>0.4875000000000001</v>
      </c>
      <c r="N57" s="99">
        <v>4.0</v>
      </c>
      <c r="O57" s="325">
        <v>0.49027777777777787</v>
      </c>
      <c r="P57" s="101">
        <v>0.49791666666666673</v>
      </c>
      <c r="Q57" s="99">
        <v>4.0</v>
      </c>
      <c r="R57" s="101">
        <v>0.5006944444444446</v>
      </c>
      <c r="S57" s="101">
        <v>0.5118055555555556</v>
      </c>
      <c r="T57" s="99">
        <v>4.0</v>
      </c>
      <c r="U57" s="325">
        <v>0.5145833333333334</v>
      </c>
      <c r="V57" s="101">
        <v>0.5173611111111112</v>
      </c>
      <c r="W57" s="99">
        <v>0.0</v>
      </c>
      <c r="X57" s="101">
        <v>0.5173611111111112</v>
      </c>
      <c r="Y57" s="101">
        <v>0.5263888888888889</v>
      </c>
      <c r="Z57" s="99">
        <v>2.0</v>
      </c>
      <c r="AA57" s="101">
        <v>0.5277777777777778</v>
      </c>
      <c r="AB57" s="101">
        <v>0.5375</v>
      </c>
      <c r="AC57" s="99">
        <v>0.0</v>
      </c>
      <c r="AD57" s="101">
        <v>0.5375</v>
      </c>
      <c r="AE57" s="101">
        <v>0.5444444444444444</v>
      </c>
      <c r="AF57" s="326">
        <v>2.0</v>
      </c>
      <c r="AG57" s="101">
        <v>0.5458333333333333</v>
      </c>
      <c r="AH57" s="103">
        <v>132.99999999999986</v>
      </c>
      <c r="AI57" s="103">
        <v>21.0</v>
      </c>
      <c r="AJ57" s="104">
        <v>0.18750000000000025</v>
      </c>
      <c r="AK57" s="142">
        <v>44.000000000000085</v>
      </c>
      <c r="AL57" s="320"/>
      <c r="AM57" s="109">
        <v>12.999999999999858</v>
      </c>
    </row>
    <row r="58" ht="13.5" customHeight="1">
      <c r="A58" s="127"/>
      <c r="B58" s="318" t="s">
        <v>78</v>
      </c>
      <c r="C58" s="101">
        <v>0.4763888888888889</v>
      </c>
      <c r="D58" s="101">
        <v>0.4854166666666667</v>
      </c>
      <c r="E58" s="99">
        <v>0.0</v>
      </c>
      <c r="F58" s="101">
        <v>0.4854166666666667</v>
      </c>
      <c r="G58" s="101">
        <v>0.49513888888888896</v>
      </c>
      <c r="H58" s="99">
        <v>2.0</v>
      </c>
      <c r="I58" s="101">
        <v>0.49652777777777785</v>
      </c>
      <c r="J58" s="101">
        <v>0.5048611111111112</v>
      </c>
      <c r="K58" s="99">
        <v>0.0</v>
      </c>
      <c r="L58" s="101">
        <v>0.5048611111111112</v>
      </c>
      <c r="M58" s="101">
        <v>0.5083333333333334</v>
      </c>
      <c r="N58" s="99">
        <v>4.0</v>
      </c>
      <c r="O58" s="325">
        <v>0.5111111111111112</v>
      </c>
      <c r="P58" s="101">
        <v>0.51875</v>
      </c>
      <c r="Q58" s="99">
        <v>4.0</v>
      </c>
      <c r="R58" s="101">
        <v>0.5215277777777778</v>
      </c>
      <c r="S58" s="101">
        <v>0.5326388888888889</v>
      </c>
      <c r="T58" s="99">
        <v>4.0</v>
      </c>
      <c r="U58" s="325">
        <v>0.5354166666666667</v>
      </c>
      <c r="V58" s="101">
        <v>0.5381944444444444</v>
      </c>
      <c r="W58" s="99">
        <v>0.0</v>
      </c>
      <c r="X58" s="101">
        <v>0.5381944444444444</v>
      </c>
      <c r="Y58" s="101">
        <v>0.5472222222222222</v>
      </c>
      <c r="Z58" s="99">
        <v>2.0</v>
      </c>
      <c r="AA58" s="101">
        <v>0.548611111111111</v>
      </c>
      <c r="AB58" s="101">
        <v>0.5583333333333332</v>
      </c>
      <c r="AC58" s="99">
        <v>0.0</v>
      </c>
      <c r="AD58" s="101">
        <v>0.5583333333333332</v>
      </c>
      <c r="AE58" s="101">
        <v>0.5652777777777777</v>
      </c>
      <c r="AF58" s="326">
        <v>2.0</v>
      </c>
      <c r="AG58" s="327">
        <v>0.5666666666666665</v>
      </c>
      <c r="AH58" s="103">
        <v>129.99999999999977</v>
      </c>
      <c r="AI58" s="103">
        <v>18.0</v>
      </c>
      <c r="AJ58" s="104">
        <v>0.16071428571428603</v>
      </c>
      <c r="AK58" s="142">
        <v>29.999999999999893</v>
      </c>
      <c r="AL58" s="320"/>
      <c r="AM58" s="109">
        <v>9.999999999999773</v>
      </c>
    </row>
    <row r="59" ht="13.5" customHeight="1">
      <c r="A59" s="127"/>
      <c r="B59" s="318" t="s">
        <v>78</v>
      </c>
      <c r="C59" s="101">
        <v>0.49722222222222223</v>
      </c>
      <c r="D59" s="101">
        <v>0.50625</v>
      </c>
      <c r="E59" s="99">
        <v>0.0</v>
      </c>
      <c r="F59" s="101">
        <v>0.50625</v>
      </c>
      <c r="G59" s="101">
        <v>0.5159722222222222</v>
      </c>
      <c r="H59" s="99">
        <v>2.0</v>
      </c>
      <c r="I59" s="101">
        <v>0.517361111111111</v>
      </c>
      <c r="J59" s="101">
        <v>0.5256944444444444</v>
      </c>
      <c r="K59" s="99">
        <v>0.0</v>
      </c>
      <c r="L59" s="101">
        <v>0.5256944444444444</v>
      </c>
      <c r="M59" s="101">
        <v>0.5291666666666666</v>
      </c>
      <c r="N59" s="99">
        <v>4.0</v>
      </c>
      <c r="O59" s="325">
        <v>0.5319444444444443</v>
      </c>
      <c r="P59" s="101">
        <v>0.5395833333333332</v>
      </c>
      <c r="Q59" s="99">
        <v>4.0</v>
      </c>
      <c r="R59" s="101">
        <v>0.542361111111111</v>
      </c>
      <c r="S59" s="101">
        <v>0.553472222222222</v>
      </c>
      <c r="T59" s="99">
        <v>4.0</v>
      </c>
      <c r="U59" s="325">
        <v>0.5562499999999998</v>
      </c>
      <c r="V59" s="101">
        <v>0.5590277777777776</v>
      </c>
      <c r="W59" s="99">
        <v>0.0</v>
      </c>
      <c r="X59" s="101">
        <v>0.5590277777777776</v>
      </c>
      <c r="Y59" s="101">
        <v>0.5680555555555553</v>
      </c>
      <c r="Z59" s="99">
        <v>2.0</v>
      </c>
      <c r="AA59" s="101">
        <v>0.5694444444444442</v>
      </c>
      <c r="AB59" s="101">
        <v>0.5791666666666664</v>
      </c>
      <c r="AC59" s="99">
        <v>0.0</v>
      </c>
      <c r="AD59" s="101">
        <v>0.5791666666666664</v>
      </c>
      <c r="AE59" s="101">
        <v>0.5861111111111108</v>
      </c>
      <c r="AF59" s="326">
        <v>2.0</v>
      </c>
      <c r="AG59" s="101">
        <v>0.5874999999999997</v>
      </c>
      <c r="AH59" s="103">
        <v>129.99999999999955</v>
      </c>
      <c r="AI59" s="103">
        <v>18.0</v>
      </c>
      <c r="AJ59" s="104">
        <v>0.16071428571428636</v>
      </c>
      <c r="AK59" s="142">
        <v>29.999999999999734</v>
      </c>
      <c r="AL59" s="320"/>
      <c r="AM59" s="109">
        <v>9.999999999999545</v>
      </c>
      <c r="AN59" s="39">
        <v>120.0</v>
      </c>
      <c r="AO59" s="39" t="s">
        <v>186</v>
      </c>
    </row>
    <row r="60" ht="13.5" customHeight="1">
      <c r="A60" s="127"/>
      <c r="B60" s="318" t="s">
        <v>78</v>
      </c>
      <c r="C60" s="101">
        <v>0.5180555555555555</v>
      </c>
      <c r="D60" s="101">
        <v>0.5270833333333332</v>
      </c>
      <c r="E60" s="99">
        <v>0.0</v>
      </c>
      <c r="F60" s="101">
        <v>0.5270833333333332</v>
      </c>
      <c r="G60" s="101">
        <v>0.5368055555555554</v>
      </c>
      <c r="H60" s="99">
        <v>2.0</v>
      </c>
      <c r="I60" s="101">
        <v>0.5381944444444443</v>
      </c>
      <c r="J60" s="101">
        <v>0.5465277777777776</v>
      </c>
      <c r="K60" s="99">
        <v>0.0</v>
      </c>
      <c r="L60" s="101">
        <v>0.5465277777777776</v>
      </c>
      <c r="M60" s="101">
        <v>0.5499999999999998</v>
      </c>
      <c r="N60" s="99">
        <v>4.0</v>
      </c>
      <c r="O60" s="325">
        <v>0.5527777777777776</v>
      </c>
      <c r="P60" s="101">
        <v>0.5604166666666665</v>
      </c>
      <c r="Q60" s="99">
        <v>4.0</v>
      </c>
      <c r="R60" s="101">
        <v>0.5631944444444442</v>
      </c>
      <c r="S60" s="101">
        <v>0.5743055555555553</v>
      </c>
      <c r="T60" s="99">
        <v>4.0</v>
      </c>
      <c r="U60" s="325">
        <v>0.5770833333333331</v>
      </c>
      <c r="V60" s="101">
        <v>0.5798611111111108</v>
      </c>
      <c r="W60" s="99">
        <v>0.0</v>
      </c>
      <c r="X60" s="101">
        <v>0.5798611111111108</v>
      </c>
      <c r="Y60" s="101">
        <v>0.5888888888888886</v>
      </c>
      <c r="Z60" s="99">
        <v>2.0</v>
      </c>
      <c r="AA60" s="101">
        <v>0.5902777777777775</v>
      </c>
      <c r="AB60" s="101">
        <v>0.5999999999999996</v>
      </c>
      <c r="AC60" s="99">
        <v>0.0</v>
      </c>
      <c r="AD60" s="101">
        <v>0.5999999999999996</v>
      </c>
      <c r="AE60" s="101">
        <v>0.6069444444444441</v>
      </c>
      <c r="AF60" s="326">
        <v>2.0</v>
      </c>
      <c r="AG60" s="101">
        <v>0.608333333333333</v>
      </c>
      <c r="AH60" s="103">
        <v>129.99999999999955</v>
      </c>
      <c r="AI60" s="103">
        <v>18.0</v>
      </c>
      <c r="AJ60" s="104">
        <v>0.16071428571428636</v>
      </c>
      <c r="AK60" s="142">
        <v>29.999999999999893</v>
      </c>
      <c r="AL60" s="320"/>
      <c r="AM60" s="109">
        <v>9.999999999999545</v>
      </c>
      <c r="AN60" s="109">
        <v>9.999999999999545</v>
      </c>
      <c r="AO60" s="109">
        <v>9.999999999999545</v>
      </c>
    </row>
    <row r="61" ht="13.5" customHeight="1">
      <c r="A61" s="127"/>
      <c r="B61" s="318" t="s">
        <v>78</v>
      </c>
      <c r="C61" s="101">
        <v>0.5458333333333333</v>
      </c>
      <c r="D61" s="101">
        <v>0.554861111111111</v>
      </c>
      <c r="E61" s="99">
        <v>0.0</v>
      </c>
      <c r="F61" s="101">
        <v>0.554861111111111</v>
      </c>
      <c r="G61" s="101">
        <v>0.5645833333333332</v>
      </c>
      <c r="H61" s="99">
        <v>2.0</v>
      </c>
      <c r="I61" s="101">
        <v>0.5659722222222221</v>
      </c>
      <c r="J61" s="101">
        <v>0.5743055555555554</v>
      </c>
      <c r="K61" s="99">
        <v>0.0</v>
      </c>
      <c r="L61" s="101">
        <v>0.5743055555555554</v>
      </c>
      <c r="M61" s="101">
        <v>0.5777777777777776</v>
      </c>
      <c r="N61" s="99">
        <v>4.0</v>
      </c>
      <c r="O61" s="101">
        <v>0.5805555555555554</v>
      </c>
      <c r="P61" s="101">
        <v>0.5881944444444442</v>
      </c>
      <c r="Q61" s="99">
        <v>3.0</v>
      </c>
      <c r="R61" s="101">
        <v>0.5902777777777776</v>
      </c>
      <c r="S61" s="101">
        <v>0.6013888888888886</v>
      </c>
      <c r="T61" s="99">
        <v>4.0</v>
      </c>
      <c r="U61" s="101">
        <v>0.6041666666666664</v>
      </c>
      <c r="V61" s="101">
        <v>0.6069444444444442</v>
      </c>
      <c r="W61" s="99">
        <v>0.0</v>
      </c>
      <c r="X61" s="101">
        <v>0.6069444444444442</v>
      </c>
      <c r="Y61" s="101">
        <v>0.6159722222222219</v>
      </c>
      <c r="Z61" s="99">
        <v>2.0</v>
      </c>
      <c r="AA61" s="319">
        <v>0.6173611111111108</v>
      </c>
      <c r="AB61" s="101">
        <v>0.627083333333333</v>
      </c>
      <c r="AC61" s="99">
        <v>0.0</v>
      </c>
      <c r="AD61" s="101">
        <v>0.627083333333333</v>
      </c>
      <c r="AE61" s="101">
        <v>0.6340277777777774</v>
      </c>
      <c r="AF61" s="326">
        <v>3.0</v>
      </c>
      <c r="AG61" s="101">
        <v>0.6361111111111107</v>
      </c>
      <c r="AH61" s="103">
        <v>129.99999999999955</v>
      </c>
      <c r="AI61" s="103">
        <v>18.0</v>
      </c>
      <c r="AJ61" s="104">
        <v>0.16071428571428636</v>
      </c>
      <c r="AK61" s="142">
        <v>39.00000000000002</v>
      </c>
      <c r="AL61" s="320"/>
      <c r="AM61" s="109">
        <v>9.999999999999545</v>
      </c>
      <c r="AN61" s="109">
        <v>9.999999999999545</v>
      </c>
    </row>
    <row r="62" ht="13.5" customHeight="1">
      <c r="A62" s="127"/>
      <c r="B62" s="318" t="s">
        <v>78</v>
      </c>
      <c r="C62" s="101">
        <v>0.5666666666666665</v>
      </c>
      <c r="D62" s="101">
        <v>0.5756944444444443</v>
      </c>
      <c r="E62" s="99">
        <v>0.0</v>
      </c>
      <c r="F62" s="101">
        <v>0.5756944444444443</v>
      </c>
      <c r="G62" s="101">
        <v>0.5854166666666665</v>
      </c>
      <c r="H62" s="99">
        <v>2.0</v>
      </c>
      <c r="I62" s="101">
        <v>0.5868055555555554</v>
      </c>
      <c r="J62" s="101">
        <v>0.5951388888888887</v>
      </c>
      <c r="K62" s="99">
        <v>0.0</v>
      </c>
      <c r="L62" s="101">
        <v>0.5951388888888887</v>
      </c>
      <c r="M62" s="101">
        <v>0.5986111111111109</v>
      </c>
      <c r="N62" s="99">
        <v>4.0</v>
      </c>
      <c r="O62" s="101">
        <v>0.6013888888888886</v>
      </c>
      <c r="P62" s="101">
        <v>0.6090277777777775</v>
      </c>
      <c r="Q62" s="99">
        <v>3.0</v>
      </c>
      <c r="R62" s="101">
        <v>0.6111111111111108</v>
      </c>
      <c r="S62" s="101">
        <v>0.6222222222222219</v>
      </c>
      <c r="T62" s="99">
        <v>4.0</v>
      </c>
      <c r="U62" s="101">
        <v>0.6249999999999997</v>
      </c>
      <c r="V62" s="101">
        <v>0.6277777777777774</v>
      </c>
      <c r="W62" s="99">
        <v>0.0</v>
      </c>
      <c r="X62" s="101">
        <v>0.6277777777777774</v>
      </c>
      <c r="Y62" s="101">
        <v>0.6368055555555552</v>
      </c>
      <c r="Z62" s="99">
        <v>2.0</v>
      </c>
      <c r="AA62" s="319">
        <v>0.6381944444444441</v>
      </c>
      <c r="AB62" s="101">
        <v>0.6479166666666663</v>
      </c>
      <c r="AC62" s="99">
        <v>0.0</v>
      </c>
      <c r="AD62" s="101">
        <v>0.6479166666666663</v>
      </c>
      <c r="AE62" s="101">
        <v>0.6548611111111107</v>
      </c>
      <c r="AF62" s="99">
        <v>3.0</v>
      </c>
      <c r="AG62" s="101">
        <v>0.656944444444444</v>
      </c>
      <c r="AH62" s="103">
        <v>129.99999999999955</v>
      </c>
      <c r="AI62" s="103">
        <v>18.0</v>
      </c>
      <c r="AJ62" s="104">
        <v>0.16071428571428636</v>
      </c>
      <c r="AK62" s="142">
        <v>29.999999999999893</v>
      </c>
      <c r="AL62" s="320"/>
      <c r="AM62" s="109">
        <v>9.999999999999545</v>
      </c>
      <c r="AN62" s="109">
        <v>9.999999999999545</v>
      </c>
    </row>
    <row r="63" ht="13.5" customHeight="1">
      <c r="A63" s="127"/>
      <c r="B63" s="318" t="s">
        <v>78</v>
      </c>
      <c r="C63" s="101">
        <v>0.5874999999999997</v>
      </c>
      <c r="D63" s="101">
        <v>0.5965277777777774</v>
      </c>
      <c r="E63" s="99">
        <v>0.0</v>
      </c>
      <c r="F63" s="101">
        <v>0.5965277777777774</v>
      </c>
      <c r="G63" s="101">
        <v>0.6062499999999996</v>
      </c>
      <c r="H63" s="99">
        <v>2.0</v>
      </c>
      <c r="I63" s="101">
        <v>0.6076388888888885</v>
      </c>
      <c r="J63" s="101">
        <v>0.6159722222222218</v>
      </c>
      <c r="K63" s="99">
        <v>0.0</v>
      </c>
      <c r="L63" s="101">
        <v>0.6159722222222218</v>
      </c>
      <c r="M63" s="101">
        <v>0.619444444444444</v>
      </c>
      <c r="N63" s="99">
        <v>4.0</v>
      </c>
      <c r="O63" s="101">
        <v>0.6222222222222218</v>
      </c>
      <c r="P63" s="101">
        <v>0.6298611111111106</v>
      </c>
      <c r="Q63" s="99">
        <v>3.0</v>
      </c>
      <c r="R63" s="101">
        <v>0.631944444444444</v>
      </c>
      <c r="S63" s="101">
        <v>0.643055555555555</v>
      </c>
      <c r="T63" s="99">
        <v>4.0</v>
      </c>
      <c r="U63" s="101">
        <v>0.6458333333333328</v>
      </c>
      <c r="V63" s="101">
        <v>0.6486111111111106</v>
      </c>
      <c r="W63" s="99">
        <v>0.0</v>
      </c>
      <c r="X63" s="101">
        <v>0.6486111111111106</v>
      </c>
      <c r="Y63" s="101">
        <v>0.6576388888888883</v>
      </c>
      <c r="Z63" s="99">
        <v>2.0</v>
      </c>
      <c r="AA63" s="319">
        <v>0.6590277777777772</v>
      </c>
      <c r="AB63" s="101">
        <v>0.6687499999999994</v>
      </c>
      <c r="AC63" s="99">
        <v>0.0</v>
      </c>
      <c r="AD63" s="101">
        <v>0.6687499999999994</v>
      </c>
      <c r="AE63" s="101">
        <v>0.6756944444444438</v>
      </c>
      <c r="AF63" s="99">
        <v>3.0</v>
      </c>
      <c r="AG63" s="101">
        <v>0.6777777777777771</v>
      </c>
      <c r="AH63" s="103">
        <v>129.99999999999955</v>
      </c>
      <c r="AI63" s="103">
        <v>18.0</v>
      </c>
      <c r="AJ63" s="104">
        <v>0.16071428571428636</v>
      </c>
      <c r="AK63" s="142">
        <v>29.999999999999734</v>
      </c>
      <c r="AL63" s="320"/>
      <c r="AM63" s="109">
        <v>9.999999999999545</v>
      </c>
      <c r="AN63" s="109">
        <v>9.999999999999545</v>
      </c>
    </row>
    <row r="64" ht="13.5" customHeight="1">
      <c r="A64" s="127"/>
      <c r="B64" s="318" t="s">
        <v>78</v>
      </c>
      <c r="C64" s="101">
        <v>0.608333333333333</v>
      </c>
      <c r="D64" s="101">
        <v>0.6173611111111107</v>
      </c>
      <c r="E64" s="99">
        <v>0.0</v>
      </c>
      <c r="F64" s="101">
        <v>0.6173611111111107</v>
      </c>
      <c r="G64" s="101">
        <v>0.6270833333333329</v>
      </c>
      <c r="H64" s="99">
        <v>2.0</v>
      </c>
      <c r="I64" s="101">
        <v>0.6284722222222218</v>
      </c>
      <c r="J64" s="101">
        <v>0.6368055555555551</v>
      </c>
      <c r="K64" s="99">
        <v>0.0</v>
      </c>
      <c r="L64" s="101">
        <v>0.6368055555555551</v>
      </c>
      <c r="M64" s="101">
        <v>0.6402777777777773</v>
      </c>
      <c r="N64" s="99">
        <v>4.0</v>
      </c>
      <c r="O64" s="101">
        <v>0.643055555555555</v>
      </c>
      <c r="P64" s="101">
        <v>0.6506944444444439</v>
      </c>
      <c r="Q64" s="99">
        <v>3.0</v>
      </c>
      <c r="R64" s="101">
        <v>0.6527777777777772</v>
      </c>
      <c r="S64" s="101">
        <v>0.6638888888888883</v>
      </c>
      <c r="T64" s="99">
        <v>4.0</v>
      </c>
      <c r="U64" s="101">
        <v>0.6666666666666661</v>
      </c>
      <c r="V64" s="101">
        <v>0.6694444444444438</v>
      </c>
      <c r="W64" s="99">
        <v>0.0</v>
      </c>
      <c r="X64" s="101">
        <v>0.6694444444444438</v>
      </c>
      <c r="Y64" s="101">
        <v>0.6784722222222216</v>
      </c>
      <c r="Z64" s="99">
        <v>2.0</v>
      </c>
      <c r="AA64" s="319">
        <v>0.6798611111111105</v>
      </c>
      <c r="AB64" s="101">
        <v>0.6895833333333327</v>
      </c>
      <c r="AC64" s="99">
        <v>0.0</v>
      </c>
      <c r="AD64" s="101">
        <v>0.6895833333333327</v>
      </c>
      <c r="AE64" s="101">
        <v>0.6965277777777771</v>
      </c>
      <c r="AF64" s="99">
        <v>3.0</v>
      </c>
      <c r="AG64" s="101">
        <v>0.6986111111111104</v>
      </c>
      <c r="AH64" s="103">
        <v>129.99999999999955</v>
      </c>
      <c r="AI64" s="103">
        <v>18.0</v>
      </c>
      <c r="AJ64" s="104">
        <v>0.16071428571428636</v>
      </c>
      <c r="AK64" s="142">
        <v>29.999999999999893</v>
      </c>
      <c r="AL64" s="320"/>
      <c r="AM64" s="109">
        <v>9.999999999999545</v>
      </c>
      <c r="AN64" s="109">
        <v>9.999999999999545</v>
      </c>
      <c r="AO64" s="39">
        <v>9.999999999999545</v>
      </c>
    </row>
    <row r="65" ht="13.5" customHeight="1">
      <c r="A65" s="127"/>
      <c r="B65" s="318" t="s">
        <v>78</v>
      </c>
      <c r="C65" s="101">
        <v>0.6361111111111107</v>
      </c>
      <c r="D65" s="101">
        <v>0.6451388888888885</v>
      </c>
      <c r="E65" s="99">
        <v>0.0</v>
      </c>
      <c r="F65" s="101">
        <v>0.6451388888888885</v>
      </c>
      <c r="G65" s="319">
        <v>0.6548611111111107</v>
      </c>
      <c r="H65" s="99">
        <v>2.0</v>
      </c>
      <c r="I65" s="101">
        <v>0.6562499999999996</v>
      </c>
      <c r="J65" s="101">
        <v>0.6645833333333329</v>
      </c>
      <c r="K65" s="99">
        <v>0.0</v>
      </c>
      <c r="L65" s="101">
        <v>0.6645833333333329</v>
      </c>
      <c r="M65" s="101">
        <v>0.6680555555555551</v>
      </c>
      <c r="N65" s="99">
        <v>4.0</v>
      </c>
      <c r="O65" s="101">
        <v>0.6708333333333328</v>
      </c>
      <c r="P65" s="101">
        <v>0.6784722222222217</v>
      </c>
      <c r="Q65" s="99">
        <v>3.0</v>
      </c>
      <c r="R65" s="101">
        <v>0.680555555555555</v>
      </c>
      <c r="S65" s="101">
        <v>0.6916666666666661</v>
      </c>
      <c r="T65" s="99">
        <v>4.0</v>
      </c>
      <c r="U65" s="101">
        <v>0.6944444444444439</v>
      </c>
      <c r="V65" s="101">
        <v>0.6972222222222216</v>
      </c>
      <c r="W65" s="99">
        <v>0.0</v>
      </c>
      <c r="X65" s="101">
        <v>0.6972222222222216</v>
      </c>
      <c r="Y65" s="101">
        <v>0.7062499999999994</v>
      </c>
      <c r="Z65" s="99">
        <v>2.0</v>
      </c>
      <c r="AA65" s="101">
        <v>0.7076388888888883</v>
      </c>
      <c r="AB65" s="101">
        <v>0.7173611111111104</v>
      </c>
      <c r="AC65" s="99">
        <v>0.0</v>
      </c>
      <c r="AD65" s="101">
        <v>0.7173611111111104</v>
      </c>
      <c r="AE65" s="101">
        <v>0.7243055555555549</v>
      </c>
      <c r="AF65" s="326">
        <v>6.0</v>
      </c>
      <c r="AG65" s="101">
        <v>0.7284722222222215</v>
      </c>
      <c r="AH65" s="103">
        <v>132.99999999999952</v>
      </c>
      <c r="AI65" s="103">
        <v>21.0</v>
      </c>
      <c r="AJ65" s="104">
        <v>0.1875000000000008</v>
      </c>
      <c r="AK65" s="142">
        <v>40.000000000000014</v>
      </c>
      <c r="AL65" s="320"/>
      <c r="AM65" s="109">
        <v>12.999999999999517</v>
      </c>
      <c r="AN65" s="109">
        <v>12.999999999999517</v>
      </c>
    </row>
    <row r="66" ht="13.5" customHeight="1">
      <c r="A66" s="127"/>
      <c r="B66" s="318" t="s">
        <v>78</v>
      </c>
      <c r="C66" s="101">
        <v>0.656944444444444</v>
      </c>
      <c r="D66" s="101">
        <v>0.6659722222222217</v>
      </c>
      <c r="E66" s="99">
        <v>0.0</v>
      </c>
      <c r="F66" s="101">
        <v>0.6659722222222217</v>
      </c>
      <c r="G66" s="319">
        <v>0.6756944444444439</v>
      </c>
      <c r="H66" s="99">
        <v>2.0</v>
      </c>
      <c r="I66" s="101">
        <v>0.6770833333333328</v>
      </c>
      <c r="J66" s="101">
        <v>0.6854166666666661</v>
      </c>
      <c r="K66" s="99">
        <v>0.0</v>
      </c>
      <c r="L66" s="101">
        <v>0.6854166666666661</v>
      </c>
      <c r="M66" s="101">
        <v>0.6888888888888883</v>
      </c>
      <c r="N66" s="99">
        <v>4.0</v>
      </c>
      <c r="O66" s="101">
        <v>0.6916666666666661</v>
      </c>
      <c r="P66" s="101">
        <v>0.699305555555555</v>
      </c>
      <c r="Q66" s="99">
        <v>3.0</v>
      </c>
      <c r="R66" s="101">
        <v>0.7013888888888883</v>
      </c>
      <c r="S66" s="101">
        <v>0.7124999999999994</v>
      </c>
      <c r="T66" s="99">
        <v>4.0</v>
      </c>
      <c r="U66" s="101">
        <v>0.7152777777777771</v>
      </c>
      <c r="V66" s="101">
        <v>0.7180555555555549</v>
      </c>
      <c r="W66" s="99">
        <v>0.0</v>
      </c>
      <c r="X66" s="101">
        <v>0.7180555555555549</v>
      </c>
      <c r="Y66" s="101">
        <v>0.7270833333333326</v>
      </c>
      <c r="Z66" s="99">
        <v>2.0</v>
      </c>
      <c r="AA66" s="101">
        <v>0.7284722222222215</v>
      </c>
      <c r="AB66" s="101">
        <v>0.7381944444444437</v>
      </c>
      <c r="AC66" s="99">
        <v>0.0</v>
      </c>
      <c r="AD66" s="101">
        <v>0.7381944444444437</v>
      </c>
      <c r="AE66" s="101">
        <v>0.7451388888888881</v>
      </c>
      <c r="AF66" s="326">
        <v>6.0</v>
      </c>
      <c r="AG66" s="101">
        <v>0.7493055555555548</v>
      </c>
      <c r="AH66" s="103">
        <v>132.99999999999952</v>
      </c>
      <c r="AI66" s="103">
        <v>21.0</v>
      </c>
      <c r="AJ66" s="104">
        <v>0.1875000000000008</v>
      </c>
      <c r="AK66" s="142">
        <v>29.999999999999893</v>
      </c>
      <c r="AL66" s="320"/>
      <c r="AM66" s="109">
        <v>12.999999999999517</v>
      </c>
      <c r="AN66" s="109">
        <v>12.999999999999517</v>
      </c>
    </row>
    <row r="67" ht="13.5" customHeight="1">
      <c r="A67" s="127"/>
      <c r="B67" s="318" t="s">
        <v>78</v>
      </c>
      <c r="C67" s="101">
        <v>0.6777777777777771</v>
      </c>
      <c r="D67" s="101">
        <v>0.6868055555555549</v>
      </c>
      <c r="E67" s="99">
        <v>0.0</v>
      </c>
      <c r="F67" s="101">
        <v>0.6868055555555549</v>
      </c>
      <c r="G67" s="319">
        <v>0.6965277777777771</v>
      </c>
      <c r="H67" s="99">
        <v>2.0</v>
      </c>
      <c r="I67" s="101">
        <v>0.697916666666666</v>
      </c>
      <c r="J67" s="101">
        <v>0.7062499999999993</v>
      </c>
      <c r="K67" s="99">
        <v>0.0</v>
      </c>
      <c r="L67" s="101">
        <v>0.7062499999999993</v>
      </c>
      <c r="M67" s="101">
        <v>0.7097222222222215</v>
      </c>
      <c r="N67" s="99">
        <v>4.0</v>
      </c>
      <c r="O67" s="101">
        <v>0.7124999999999992</v>
      </c>
      <c r="P67" s="101">
        <v>0.7201388888888881</v>
      </c>
      <c r="Q67" s="99">
        <v>3.0</v>
      </c>
      <c r="R67" s="101">
        <v>0.7222222222222214</v>
      </c>
      <c r="S67" s="101">
        <v>0.7333333333333325</v>
      </c>
      <c r="T67" s="99">
        <v>4.0</v>
      </c>
      <c r="U67" s="101">
        <v>0.7361111111111103</v>
      </c>
      <c r="V67" s="101">
        <v>0.738888888888888</v>
      </c>
      <c r="W67" s="99">
        <v>0.0</v>
      </c>
      <c r="X67" s="101">
        <v>0.738888888888888</v>
      </c>
      <c r="Y67" s="101">
        <v>0.7479166666666658</v>
      </c>
      <c r="Z67" s="99">
        <v>2.0</v>
      </c>
      <c r="AA67" s="101">
        <v>0.7493055555555547</v>
      </c>
      <c r="AB67" s="101">
        <v>0.7590277777777769</v>
      </c>
      <c r="AC67" s="99">
        <v>0.0</v>
      </c>
      <c r="AD67" s="101">
        <v>0.7590277777777769</v>
      </c>
      <c r="AE67" s="101">
        <v>0.7659722222222213</v>
      </c>
      <c r="AF67" s="326">
        <v>6.0</v>
      </c>
      <c r="AG67" s="101">
        <v>0.7701388888888879</v>
      </c>
      <c r="AH67" s="103">
        <v>132.99999999999952</v>
      </c>
      <c r="AI67" s="103">
        <v>21.0</v>
      </c>
      <c r="AJ67" s="104">
        <v>0.1875000000000008</v>
      </c>
      <c r="AK67" s="142">
        <v>29.999999999999734</v>
      </c>
      <c r="AL67" s="320"/>
      <c r="AM67" s="109">
        <v>12.999999999999517</v>
      </c>
      <c r="AN67" s="109">
        <v>12.999999999999517</v>
      </c>
    </row>
    <row r="68" ht="13.5" customHeight="1">
      <c r="A68" s="127"/>
      <c r="B68" s="318" t="s">
        <v>78</v>
      </c>
      <c r="C68" s="101">
        <v>0.6986111111111104</v>
      </c>
      <c r="D68" s="101">
        <v>0.7076388888888882</v>
      </c>
      <c r="E68" s="99">
        <v>0.0</v>
      </c>
      <c r="F68" s="101">
        <v>0.7076388888888882</v>
      </c>
      <c r="G68" s="319">
        <v>0.7173611111111103</v>
      </c>
      <c r="H68" s="99">
        <v>2.0</v>
      </c>
      <c r="I68" s="101">
        <v>0.7187499999999992</v>
      </c>
      <c r="J68" s="101">
        <v>0.7270833333333325</v>
      </c>
      <c r="K68" s="99">
        <v>0.0</v>
      </c>
      <c r="L68" s="101">
        <v>0.7270833333333325</v>
      </c>
      <c r="M68" s="101">
        <v>0.7305555555555547</v>
      </c>
      <c r="N68" s="99">
        <v>4.0</v>
      </c>
      <c r="O68" s="101">
        <v>0.7333333333333325</v>
      </c>
      <c r="P68" s="101">
        <v>0.7409722222222214</v>
      </c>
      <c r="Q68" s="99">
        <v>3.0</v>
      </c>
      <c r="R68" s="101">
        <v>0.7430555555555547</v>
      </c>
      <c r="S68" s="101">
        <v>0.7541666666666658</v>
      </c>
      <c r="T68" s="99">
        <v>4.0</v>
      </c>
      <c r="U68" s="101">
        <v>0.7569444444444435</v>
      </c>
      <c r="V68" s="101">
        <v>0.7597222222222213</v>
      </c>
      <c r="W68" s="99">
        <v>0.0</v>
      </c>
      <c r="X68" s="101">
        <v>0.7597222222222213</v>
      </c>
      <c r="Y68" s="101">
        <v>0.768749999999999</v>
      </c>
      <c r="Z68" s="99">
        <v>2.0</v>
      </c>
      <c r="AA68" s="101">
        <v>0.7701388888888879</v>
      </c>
      <c r="AB68" s="101">
        <v>0.7798611111111101</v>
      </c>
      <c r="AC68" s="99">
        <v>0.0</v>
      </c>
      <c r="AD68" s="101">
        <v>0.7798611111111101</v>
      </c>
      <c r="AE68" s="101">
        <v>0.7868055555555545</v>
      </c>
      <c r="AF68" s="326">
        <v>6.0</v>
      </c>
      <c r="AG68" s="101">
        <v>0.7909722222222212</v>
      </c>
      <c r="AH68" s="103">
        <v>132.99999999999952</v>
      </c>
      <c r="AI68" s="103">
        <v>21.0</v>
      </c>
      <c r="AJ68" s="104">
        <v>0.1875000000000008</v>
      </c>
      <c r="AK68" s="142">
        <v>29.999999999999893</v>
      </c>
      <c r="AL68" s="320"/>
      <c r="AM68" s="109">
        <v>12.999999999999517</v>
      </c>
      <c r="AN68" s="109">
        <v>12.999999999999517</v>
      </c>
      <c r="AO68" s="39">
        <v>12.999999999999517</v>
      </c>
    </row>
    <row r="69" ht="13.5" customHeight="1">
      <c r="A69" s="127"/>
      <c r="B69" s="318" t="s">
        <v>79</v>
      </c>
      <c r="C69" s="101">
        <v>0.7284722222222215</v>
      </c>
      <c r="D69" s="101">
        <v>0.7368055555555548</v>
      </c>
      <c r="E69" s="99">
        <v>0.0</v>
      </c>
      <c r="F69" s="101">
        <v>0.7368055555555548</v>
      </c>
      <c r="G69" s="101">
        <v>0.7458333333333326</v>
      </c>
      <c r="H69" s="99">
        <v>3.0</v>
      </c>
      <c r="I69" s="101">
        <v>0.7479166666666659</v>
      </c>
      <c r="J69" s="101">
        <v>0.7555555555555548</v>
      </c>
      <c r="K69" s="99">
        <v>0.0</v>
      </c>
      <c r="L69" s="101">
        <v>0.7555555555555548</v>
      </c>
      <c r="M69" s="101">
        <v>0.7583333333333325</v>
      </c>
      <c r="N69" s="99">
        <v>4.0</v>
      </c>
      <c r="O69" s="325">
        <v>0.7611111111111103</v>
      </c>
      <c r="P69" s="101">
        <v>0.7687499999999992</v>
      </c>
      <c r="Q69" s="326">
        <v>5.0</v>
      </c>
      <c r="R69" s="101">
        <v>0.7722222222222214</v>
      </c>
      <c r="S69" s="101">
        <v>0.7819444444444436</v>
      </c>
      <c r="T69" s="99">
        <v>4.0</v>
      </c>
      <c r="U69" s="325">
        <v>0.7847222222222213</v>
      </c>
      <c r="V69" s="101">
        <v>0.7874999999999991</v>
      </c>
      <c r="W69" s="99">
        <v>0.0</v>
      </c>
      <c r="X69" s="101">
        <v>0.7874999999999991</v>
      </c>
      <c r="Y69" s="101">
        <v>0.795138888888888</v>
      </c>
      <c r="Z69" s="99">
        <v>3.0</v>
      </c>
      <c r="AA69" s="101">
        <v>0.7972222222222213</v>
      </c>
      <c r="AB69" s="101">
        <v>0.8055555555555546</v>
      </c>
      <c r="AC69" s="99">
        <v>0.0</v>
      </c>
      <c r="AD69" s="101">
        <v>0.8055555555555546</v>
      </c>
      <c r="AE69" s="101">
        <v>0.8131944444444434</v>
      </c>
      <c r="AF69" s="99">
        <v>1.0</v>
      </c>
      <c r="AG69" s="101">
        <v>0.8138888888888879</v>
      </c>
      <c r="AH69" s="103">
        <v>122.99999999999956</v>
      </c>
      <c r="AI69" s="103">
        <v>20.0</v>
      </c>
      <c r="AJ69" s="104">
        <v>0.19417475728155423</v>
      </c>
      <c r="AK69" s="142">
        <v>40.000000000000014</v>
      </c>
      <c r="AL69" s="320"/>
      <c r="AM69" s="109">
        <v>2.9999999999995595</v>
      </c>
      <c r="AN69" s="109"/>
      <c r="AO69" s="109">
        <v>32.99999999999861</v>
      </c>
    </row>
    <row r="70" ht="13.5" customHeight="1">
      <c r="A70" s="127"/>
      <c r="B70" s="318" t="s">
        <v>79</v>
      </c>
      <c r="C70" s="101">
        <v>0.7493055555555548</v>
      </c>
      <c r="D70" s="101">
        <v>0.7576388888888881</v>
      </c>
      <c r="E70" s="99">
        <v>0.0</v>
      </c>
      <c r="F70" s="101">
        <v>0.7576388888888881</v>
      </c>
      <c r="G70" s="101">
        <v>0.7666666666666658</v>
      </c>
      <c r="H70" s="99">
        <v>3.0</v>
      </c>
      <c r="I70" s="101">
        <v>0.7687499999999992</v>
      </c>
      <c r="J70" s="101">
        <v>0.776388888888888</v>
      </c>
      <c r="K70" s="99">
        <v>0.0</v>
      </c>
      <c r="L70" s="101">
        <v>0.776388888888888</v>
      </c>
      <c r="M70" s="101">
        <v>0.7791666666666658</v>
      </c>
      <c r="N70" s="99">
        <v>4.0</v>
      </c>
      <c r="O70" s="325">
        <v>0.7819444444444436</v>
      </c>
      <c r="P70" s="101">
        <v>0.7895833333333324</v>
      </c>
      <c r="Q70" s="326">
        <v>5.0</v>
      </c>
      <c r="R70" s="101">
        <v>0.7930555555555546</v>
      </c>
      <c r="S70" s="101">
        <v>0.8027777777777768</v>
      </c>
      <c r="T70" s="99">
        <v>4.0</v>
      </c>
      <c r="U70" s="325">
        <v>0.8055555555555546</v>
      </c>
      <c r="V70" s="101">
        <v>0.8083333333333323</v>
      </c>
      <c r="W70" s="99">
        <v>0.0</v>
      </c>
      <c r="X70" s="101">
        <v>0.8083333333333323</v>
      </c>
      <c r="Y70" s="101">
        <v>0.8159722222222212</v>
      </c>
      <c r="Z70" s="328">
        <v>1.0</v>
      </c>
      <c r="AA70" s="101">
        <v>0.8166666666666657</v>
      </c>
      <c r="AB70" s="101">
        <v>0.824999999999999</v>
      </c>
      <c r="AC70" s="99">
        <v>0.0</v>
      </c>
      <c r="AD70" s="101">
        <v>0.824999999999999</v>
      </c>
      <c r="AE70" s="323">
        <v>0.8326388888888878</v>
      </c>
      <c r="AF70" s="328">
        <v>3.0</v>
      </c>
      <c r="AG70" s="101">
        <v>0.8347222222222211</v>
      </c>
      <c r="AH70" s="103">
        <v>122.99999999999956</v>
      </c>
      <c r="AI70" s="103">
        <v>20.0</v>
      </c>
      <c r="AJ70" s="104">
        <v>0.19417475728155423</v>
      </c>
      <c r="AK70" s="142">
        <v>29.999999999999893</v>
      </c>
      <c r="AL70" s="320"/>
      <c r="AM70" s="109">
        <v>2.9999999999995595</v>
      </c>
      <c r="AN70" s="109"/>
    </row>
    <row r="71" ht="13.5" customHeight="1">
      <c r="A71" s="127"/>
      <c r="B71" s="318" t="s">
        <v>79</v>
      </c>
      <c r="C71" s="101">
        <v>0.7701388888888879</v>
      </c>
      <c r="D71" s="101">
        <v>0.7784722222222212</v>
      </c>
      <c r="E71" s="99">
        <v>0.0</v>
      </c>
      <c r="F71" s="101">
        <v>0.7784722222222212</v>
      </c>
      <c r="G71" s="101">
        <v>0.787499999999999</v>
      </c>
      <c r="H71" s="99">
        <v>3.0</v>
      </c>
      <c r="I71" s="101">
        <v>0.7895833333333323</v>
      </c>
      <c r="J71" s="101">
        <v>0.7972222222222212</v>
      </c>
      <c r="K71" s="99">
        <v>0.0</v>
      </c>
      <c r="L71" s="101">
        <v>0.7972222222222212</v>
      </c>
      <c r="M71" s="101">
        <v>0.7999999999999989</v>
      </c>
      <c r="N71" s="99">
        <v>4.0</v>
      </c>
      <c r="O71" s="325">
        <v>0.8027777777777767</v>
      </c>
      <c r="P71" s="101">
        <v>0.8104166666666656</v>
      </c>
      <c r="Q71" s="326">
        <v>5.0</v>
      </c>
      <c r="R71" s="101">
        <v>0.8138888888888878</v>
      </c>
      <c r="S71" s="101">
        <v>0.82361111111111</v>
      </c>
      <c r="T71" s="99">
        <v>4.0</v>
      </c>
      <c r="U71" s="325">
        <v>0.8263888888888877</v>
      </c>
      <c r="V71" s="101">
        <v>0.8291666666666655</v>
      </c>
      <c r="W71" s="99">
        <v>0.0</v>
      </c>
      <c r="X71" s="101">
        <v>0.8291666666666655</v>
      </c>
      <c r="Y71" s="101">
        <v>0.8368055555555544</v>
      </c>
      <c r="Z71" s="99">
        <v>3.0</v>
      </c>
      <c r="AA71" s="101">
        <v>0.8388888888888877</v>
      </c>
      <c r="AB71" s="101">
        <v>0.847222222222221</v>
      </c>
      <c r="AC71" s="99">
        <v>0.0</v>
      </c>
      <c r="AD71" s="101">
        <v>0.847222222222221</v>
      </c>
      <c r="AE71" s="101">
        <v>0.8548611111111099</v>
      </c>
      <c r="AF71" s="99">
        <v>1.0</v>
      </c>
      <c r="AG71" s="101">
        <v>0.8555555555555543</v>
      </c>
      <c r="AH71" s="103">
        <v>122.99999999999956</v>
      </c>
      <c r="AI71" s="103">
        <v>20.0</v>
      </c>
      <c r="AJ71" s="104">
        <v>0.19417475728155423</v>
      </c>
      <c r="AK71" s="142">
        <v>29.999999999999734</v>
      </c>
      <c r="AL71" s="320"/>
      <c r="AM71" s="109">
        <v>2.9999999999995595</v>
      </c>
      <c r="AN71" s="109"/>
    </row>
    <row r="72" ht="13.5" customHeight="1">
      <c r="A72" s="127"/>
      <c r="B72" s="318" t="s">
        <v>79</v>
      </c>
      <c r="C72" s="101">
        <v>0.7909722222222212</v>
      </c>
      <c r="D72" s="101">
        <v>0.7993055555555545</v>
      </c>
      <c r="E72" s="99">
        <v>0.0</v>
      </c>
      <c r="F72" s="101">
        <v>0.7993055555555545</v>
      </c>
      <c r="G72" s="101">
        <v>0.8083333333333322</v>
      </c>
      <c r="H72" s="99">
        <v>3.0</v>
      </c>
      <c r="I72" s="101">
        <v>0.8104166666666656</v>
      </c>
      <c r="J72" s="101">
        <v>0.8180555555555544</v>
      </c>
      <c r="K72" s="99">
        <v>0.0</v>
      </c>
      <c r="L72" s="101">
        <v>0.8180555555555544</v>
      </c>
      <c r="M72" s="101">
        <v>0.8208333333333322</v>
      </c>
      <c r="N72" s="99">
        <v>4.0</v>
      </c>
      <c r="O72" s="325">
        <v>0.82361111111111</v>
      </c>
      <c r="P72" s="101">
        <v>0.8312499999999988</v>
      </c>
      <c r="Q72" s="326">
        <v>5.0</v>
      </c>
      <c r="R72" s="101">
        <v>0.834722222222221</v>
      </c>
      <c r="S72" s="101">
        <v>0.8444444444444432</v>
      </c>
      <c r="T72" s="99">
        <v>4.0</v>
      </c>
      <c r="U72" s="325">
        <v>0.847222222222221</v>
      </c>
      <c r="V72" s="101">
        <v>0.8499999999999988</v>
      </c>
      <c r="W72" s="99">
        <v>0.0</v>
      </c>
      <c r="X72" s="101">
        <v>0.8499999999999988</v>
      </c>
      <c r="Y72" s="101">
        <v>0.8576388888888876</v>
      </c>
      <c r="Z72" s="99">
        <v>3.0</v>
      </c>
      <c r="AA72" s="101">
        <v>0.8597222222222209</v>
      </c>
      <c r="AB72" s="101">
        <v>0.8680555555555542</v>
      </c>
      <c r="AC72" s="99">
        <v>0.0</v>
      </c>
      <c r="AD72" s="101">
        <v>0.8680555555555542</v>
      </c>
      <c r="AE72" s="101">
        <v>0.8756944444444431</v>
      </c>
      <c r="AF72" s="99"/>
      <c r="AG72" s="329" t="s">
        <v>187</v>
      </c>
      <c r="AH72" s="103">
        <v>121.99999999999957</v>
      </c>
      <c r="AI72" s="103">
        <v>19.0</v>
      </c>
      <c r="AJ72" s="104">
        <v>0.18446601941747648</v>
      </c>
      <c r="AK72" s="142">
        <v>29.999999999999893</v>
      </c>
      <c r="AL72" s="320"/>
      <c r="AM72" s="109">
        <v>1.9999999999995737</v>
      </c>
      <c r="AN72" s="109"/>
    </row>
    <row r="73" ht="13.5" customHeight="1">
      <c r="A73" s="127"/>
      <c r="B73" s="318" t="s">
        <v>79</v>
      </c>
      <c r="C73" s="101">
        <v>0.8138888888888879</v>
      </c>
      <c r="D73" s="101">
        <v>0.8222222222222212</v>
      </c>
      <c r="E73" s="99">
        <v>0.0</v>
      </c>
      <c r="F73" s="101">
        <v>0.8222222222222212</v>
      </c>
      <c r="G73" s="101">
        <v>0.8312499999999989</v>
      </c>
      <c r="H73" s="99">
        <v>3.0</v>
      </c>
      <c r="I73" s="101">
        <v>0.8333333333333323</v>
      </c>
      <c r="J73" s="101">
        <v>0.8409722222222211</v>
      </c>
      <c r="K73" s="99">
        <v>0.0</v>
      </c>
      <c r="L73" s="101">
        <v>0.8409722222222211</v>
      </c>
      <c r="M73" s="101">
        <v>0.8437499999999989</v>
      </c>
      <c r="N73" s="99">
        <v>4.0</v>
      </c>
      <c r="O73" s="325">
        <v>0.8465277777777767</v>
      </c>
      <c r="P73" s="101">
        <v>0.8541666666666655</v>
      </c>
      <c r="Q73" s="99">
        <v>2.0</v>
      </c>
      <c r="R73" s="101">
        <v>0.8555555555555544</v>
      </c>
      <c r="S73" s="101">
        <v>0.8652777777777766</v>
      </c>
      <c r="T73" s="99">
        <v>4.0</v>
      </c>
      <c r="U73" s="325">
        <v>0.8680555555555544</v>
      </c>
      <c r="V73" s="101">
        <v>0.8708333333333321</v>
      </c>
      <c r="W73" s="99">
        <v>0.0</v>
      </c>
      <c r="X73" s="101">
        <v>0.8708333333333321</v>
      </c>
      <c r="Y73" s="101">
        <v>0.878472222222221</v>
      </c>
      <c r="Z73" s="99">
        <v>3.0</v>
      </c>
      <c r="AA73" s="101">
        <v>0.8805555555555543</v>
      </c>
      <c r="AB73" s="101">
        <v>0.8888888888888876</v>
      </c>
      <c r="AC73" s="99">
        <v>0.0</v>
      </c>
      <c r="AD73" s="101">
        <v>0.8888888888888876</v>
      </c>
      <c r="AE73" s="101">
        <v>0.8965277777777765</v>
      </c>
      <c r="AF73" s="99">
        <v>1.0</v>
      </c>
      <c r="AG73" s="101">
        <v>0.8972222222222209</v>
      </c>
      <c r="AH73" s="103">
        <v>119.99999999999957</v>
      </c>
      <c r="AI73" s="103">
        <v>17.0</v>
      </c>
      <c r="AJ73" s="104">
        <v>0.16504854368932106</v>
      </c>
      <c r="AK73" s="142">
        <v>30.000000000000053</v>
      </c>
      <c r="AL73" s="320"/>
      <c r="AM73" s="109">
        <v>-4.263256414560601E-13</v>
      </c>
      <c r="AN73" s="109"/>
    </row>
    <row r="74" ht="13.5" customHeight="1">
      <c r="A74" s="127"/>
      <c r="B74" s="318" t="s">
        <v>79</v>
      </c>
      <c r="C74" s="101">
        <v>0.8347222222222211</v>
      </c>
      <c r="D74" s="101">
        <v>0.8430555555555544</v>
      </c>
      <c r="E74" s="99">
        <v>0.0</v>
      </c>
      <c r="F74" s="101">
        <v>0.8430555555555544</v>
      </c>
      <c r="G74" s="101">
        <v>0.8520833333333322</v>
      </c>
      <c r="H74" s="99">
        <v>3.0</v>
      </c>
      <c r="I74" s="101">
        <v>0.8541666666666655</v>
      </c>
      <c r="J74" s="101">
        <v>0.8618055555555544</v>
      </c>
      <c r="K74" s="99">
        <v>0.0</v>
      </c>
      <c r="L74" s="101">
        <v>0.8618055555555544</v>
      </c>
      <c r="M74" s="101">
        <v>0.8645833333333321</v>
      </c>
      <c r="N74" s="99">
        <v>4.0</v>
      </c>
      <c r="O74" s="325">
        <v>0.8673611111111099</v>
      </c>
      <c r="P74" s="101">
        <v>0.8749999999999988</v>
      </c>
      <c r="Q74" s="99">
        <v>2.0</v>
      </c>
      <c r="R74" s="101">
        <v>0.8763888888888877</v>
      </c>
      <c r="S74" s="101">
        <v>0.8861111111111099</v>
      </c>
      <c r="T74" s="99">
        <v>4.0</v>
      </c>
      <c r="U74" s="325">
        <v>0.8888888888888876</v>
      </c>
      <c r="V74" s="101">
        <v>0.8916666666666654</v>
      </c>
      <c r="W74" s="99">
        <v>0.0</v>
      </c>
      <c r="X74" s="101">
        <v>0.8916666666666654</v>
      </c>
      <c r="Y74" s="101">
        <v>0.8993055555555542</v>
      </c>
      <c r="Z74" s="99">
        <v>3.0</v>
      </c>
      <c r="AA74" s="101">
        <v>0.9013888888888876</v>
      </c>
      <c r="AB74" s="101">
        <v>0.9097222222222209</v>
      </c>
      <c r="AC74" s="99">
        <v>0.0</v>
      </c>
      <c r="AD74" s="101">
        <v>0.9097222222222209</v>
      </c>
      <c r="AE74" s="101">
        <v>0.9173611111111097</v>
      </c>
      <c r="AF74" s="99"/>
      <c r="AG74" s="329" t="s">
        <v>187</v>
      </c>
      <c r="AH74" s="103">
        <v>118.99999999999957</v>
      </c>
      <c r="AI74" s="103">
        <v>16.0</v>
      </c>
      <c r="AJ74" s="104">
        <v>0.15533980582524337</v>
      </c>
      <c r="AK74" s="142">
        <v>29.999999999999893</v>
      </c>
      <c r="AL74" s="320"/>
      <c r="AM74" s="109">
        <v>-1.0000000000004263</v>
      </c>
      <c r="AN74" s="109"/>
    </row>
    <row r="75" ht="13.5" customHeight="1">
      <c r="A75" s="127"/>
      <c r="B75" s="318" t="s">
        <v>79</v>
      </c>
      <c r="C75" s="101">
        <v>0.8555555555555543</v>
      </c>
      <c r="D75" s="101">
        <v>0.8638888888888876</v>
      </c>
      <c r="E75" s="99">
        <v>0.0</v>
      </c>
      <c r="F75" s="101">
        <v>0.8638888888888876</v>
      </c>
      <c r="G75" s="101">
        <v>0.8729166666666653</v>
      </c>
      <c r="H75" s="99">
        <v>3.0</v>
      </c>
      <c r="I75" s="101">
        <v>0.8749999999999987</v>
      </c>
      <c r="J75" s="101">
        <v>0.8826388888888875</v>
      </c>
      <c r="K75" s="99">
        <v>0.0</v>
      </c>
      <c r="L75" s="101">
        <v>0.8826388888888875</v>
      </c>
      <c r="M75" s="101">
        <v>0.8854166666666653</v>
      </c>
      <c r="N75" s="99">
        <v>4.0</v>
      </c>
      <c r="O75" s="325">
        <v>0.8881944444444431</v>
      </c>
      <c r="P75" s="101">
        <v>0.8958333333333319</v>
      </c>
      <c r="Q75" s="99">
        <v>2.0</v>
      </c>
      <c r="R75" s="101">
        <v>0.8972222222222208</v>
      </c>
      <c r="S75" s="101">
        <v>0.906944444444443</v>
      </c>
      <c r="T75" s="99">
        <v>4.0</v>
      </c>
      <c r="U75" s="325">
        <v>0.9097222222222208</v>
      </c>
      <c r="V75" s="101">
        <v>0.9124999999999985</v>
      </c>
      <c r="W75" s="99">
        <v>0.0</v>
      </c>
      <c r="X75" s="101">
        <v>0.9124999999999985</v>
      </c>
      <c r="Y75" s="101">
        <v>0.9201388888888874</v>
      </c>
      <c r="Z75" s="99">
        <v>3.0</v>
      </c>
      <c r="AA75" s="101">
        <v>0.9222222222222207</v>
      </c>
      <c r="AB75" s="101">
        <v>0.930555555555554</v>
      </c>
      <c r="AC75" s="99">
        <v>0.0</v>
      </c>
      <c r="AD75" s="101">
        <v>0.930555555555554</v>
      </c>
      <c r="AE75" s="101">
        <v>0.9381944444444429</v>
      </c>
      <c r="AF75" s="99">
        <v>1.0</v>
      </c>
      <c r="AG75" s="101">
        <v>0.9388888888888873</v>
      </c>
      <c r="AH75" s="103">
        <v>119.99999999999957</v>
      </c>
      <c r="AI75" s="103">
        <v>17.0</v>
      </c>
      <c r="AJ75" s="104">
        <v>0.16504854368932106</v>
      </c>
      <c r="AK75" s="142">
        <v>29.999999999999734</v>
      </c>
      <c r="AL75" s="320"/>
      <c r="AM75" s="109">
        <v>-4.263256414560601E-13</v>
      </c>
      <c r="AN75" s="109"/>
    </row>
    <row r="76" ht="13.5" customHeight="1">
      <c r="A76" s="127"/>
      <c r="B76" s="318" t="s">
        <v>79</v>
      </c>
      <c r="C76" s="101">
        <v>0.8972222222222209</v>
      </c>
      <c r="D76" s="101">
        <v>0.9055555555555542</v>
      </c>
      <c r="E76" s="99">
        <v>0.0</v>
      </c>
      <c r="F76" s="101">
        <v>0.9055555555555542</v>
      </c>
      <c r="G76" s="101">
        <v>0.914583333333332</v>
      </c>
      <c r="H76" s="99">
        <v>3.0</v>
      </c>
      <c r="I76" s="101">
        <v>0.9166666666666653</v>
      </c>
      <c r="J76" s="101">
        <v>0.9243055555555542</v>
      </c>
      <c r="K76" s="99">
        <v>0.0</v>
      </c>
      <c r="L76" s="101">
        <v>0.9243055555555542</v>
      </c>
      <c r="M76" s="101">
        <v>0.9270833333333319</v>
      </c>
      <c r="N76" s="99">
        <v>4.0</v>
      </c>
      <c r="O76" s="325">
        <v>0.9298611111111097</v>
      </c>
      <c r="P76" s="101">
        <v>0.9374999999999986</v>
      </c>
      <c r="Q76" s="99">
        <v>2.0</v>
      </c>
      <c r="R76" s="101">
        <v>0.9388888888888874</v>
      </c>
      <c r="S76" s="101">
        <v>0.9486111111111096</v>
      </c>
      <c r="T76" s="99">
        <v>4.0</v>
      </c>
      <c r="U76" s="325">
        <v>0.9513888888888874</v>
      </c>
      <c r="V76" s="101">
        <v>0.9541666666666652</v>
      </c>
      <c r="W76" s="99">
        <v>0.0</v>
      </c>
      <c r="X76" s="101">
        <v>0.9541666666666652</v>
      </c>
      <c r="Y76" s="101">
        <v>0.961805555555554</v>
      </c>
      <c r="Z76" s="99">
        <v>3.0</v>
      </c>
      <c r="AA76" s="101">
        <v>0.9638888888888874</v>
      </c>
      <c r="AB76" s="101">
        <v>0.9722222222222207</v>
      </c>
      <c r="AC76" s="99">
        <v>0.0</v>
      </c>
      <c r="AD76" s="101">
        <v>0.9722222222222207</v>
      </c>
      <c r="AE76" s="101">
        <v>0.9798611111111095</v>
      </c>
      <c r="AF76" s="99">
        <v>1.0</v>
      </c>
      <c r="AG76" s="101">
        <v>0.980555555555554</v>
      </c>
      <c r="AH76" s="103">
        <v>119.99999999999957</v>
      </c>
      <c r="AI76" s="103">
        <v>17.0</v>
      </c>
      <c r="AJ76" s="104">
        <v>0.16504854368932106</v>
      </c>
      <c r="AK76" s="142">
        <v>59.99999999999994</v>
      </c>
      <c r="AL76" s="320"/>
      <c r="AM76" s="109">
        <v>-4.263256414560601E-13</v>
      </c>
      <c r="AN76" s="109"/>
    </row>
    <row r="77" ht="13.5" customHeight="1">
      <c r="A77" s="127"/>
      <c r="B77" s="318" t="s">
        <v>79</v>
      </c>
      <c r="C77" s="101">
        <v>0.9388888888888873</v>
      </c>
      <c r="D77" s="101">
        <v>0.9472222222222206</v>
      </c>
      <c r="E77" s="99">
        <v>0.0</v>
      </c>
      <c r="F77" s="101">
        <v>0.9472222222222206</v>
      </c>
      <c r="G77" s="101">
        <v>0.9562499999999984</v>
      </c>
      <c r="H77" s="99">
        <v>3.0</v>
      </c>
      <c r="I77" s="101">
        <v>0.9583333333333317</v>
      </c>
      <c r="J77" s="101">
        <v>0.9659722222222206</v>
      </c>
      <c r="K77" s="99">
        <v>0.0</v>
      </c>
      <c r="L77" s="101">
        <v>0.9659722222222206</v>
      </c>
      <c r="M77" s="101">
        <v>0.9687499999999983</v>
      </c>
      <c r="N77" s="99">
        <v>4.0</v>
      </c>
      <c r="O77" s="325">
        <v>0.9715277777777761</v>
      </c>
      <c r="P77" s="101">
        <v>0.979166666666665</v>
      </c>
      <c r="Q77" s="99">
        <v>2.0</v>
      </c>
      <c r="R77" s="101">
        <v>0.9805555555555538</v>
      </c>
      <c r="S77" s="101">
        <v>0.990277777777776</v>
      </c>
      <c r="T77" s="99">
        <v>4.0</v>
      </c>
      <c r="U77" s="325">
        <v>0.9930555555555538</v>
      </c>
      <c r="V77" s="101">
        <v>0.9958333333333316</v>
      </c>
      <c r="W77" s="99">
        <v>0.0</v>
      </c>
      <c r="X77" s="101">
        <v>0.9958333333333316</v>
      </c>
      <c r="Y77" s="101">
        <v>1.0034722222222205</v>
      </c>
      <c r="Z77" s="99">
        <v>3.0</v>
      </c>
      <c r="AA77" s="101">
        <v>1.005555555555554</v>
      </c>
      <c r="AB77" s="101">
        <v>1.0138888888888873</v>
      </c>
      <c r="AC77" s="99">
        <v>0.0</v>
      </c>
      <c r="AD77" s="101">
        <v>1.0138888888888873</v>
      </c>
      <c r="AE77" s="101">
        <v>1.0215277777777763</v>
      </c>
      <c r="AF77" s="99"/>
      <c r="AG77" s="329" t="s">
        <v>187</v>
      </c>
      <c r="AH77" s="103">
        <v>119.00000000000006</v>
      </c>
      <c r="AI77" s="103">
        <v>16.0</v>
      </c>
      <c r="AJ77" s="104">
        <v>0.15533980582524262</v>
      </c>
      <c r="AK77" s="142">
        <v>59.99999999999963</v>
      </c>
      <c r="AL77" s="320"/>
      <c r="AM77" s="109">
        <v>-0.9999999999999432</v>
      </c>
      <c r="AN77" s="109"/>
    </row>
    <row r="78" ht="13.5" customHeight="1">
      <c r="A78" s="127"/>
      <c r="B78" s="318" t="s">
        <v>79</v>
      </c>
      <c r="C78" s="101">
        <v>0.980555555555554</v>
      </c>
      <c r="D78" s="101">
        <v>0.9888888888888873</v>
      </c>
      <c r="E78" s="99">
        <v>0.0</v>
      </c>
      <c r="F78" s="101">
        <v>0.9888888888888873</v>
      </c>
      <c r="G78" s="101">
        <v>0.997916666666665</v>
      </c>
      <c r="H78" s="99">
        <v>3.0</v>
      </c>
      <c r="I78" s="101">
        <v>0.9999999999999983</v>
      </c>
      <c r="J78" s="101">
        <v>1.0076388888888872</v>
      </c>
      <c r="K78" s="99">
        <v>0.0</v>
      </c>
      <c r="L78" s="101">
        <v>1.0076388888888872</v>
      </c>
      <c r="M78" s="101">
        <v>1.010416666666665</v>
      </c>
      <c r="N78" s="99">
        <v>4.0</v>
      </c>
      <c r="O78" s="325">
        <v>1.0131944444444427</v>
      </c>
      <c r="P78" s="101">
        <v>1.0208333333333317</v>
      </c>
      <c r="Q78" s="99"/>
      <c r="R78" s="329" t="s">
        <v>187</v>
      </c>
      <c r="S78" s="101"/>
      <c r="T78" s="99"/>
      <c r="U78" s="101"/>
      <c r="V78" s="101"/>
      <c r="W78" s="99"/>
      <c r="X78" s="101"/>
      <c r="Y78" s="101"/>
      <c r="Z78" s="99"/>
      <c r="AA78" s="101"/>
      <c r="AB78" s="101"/>
      <c r="AC78" s="99"/>
      <c r="AD78" s="101"/>
      <c r="AE78" s="101"/>
      <c r="AF78" s="99"/>
      <c r="AG78" s="101"/>
      <c r="AH78" s="103">
        <v>57.99999999999996</v>
      </c>
      <c r="AI78" s="103">
        <v>7.0</v>
      </c>
      <c r="AJ78" s="104">
        <v>0.13725490196078444</v>
      </c>
      <c r="AK78" s="142">
        <v>60.00000000000011</v>
      </c>
      <c r="AL78" s="320"/>
      <c r="AM78" s="109"/>
      <c r="AN78" s="109"/>
    </row>
    <row r="79" ht="13.5" customHeight="1">
      <c r="A79" s="156"/>
      <c r="D79" s="313"/>
      <c r="E79" s="99">
        <v>0.0</v>
      </c>
      <c r="F79" s="313"/>
      <c r="G79" s="73"/>
      <c r="H79" s="99">
        <v>76.0</v>
      </c>
      <c r="I79" s="62"/>
      <c r="J79" s="73"/>
      <c r="K79" s="99">
        <v>0.0</v>
      </c>
      <c r="L79" s="62"/>
      <c r="M79" s="73"/>
      <c r="N79" s="99">
        <v>108.0</v>
      </c>
      <c r="O79" s="62"/>
      <c r="P79" s="158"/>
      <c r="Q79" s="99">
        <v>80.0</v>
      </c>
      <c r="T79" s="99">
        <v>105.0</v>
      </c>
      <c r="U79" s="73"/>
      <c r="V79" s="73"/>
      <c r="W79" s="99">
        <v>0.0</v>
      </c>
      <c r="X79" s="62"/>
      <c r="Y79" s="73"/>
      <c r="Z79" s="99">
        <v>75.0</v>
      </c>
      <c r="AA79" s="62"/>
      <c r="AB79" s="62"/>
      <c r="AC79" s="99">
        <v>0.0</v>
      </c>
      <c r="AD79" s="62"/>
      <c r="AE79" s="73"/>
      <c r="AF79" s="99">
        <v>80.0</v>
      </c>
      <c r="AG79" s="73" t="s">
        <v>34</v>
      </c>
      <c r="AH79" s="314">
        <v>65.88333333333318</v>
      </c>
      <c r="AI79" s="314">
        <v>8.9</v>
      </c>
      <c r="AJ79" s="104">
        <v>0.15573053368329</v>
      </c>
    </row>
    <row r="80" ht="13.5" customHeight="1">
      <c r="R80" s="315"/>
      <c r="AK80" s="39" t="s">
        <v>188</v>
      </c>
      <c r="AM80" s="330">
        <v>168.99999999999156</v>
      </c>
      <c r="AN80" s="39">
        <v>42.24999999999789</v>
      </c>
    </row>
    <row r="81" ht="13.5" customHeight="1">
      <c r="A81" s="209" t="s">
        <v>99</v>
      </c>
      <c r="B81" s="73"/>
      <c r="C81" s="124" t="s">
        <v>83</v>
      </c>
      <c r="D81" s="300" t="s">
        <v>159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62"/>
      <c r="R81" s="301" t="s">
        <v>83</v>
      </c>
      <c r="S81" s="300" t="s">
        <v>160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3"/>
      <c r="AH81" s="73"/>
      <c r="AI81" s="73"/>
      <c r="AJ81" s="73"/>
      <c r="AK81" s="73"/>
      <c r="AL81" s="73"/>
    </row>
    <row r="82" ht="13.5" customHeight="1">
      <c r="A82" s="127"/>
      <c r="B82" s="73"/>
      <c r="C82" s="128" t="s">
        <v>62</v>
      </c>
      <c r="D82" s="128" t="s">
        <v>85</v>
      </c>
      <c r="E82" s="85"/>
      <c r="F82" s="128" t="s">
        <v>62</v>
      </c>
      <c r="G82" s="128" t="s">
        <v>85</v>
      </c>
      <c r="H82" s="85"/>
      <c r="I82" s="128" t="s">
        <v>62</v>
      </c>
      <c r="J82" s="128" t="s">
        <v>85</v>
      </c>
      <c r="K82" s="85"/>
      <c r="L82" s="128" t="s">
        <v>62</v>
      </c>
      <c r="M82" s="128" t="s">
        <v>85</v>
      </c>
      <c r="N82" s="85"/>
      <c r="O82" s="128" t="s">
        <v>62</v>
      </c>
      <c r="P82" s="128" t="s">
        <v>85</v>
      </c>
      <c r="Q82" s="85"/>
      <c r="R82" s="316" t="s">
        <v>62</v>
      </c>
      <c r="S82" s="128" t="s">
        <v>85</v>
      </c>
      <c r="T82" s="85"/>
      <c r="U82" s="128" t="s">
        <v>62</v>
      </c>
      <c r="V82" s="128" t="s">
        <v>85</v>
      </c>
      <c r="W82" s="85"/>
      <c r="X82" s="128" t="s">
        <v>62</v>
      </c>
      <c r="Y82" s="128" t="s">
        <v>85</v>
      </c>
      <c r="Z82" s="85"/>
      <c r="AA82" s="128" t="s">
        <v>62</v>
      </c>
      <c r="AB82" s="128" t="s">
        <v>85</v>
      </c>
      <c r="AC82" s="85"/>
      <c r="AD82" s="128" t="s">
        <v>62</v>
      </c>
      <c r="AE82" s="128" t="s">
        <v>85</v>
      </c>
      <c r="AF82" s="85"/>
      <c r="AG82" s="128" t="s">
        <v>62</v>
      </c>
      <c r="AH82" s="62"/>
      <c r="AI82" s="73"/>
      <c r="AJ82" s="73"/>
      <c r="AK82" s="73"/>
      <c r="AL82" s="73"/>
    </row>
    <row r="83" ht="13.5" customHeight="1">
      <c r="A83" s="127"/>
      <c r="B83" s="89" t="s">
        <v>63</v>
      </c>
      <c r="C83" s="130" t="s">
        <v>127</v>
      </c>
      <c r="D83" s="130" t="s">
        <v>163</v>
      </c>
      <c r="E83" s="132"/>
      <c r="F83" s="130" t="s">
        <v>163</v>
      </c>
      <c r="G83" s="130" t="s">
        <v>64</v>
      </c>
      <c r="H83" s="132"/>
      <c r="I83" s="130" t="s">
        <v>64</v>
      </c>
      <c r="J83" s="302" t="s">
        <v>132</v>
      </c>
      <c r="K83" s="132"/>
      <c r="L83" s="130" t="s">
        <v>132</v>
      </c>
      <c r="M83" s="130" t="s">
        <v>86</v>
      </c>
      <c r="N83" s="132"/>
      <c r="O83" s="130" t="s">
        <v>86</v>
      </c>
      <c r="P83" s="131" t="s">
        <v>87</v>
      </c>
      <c r="Q83" s="132"/>
      <c r="R83" s="303" t="s">
        <v>87</v>
      </c>
      <c r="S83" s="130" t="s">
        <v>86</v>
      </c>
      <c r="T83" s="132"/>
      <c r="U83" s="130" t="s">
        <v>86</v>
      </c>
      <c r="V83" s="302" t="s">
        <v>132</v>
      </c>
      <c r="W83" s="132"/>
      <c r="X83" s="130" t="s">
        <v>132</v>
      </c>
      <c r="Y83" s="130" t="s">
        <v>64</v>
      </c>
      <c r="Z83" s="132"/>
      <c r="AA83" s="130" t="s">
        <v>64</v>
      </c>
      <c r="AB83" s="130" t="s">
        <v>164</v>
      </c>
      <c r="AC83" s="132"/>
      <c r="AD83" s="130" t="s">
        <v>164</v>
      </c>
      <c r="AE83" s="302" t="s">
        <v>127</v>
      </c>
      <c r="AF83" s="132"/>
      <c r="AG83" s="302" t="s">
        <v>127</v>
      </c>
      <c r="AH83" s="62"/>
      <c r="AI83" s="73"/>
      <c r="AJ83" s="73"/>
      <c r="AK83" s="73"/>
      <c r="AL83" s="73"/>
    </row>
    <row r="84" ht="13.5" customHeight="1">
      <c r="A84" s="127"/>
      <c r="B84" s="93" t="s">
        <v>72</v>
      </c>
      <c r="C84" s="302">
        <v>725.0</v>
      </c>
      <c r="D84" s="128">
        <v>972.0</v>
      </c>
      <c r="E84" s="137" t="s">
        <v>69</v>
      </c>
      <c r="F84" s="130">
        <v>972.0</v>
      </c>
      <c r="G84" s="128">
        <v>777.0</v>
      </c>
      <c r="H84" s="137" t="s">
        <v>69</v>
      </c>
      <c r="I84" s="128">
        <v>777.0</v>
      </c>
      <c r="J84" s="128">
        <v>732.0</v>
      </c>
      <c r="K84" s="136" t="s">
        <v>69</v>
      </c>
      <c r="L84" s="128">
        <v>732.0</v>
      </c>
      <c r="M84" s="128">
        <v>1.0</v>
      </c>
      <c r="N84" s="137" t="s">
        <v>69</v>
      </c>
      <c r="O84" s="128">
        <v>1.0</v>
      </c>
      <c r="P84" s="128">
        <v>76.0</v>
      </c>
      <c r="Q84" s="136" t="s">
        <v>69</v>
      </c>
      <c r="R84" s="128">
        <v>76.0</v>
      </c>
      <c r="S84" s="128">
        <v>1.0</v>
      </c>
      <c r="T84" s="137" t="s">
        <v>69</v>
      </c>
      <c r="U84" s="128">
        <v>1.0</v>
      </c>
      <c r="V84" s="128">
        <v>732.0</v>
      </c>
      <c r="W84" s="136" t="s">
        <v>69</v>
      </c>
      <c r="X84" s="128">
        <v>732.0</v>
      </c>
      <c r="Y84" s="128">
        <v>777.0</v>
      </c>
      <c r="Z84" s="137" t="s">
        <v>69</v>
      </c>
      <c r="AA84" s="128">
        <v>777.0</v>
      </c>
      <c r="AB84" s="128">
        <v>971.0</v>
      </c>
      <c r="AC84" s="137" t="s">
        <v>69</v>
      </c>
      <c r="AD84" s="128">
        <v>971.0</v>
      </c>
      <c r="AE84" s="128">
        <v>725.0</v>
      </c>
      <c r="AF84" s="137" t="s">
        <v>69</v>
      </c>
      <c r="AG84" s="128">
        <v>725.0</v>
      </c>
      <c r="AH84" s="140" t="s">
        <v>166</v>
      </c>
      <c r="AI84" s="140" t="s">
        <v>69</v>
      </c>
      <c r="AJ84" s="140" t="s">
        <v>121</v>
      </c>
      <c r="AK84" s="140" t="s">
        <v>76</v>
      </c>
      <c r="AL84" s="140"/>
    </row>
    <row r="85" ht="13.5" customHeight="1">
      <c r="A85" s="127"/>
      <c r="B85" s="331" t="s">
        <v>77</v>
      </c>
      <c r="C85" s="101"/>
      <c r="D85" s="101"/>
      <c r="E85" s="101"/>
      <c r="F85" s="101"/>
      <c r="G85" s="101"/>
      <c r="H85" s="99"/>
      <c r="I85" s="101"/>
      <c r="J85" s="101"/>
      <c r="K85" s="99"/>
      <c r="L85" s="101"/>
      <c r="M85" s="101"/>
      <c r="N85" s="99"/>
      <c r="O85" s="305"/>
      <c r="P85" s="305"/>
      <c r="Q85" s="307"/>
      <c r="R85" s="100">
        <v>0.33541666666666664</v>
      </c>
      <c r="S85" s="101">
        <v>0.3458333333333333</v>
      </c>
      <c r="T85" s="99">
        <v>2.0</v>
      </c>
      <c r="U85" s="325">
        <v>0.3472222222222222</v>
      </c>
      <c r="V85" s="101">
        <v>0.35</v>
      </c>
      <c r="W85" s="99">
        <v>0.0</v>
      </c>
      <c r="X85" s="101">
        <v>0.35</v>
      </c>
      <c r="Y85" s="101">
        <v>0.3590277777777778</v>
      </c>
      <c r="Z85" s="99">
        <v>3.0</v>
      </c>
      <c r="AA85" s="101">
        <v>0.3611111111111111</v>
      </c>
      <c r="AB85" s="101">
        <v>0.3701388888888889</v>
      </c>
      <c r="AC85" s="99">
        <v>0.0</v>
      </c>
      <c r="AD85" s="101">
        <v>0.3701388888888889</v>
      </c>
      <c r="AE85" s="101">
        <v>0.37777777777777777</v>
      </c>
      <c r="AF85" s="99">
        <v>1.0</v>
      </c>
      <c r="AG85" s="101">
        <v>0.3784722222222222</v>
      </c>
      <c r="AH85" s="103">
        <v>62.00000000000002</v>
      </c>
      <c r="AI85" s="103">
        <v>6.0</v>
      </c>
      <c r="AJ85" s="104">
        <v>0.1071428571428571</v>
      </c>
      <c r="AK85" s="142"/>
      <c r="AL85" s="142"/>
      <c r="AN85" s="109"/>
    </row>
    <row r="86" ht="13.5" customHeight="1">
      <c r="A86" s="127"/>
      <c r="B86" s="331" t="s">
        <v>77</v>
      </c>
      <c r="C86" s="322">
        <v>0.3368055555555556</v>
      </c>
      <c r="D86" s="101">
        <v>0.3458333333333334</v>
      </c>
      <c r="E86" s="99">
        <v>0.0</v>
      </c>
      <c r="F86" s="101">
        <v>0.3458333333333334</v>
      </c>
      <c r="G86" s="101">
        <v>0.3548611111111112</v>
      </c>
      <c r="H86" s="99">
        <v>1.0</v>
      </c>
      <c r="I86" s="101">
        <v>0.3555555555555556</v>
      </c>
      <c r="J86" s="101">
        <v>0.363888888888889</v>
      </c>
      <c r="K86" s="99">
        <v>0.0</v>
      </c>
      <c r="L86" s="101">
        <v>0.363888888888889</v>
      </c>
      <c r="M86" s="101">
        <v>0.3673611111111112</v>
      </c>
      <c r="N86" s="99">
        <v>2.0</v>
      </c>
      <c r="O86" s="325">
        <v>0.3687500000000001</v>
      </c>
      <c r="P86" s="101">
        <v>0.37638888888888894</v>
      </c>
      <c r="Q86" s="99">
        <v>1.0</v>
      </c>
      <c r="R86" s="101">
        <v>0.3770833333333334</v>
      </c>
      <c r="S86" s="101">
        <v>0.38750000000000007</v>
      </c>
      <c r="T86" s="99">
        <v>2.0</v>
      </c>
      <c r="U86" s="325">
        <v>0.38888888888888895</v>
      </c>
      <c r="V86" s="101">
        <v>0.3916666666666667</v>
      </c>
      <c r="W86" s="99">
        <v>0.0</v>
      </c>
      <c r="X86" s="101">
        <v>0.3916666666666667</v>
      </c>
      <c r="Y86" s="101">
        <v>0.4006944444444445</v>
      </c>
      <c r="Z86" s="99">
        <v>3.0</v>
      </c>
      <c r="AA86" s="101">
        <v>0.40277777777777785</v>
      </c>
      <c r="AB86" s="101">
        <v>0.41180555555555565</v>
      </c>
      <c r="AC86" s="99">
        <v>0.0</v>
      </c>
      <c r="AD86" s="101">
        <v>0.41180555555555565</v>
      </c>
      <c r="AE86" s="101">
        <v>0.4194444444444445</v>
      </c>
      <c r="AF86" s="99">
        <v>1.0</v>
      </c>
      <c r="AG86" s="101">
        <v>0.42013888888888895</v>
      </c>
      <c r="AH86" s="103">
        <v>120.00000000000006</v>
      </c>
      <c r="AI86" s="103">
        <v>10.0</v>
      </c>
      <c r="AJ86" s="104">
        <v>0.09090909090909086</v>
      </c>
      <c r="AK86" s="142">
        <v>60.00000000000011</v>
      </c>
      <c r="AL86" s="142"/>
      <c r="AN86" s="109">
        <v>0.0</v>
      </c>
    </row>
    <row r="87" ht="13.5" customHeight="1">
      <c r="A87" s="127"/>
      <c r="B87" s="331" t="s">
        <v>77</v>
      </c>
      <c r="C87" s="101">
        <v>0.3784722222222222</v>
      </c>
      <c r="D87" s="101">
        <v>0.3875</v>
      </c>
      <c r="E87" s="99">
        <v>0.0</v>
      </c>
      <c r="F87" s="101">
        <v>0.3875</v>
      </c>
      <c r="G87" s="101">
        <v>0.3965277777777778</v>
      </c>
      <c r="H87" s="99">
        <v>1.0</v>
      </c>
      <c r="I87" s="101">
        <v>0.39722222222222225</v>
      </c>
      <c r="J87" s="101">
        <v>0.4055555555555556</v>
      </c>
      <c r="K87" s="99">
        <v>0.0</v>
      </c>
      <c r="L87" s="101">
        <v>0.4055555555555556</v>
      </c>
      <c r="M87" s="101">
        <v>0.4090277777777778</v>
      </c>
      <c r="N87" s="99">
        <v>2.0</v>
      </c>
      <c r="O87" s="325">
        <v>0.4104166666666667</v>
      </c>
      <c r="P87" s="101">
        <v>0.41805555555555557</v>
      </c>
      <c r="Q87" s="99">
        <v>1.0</v>
      </c>
      <c r="R87" s="101">
        <v>0.41875</v>
      </c>
      <c r="S87" s="101">
        <v>0.4291666666666667</v>
      </c>
      <c r="T87" s="99">
        <v>2.0</v>
      </c>
      <c r="U87" s="325">
        <v>0.4305555555555556</v>
      </c>
      <c r="V87" s="101">
        <v>0.43333333333333335</v>
      </c>
      <c r="W87" s="99">
        <v>0.0</v>
      </c>
      <c r="X87" s="101">
        <v>0.43333333333333335</v>
      </c>
      <c r="Y87" s="101">
        <v>0.44236111111111115</v>
      </c>
      <c r="Z87" s="99">
        <v>3.0</v>
      </c>
      <c r="AA87" s="101">
        <v>0.4444444444444445</v>
      </c>
      <c r="AB87" s="101">
        <v>0.4534722222222223</v>
      </c>
      <c r="AC87" s="99">
        <v>0.0</v>
      </c>
      <c r="AD87" s="101">
        <v>0.4534722222222223</v>
      </c>
      <c r="AE87" s="327">
        <v>0.46111111111111114</v>
      </c>
      <c r="AF87" s="324">
        <v>4.0</v>
      </c>
      <c r="AG87" s="101">
        <v>0.4638888888888889</v>
      </c>
      <c r="AH87" s="103">
        <v>123.00000000000004</v>
      </c>
      <c r="AI87" s="103">
        <v>13.0</v>
      </c>
      <c r="AJ87" s="104">
        <v>0.11818181818181814</v>
      </c>
      <c r="AK87" s="142">
        <v>59.99999999999994</v>
      </c>
      <c r="AL87" s="142"/>
      <c r="AN87" s="109">
        <v>3.0000000000000426</v>
      </c>
    </row>
    <row r="88" ht="13.5" customHeight="1">
      <c r="A88" s="127"/>
      <c r="B88" s="331" t="s">
        <v>77</v>
      </c>
      <c r="C88" s="101">
        <v>0.42013888888888895</v>
      </c>
      <c r="D88" s="101">
        <v>0.42916666666666675</v>
      </c>
      <c r="E88" s="99">
        <v>0.0</v>
      </c>
      <c r="F88" s="101">
        <v>0.42916666666666675</v>
      </c>
      <c r="G88" s="101">
        <v>0.43819444444444455</v>
      </c>
      <c r="H88" s="99">
        <v>1.0</v>
      </c>
      <c r="I88" s="101">
        <v>0.438888888888889</v>
      </c>
      <c r="J88" s="101">
        <v>0.44722222222222235</v>
      </c>
      <c r="K88" s="99">
        <v>0.0</v>
      </c>
      <c r="L88" s="327">
        <v>0.44722222222222235</v>
      </c>
      <c r="M88" s="101">
        <v>0.45069444444444456</v>
      </c>
      <c r="N88" s="99">
        <v>2.0</v>
      </c>
      <c r="O88" s="325">
        <v>0.45208333333333345</v>
      </c>
      <c r="P88" s="101">
        <v>0.4597222222222223</v>
      </c>
      <c r="Q88" s="99">
        <v>1.0</v>
      </c>
      <c r="R88" s="101">
        <v>0.46041666666666675</v>
      </c>
      <c r="S88" s="101">
        <v>0.47083333333333344</v>
      </c>
      <c r="T88" s="99">
        <v>2.0</v>
      </c>
      <c r="U88" s="325">
        <v>0.4722222222222223</v>
      </c>
      <c r="V88" s="101">
        <v>0.4750000000000001</v>
      </c>
      <c r="W88" s="99">
        <v>0.0</v>
      </c>
      <c r="X88" s="101">
        <v>0.4750000000000001</v>
      </c>
      <c r="Y88" s="101">
        <v>0.4840277777777779</v>
      </c>
      <c r="Z88" s="99">
        <v>3.0</v>
      </c>
      <c r="AA88" s="101">
        <v>0.4861111111111112</v>
      </c>
      <c r="AB88" s="101">
        <v>0.495138888888889</v>
      </c>
      <c r="AC88" s="99">
        <v>0.0</v>
      </c>
      <c r="AD88" s="101">
        <v>0.495138888888889</v>
      </c>
      <c r="AE88" s="101">
        <v>0.5027777777777779</v>
      </c>
      <c r="AF88" s="324">
        <v>4.0</v>
      </c>
      <c r="AG88" s="101">
        <v>0.5055555555555556</v>
      </c>
      <c r="AH88" s="103">
        <v>123.00000000000004</v>
      </c>
      <c r="AI88" s="103">
        <v>13.0</v>
      </c>
      <c r="AJ88" s="104">
        <v>0.11818181818181814</v>
      </c>
      <c r="AK88" s="142">
        <v>60.00000000000011</v>
      </c>
      <c r="AL88" s="142"/>
      <c r="AN88" s="109">
        <v>3.0000000000000426</v>
      </c>
    </row>
    <row r="89" ht="13.5" customHeight="1">
      <c r="A89" s="127"/>
      <c r="B89" s="331" t="s">
        <v>77</v>
      </c>
      <c r="C89" s="101">
        <v>0.4638888888888889</v>
      </c>
      <c r="D89" s="101">
        <v>0.4729166666666667</v>
      </c>
      <c r="E89" s="99">
        <v>0.0</v>
      </c>
      <c r="F89" s="101">
        <v>0.4729166666666667</v>
      </c>
      <c r="G89" s="101">
        <v>0.4819444444444445</v>
      </c>
      <c r="H89" s="99">
        <v>1.0</v>
      </c>
      <c r="I89" s="101">
        <v>0.48263888888888895</v>
      </c>
      <c r="J89" s="101">
        <v>0.4909722222222223</v>
      </c>
      <c r="K89" s="99">
        <v>0.0</v>
      </c>
      <c r="L89" s="101">
        <v>0.4909722222222223</v>
      </c>
      <c r="M89" s="101">
        <v>0.4944444444444445</v>
      </c>
      <c r="N89" s="99">
        <v>2.0</v>
      </c>
      <c r="O89" s="101">
        <v>0.4958333333333334</v>
      </c>
      <c r="P89" s="101">
        <v>0.5034722222222223</v>
      </c>
      <c r="Q89" s="99">
        <v>1.0</v>
      </c>
      <c r="R89" s="101">
        <v>0.5041666666666668</v>
      </c>
      <c r="S89" s="101">
        <v>0.5145833333333334</v>
      </c>
      <c r="T89" s="99">
        <v>2.0</v>
      </c>
      <c r="U89" s="101">
        <v>0.5159722222222223</v>
      </c>
      <c r="V89" s="101">
        <v>0.51875</v>
      </c>
      <c r="W89" s="99">
        <v>0.0</v>
      </c>
      <c r="X89" s="101">
        <v>0.51875</v>
      </c>
      <c r="Y89" s="101">
        <v>0.5277777777777778</v>
      </c>
      <c r="Z89" s="99">
        <v>3.0</v>
      </c>
      <c r="AA89" s="101">
        <v>0.5298611111111111</v>
      </c>
      <c r="AB89" s="101">
        <v>0.5388888888888889</v>
      </c>
      <c r="AC89" s="99">
        <v>0.0</v>
      </c>
      <c r="AD89" s="101">
        <v>0.5388888888888889</v>
      </c>
      <c r="AE89" s="101">
        <v>0.5465277777777777</v>
      </c>
      <c r="AF89" s="99">
        <v>1.0</v>
      </c>
      <c r="AG89" s="101">
        <v>0.5472222222222222</v>
      </c>
      <c r="AH89" s="103">
        <v>119.99999999999989</v>
      </c>
      <c r="AI89" s="103">
        <v>10.0</v>
      </c>
      <c r="AJ89" s="104">
        <v>0.09090909090909101</v>
      </c>
      <c r="AK89" s="142">
        <v>62.999999999999936</v>
      </c>
      <c r="AL89" s="142"/>
      <c r="AN89" s="109">
        <v>-1.1368683772161603E-13</v>
      </c>
    </row>
    <row r="90" ht="13.5" customHeight="1">
      <c r="A90" s="127"/>
      <c r="B90" s="331" t="s">
        <v>78</v>
      </c>
      <c r="C90" s="101">
        <v>0.5055555555555556</v>
      </c>
      <c r="D90" s="101">
        <v>0.5145833333333334</v>
      </c>
      <c r="E90" s="99">
        <v>0.0</v>
      </c>
      <c r="F90" s="101">
        <v>0.5145833333333334</v>
      </c>
      <c r="G90" s="101">
        <v>0.5243055555555556</v>
      </c>
      <c r="H90" s="99">
        <v>2.0</v>
      </c>
      <c r="I90" s="101">
        <v>0.5256944444444445</v>
      </c>
      <c r="J90" s="101">
        <v>0.5340277777777778</v>
      </c>
      <c r="K90" s="99">
        <v>0.0</v>
      </c>
      <c r="L90" s="101">
        <v>0.5340277777777778</v>
      </c>
      <c r="M90" s="101">
        <v>0.5375</v>
      </c>
      <c r="N90" s="99">
        <v>4.0</v>
      </c>
      <c r="O90" s="101">
        <v>0.5402777777777777</v>
      </c>
      <c r="P90" s="101">
        <v>0.5479166666666666</v>
      </c>
      <c r="Q90" s="99">
        <v>3.0</v>
      </c>
      <c r="R90" s="101">
        <v>0.5499999999999999</v>
      </c>
      <c r="S90" s="101">
        <v>0.561111111111111</v>
      </c>
      <c r="T90" s="99">
        <v>4.0</v>
      </c>
      <c r="U90" s="101">
        <v>0.5638888888888888</v>
      </c>
      <c r="V90" s="101">
        <v>0.5666666666666665</v>
      </c>
      <c r="W90" s="99">
        <v>0.0</v>
      </c>
      <c r="X90" s="101">
        <v>0.5666666666666665</v>
      </c>
      <c r="Y90" s="101">
        <v>0.5756944444444443</v>
      </c>
      <c r="Z90" s="99">
        <v>2.0</v>
      </c>
      <c r="AA90" s="101">
        <v>0.5770833333333332</v>
      </c>
      <c r="AB90" s="101">
        <v>0.5868055555555554</v>
      </c>
      <c r="AC90" s="99">
        <v>0.0</v>
      </c>
      <c r="AD90" s="101">
        <v>0.5868055555555554</v>
      </c>
      <c r="AE90" s="101">
        <v>0.5937499999999998</v>
      </c>
      <c r="AF90" s="99">
        <v>3.0</v>
      </c>
      <c r="AG90" s="101">
        <v>0.5958333333333331</v>
      </c>
      <c r="AH90" s="103">
        <v>129.99999999999955</v>
      </c>
      <c r="AI90" s="103">
        <v>18.0</v>
      </c>
      <c r="AJ90" s="104">
        <v>0.16071428571428636</v>
      </c>
      <c r="AK90" s="142">
        <v>68.99999999999976</v>
      </c>
      <c r="AL90" s="142"/>
      <c r="AN90" s="109">
        <v>9.999999999999545</v>
      </c>
    </row>
    <row r="91" ht="13.5" customHeight="1">
      <c r="A91" s="127"/>
      <c r="B91" s="331" t="s">
        <v>78</v>
      </c>
      <c r="C91" s="101">
        <v>0.5472222222222222</v>
      </c>
      <c r="D91" s="101">
        <v>0.5562499999999999</v>
      </c>
      <c r="E91" s="99">
        <v>0.0</v>
      </c>
      <c r="F91" s="101">
        <v>0.5562499999999999</v>
      </c>
      <c r="G91" s="101">
        <v>0.5659722222222221</v>
      </c>
      <c r="H91" s="99">
        <v>2.0</v>
      </c>
      <c r="I91" s="101">
        <v>0.567361111111111</v>
      </c>
      <c r="J91" s="327">
        <v>0.5756944444444443</v>
      </c>
      <c r="K91" s="99">
        <v>0.0</v>
      </c>
      <c r="L91" s="327">
        <v>0.5756944444444443</v>
      </c>
      <c r="M91" s="101">
        <v>0.5791666666666665</v>
      </c>
      <c r="N91" s="99">
        <v>4.0</v>
      </c>
      <c r="O91" s="101">
        <v>0.5819444444444443</v>
      </c>
      <c r="P91" s="101">
        <v>0.5895833333333331</v>
      </c>
      <c r="Q91" s="99">
        <v>3.0</v>
      </c>
      <c r="R91" s="101">
        <v>0.5916666666666665</v>
      </c>
      <c r="S91" s="101">
        <v>0.6027777777777775</v>
      </c>
      <c r="T91" s="99">
        <v>4.0</v>
      </c>
      <c r="U91" s="101">
        <v>0.6055555555555553</v>
      </c>
      <c r="V91" s="101">
        <v>0.6083333333333331</v>
      </c>
      <c r="W91" s="99">
        <v>0.0</v>
      </c>
      <c r="X91" s="101">
        <v>0.6083333333333331</v>
      </c>
      <c r="Y91" s="101">
        <v>0.6173611111111108</v>
      </c>
      <c r="Z91" s="99">
        <v>2.0</v>
      </c>
      <c r="AA91" s="101">
        <v>0.6187499999999997</v>
      </c>
      <c r="AB91" s="101">
        <v>0.6284722222222219</v>
      </c>
      <c r="AC91" s="99">
        <v>0.0</v>
      </c>
      <c r="AD91" s="101">
        <v>0.6284722222222219</v>
      </c>
      <c r="AE91" s="101">
        <v>0.6354166666666663</v>
      </c>
      <c r="AF91" s="99">
        <v>3.0</v>
      </c>
      <c r="AG91" s="101">
        <v>0.6374999999999996</v>
      </c>
      <c r="AH91" s="103">
        <v>129.99999999999955</v>
      </c>
      <c r="AI91" s="103">
        <v>18.0</v>
      </c>
      <c r="AJ91" s="104">
        <v>0.16071428571428636</v>
      </c>
      <c r="AK91" s="142">
        <v>59.99999999999979</v>
      </c>
      <c r="AL91" s="142"/>
      <c r="AN91" s="109">
        <v>9.999999999999545</v>
      </c>
    </row>
    <row r="92" ht="13.5" customHeight="1">
      <c r="A92" s="127"/>
      <c r="B92" s="331" t="s">
        <v>78</v>
      </c>
      <c r="C92" s="101">
        <v>0.5958333333333331</v>
      </c>
      <c r="D92" s="101">
        <v>0.6048611111111108</v>
      </c>
      <c r="E92" s="99">
        <v>0.0</v>
      </c>
      <c r="F92" s="101">
        <v>0.6048611111111108</v>
      </c>
      <c r="G92" s="101">
        <v>0.614583333333333</v>
      </c>
      <c r="H92" s="99">
        <v>2.0</v>
      </c>
      <c r="I92" s="101">
        <v>0.6159722222222219</v>
      </c>
      <c r="J92" s="101">
        <v>0.6243055555555552</v>
      </c>
      <c r="K92" s="99">
        <v>0.0</v>
      </c>
      <c r="L92" s="101">
        <v>0.6243055555555552</v>
      </c>
      <c r="M92" s="101">
        <v>0.6277777777777774</v>
      </c>
      <c r="N92" s="99">
        <v>4.0</v>
      </c>
      <c r="O92" s="101">
        <v>0.6305555555555552</v>
      </c>
      <c r="P92" s="101">
        <v>0.6381944444444441</v>
      </c>
      <c r="Q92" s="99">
        <v>3.0</v>
      </c>
      <c r="R92" s="101">
        <v>0.6402777777777774</v>
      </c>
      <c r="S92" s="101">
        <v>0.6513888888888885</v>
      </c>
      <c r="T92" s="99">
        <v>4.0</v>
      </c>
      <c r="U92" s="101">
        <v>0.6541666666666662</v>
      </c>
      <c r="V92" s="101">
        <v>0.656944444444444</v>
      </c>
      <c r="W92" s="99">
        <v>0.0</v>
      </c>
      <c r="X92" s="101">
        <v>0.656944444444444</v>
      </c>
      <c r="Y92" s="101">
        <v>0.6659722222222217</v>
      </c>
      <c r="Z92" s="99">
        <v>2.0</v>
      </c>
      <c r="AA92" s="101">
        <v>0.6673611111111106</v>
      </c>
      <c r="AB92" s="101">
        <v>0.6770833333333328</v>
      </c>
      <c r="AC92" s="99">
        <v>0.0</v>
      </c>
      <c r="AD92" s="101">
        <v>0.6770833333333328</v>
      </c>
      <c r="AE92" s="101">
        <v>0.6840277777777772</v>
      </c>
      <c r="AF92" s="99">
        <v>3.0</v>
      </c>
      <c r="AG92" s="101">
        <v>0.6861111111111106</v>
      </c>
      <c r="AH92" s="103">
        <v>129.99999999999955</v>
      </c>
      <c r="AI92" s="103">
        <v>18.0</v>
      </c>
      <c r="AJ92" s="104">
        <v>0.16071428571428636</v>
      </c>
      <c r="AK92" s="142">
        <v>69.99999999999974</v>
      </c>
      <c r="AL92" s="142"/>
      <c r="AN92" s="109">
        <v>9.999999999999545</v>
      </c>
    </row>
    <row r="93" ht="13.5" customHeight="1">
      <c r="A93" s="127"/>
      <c r="B93" s="331" t="s">
        <v>78</v>
      </c>
      <c r="C93" s="101">
        <v>0.6374999999999996</v>
      </c>
      <c r="D93" s="101">
        <v>0.6465277777777774</v>
      </c>
      <c r="E93" s="99">
        <v>0.0</v>
      </c>
      <c r="F93" s="101">
        <v>0.6465277777777774</v>
      </c>
      <c r="G93" s="101">
        <v>0.6562499999999996</v>
      </c>
      <c r="H93" s="99">
        <v>2.0</v>
      </c>
      <c r="I93" s="101">
        <v>0.6576388888888884</v>
      </c>
      <c r="J93" s="101">
        <v>0.6659722222222217</v>
      </c>
      <c r="K93" s="99">
        <v>0.0</v>
      </c>
      <c r="L93" s="101">
        <v>0.6659722222222217</v>
      </c>
      <c r="M93" s="101">
        <v>0.669444444444444</v>
      </c>
      <c r="N93" s="99">
        <v>4.0</v>
      </c>
      <c r="O93" s="101">
        <v>0.6722222222222217</v>
      </c>
      <c r="P93" s="101">
        <v>0.6798611111111106</v>
      </c>
      <c r="Q93" s="99">
        <v>3.0</v>
      </c>
      <c r="R93" s="101">
        <v>0.6819444444444439</v>
      </c>
      <c r="S93" s="101">
        <v>0.693055555555555</v>
      </c>
      <c r="T93" s="99">
        <v>4.0</v>
      </c>
      <c r="U93" s="101">
        <v>0.6958333333333327</v>
      </c>
      <c r="V93" s="101">
        <v>0.6986111111111105</v>
      </c>
      <c r="W93" s="99">
        <v>0.0</v>
      </c>
      <c r="X93" s="327">
        <v>0.6986111111111105</v>
      </c>
      <c r="Y93" s="101">
        <v>0.7076388888888883</v>
      </c>
      <c r="Z93" s="99">
        <v>2.0</v>
      </c>
      <c r="AA93" s="101">
        <v>0.7090277777777771</v>
      </c>
      <c r="AB93" s="101">
        <v>0.7187499999999993</v>
      </c>
      <c r="AC93" s="99">
        <v>0.0</v>
      </c>
      <c r="AD93" s="101">
        <v>0.7187499999999993</v>
      </c>
      <c r="AE93" s="101">
        <v>0.7256944444444438</v>
      </c>
      <c r="AF93" s="99">
        <v>3.0</v>
      </c>
      <c r="AG93" s="101">
        <v>0.7277777777777771</v>
      </c>
      <c r="AH93" s="103">
        <v>129.99999999999955</v>
      </c>
      <c r="AI93" s="103">
        <v>18.0</v>
      </c>
      <c r="AJ93" s="104">
        <v>0.16071428571428636</v>
      </c>
      <c r="AK93" s="142">
        <v>59.99999999999979</v>
      </c>
      <c r="AL93" s="142"/>
      <c r="AN93" s="109">
        <v>9.999999999999545</v>
      </c>
    </row>
    <row r="94" ht="13.5" customHeight="1">
      <c r="A94" s="127"/>
      <c r="B94" s="331" t="s">
        <v>78</v>
      </c>
      <c r="C94" s="101">
        <v>0.6861111111111106</v>
      </c>
      <c r="D94" s="101">
        <v>0.6951388888888883</v>
      </c>
      <c r="E94" s="99">
        <v>0.0</v>
      </c>
      <c r="F94" s="101">
        <v>0.6951388888888883</v>
      </c>
      <c r="G94" s="101">
        <v>0.7048611111111105</v>
      </c>
      <c r="H94" s="99">
        <v>2.0</v>
      </c>
      <c r="I94" s="101">
        <v>0.7062499999999994</v>
      </c>
      <c r="J94" s="101">
        <v>0.7145833333333327</v>
      </c>
      <c r="K94" s="99">
        <v>0.0</v>
      </c>
      <c r="L94" s="101">
        <v>0.7145833333333327</v>
      </c>
      <c r="M94" s="101">
        <v>0.7180555555555549</v>
      </c>
      <c r="N94" s="99">
        <v>4.0</v>
      </c>
      <c r="O94" s="101">
        <v>0.7208333333333327</v>
      </c>
      <c r="P94" s="101">
        <v>0.7284722222222215</v>
      </c>
      <c r="Q94" s="99">
        <v>3.0</v>
      </c>
      <c r="R94" s="101">
        <v>0.7305555555555548</v>
      </c>
      <c r="S94" s="101">
        <v>0.7416666666666659</v>
      </c>
      <c r="T94" s="99">
        <v>4.0</v>
      </c>
      <c r="U94" s="325">
        <v>0.7444444444444437</v>
      </c>
      <c r="V94" s="101">
        <v>0.7472222222222215</v>
      </c>
      <c r="W94" s="99">
        <v>0.0</v>
      </c>
      <c r="X94" s="101">
        <v>0.7472222222222215</v>
      </c>
      <c r="Y94" s="101">
        <v>0.7562499999999992</v>
      </c>
      <c r="Z94" s="99">
        <v>2.0</v>
      </c>
      <c r="AA94" s="101">
        <v>0.7576388888888881</v>
      </c>
      <c r="AB94" s="101">
        <v>0.7673611111111103</v>
      </c>
      <c r="AC94" s="99">
        <v>0.0</v>
      </c>
      <c r="AD94" s="101">
        <v>0.7673611111111103</v>
      </c>
      <c r="AE94" s="101">
        <v>0.7743055555555547</v>
      </c>
      <c r="AF94" s="99">
        <v>1.0</v>
      </c>
      <c r="AG94" s="101">
        <v>0.7749999999999991</v>
      </c>
      <c r="AH94" s="103">
        <v>127.99999999999955</v>
      </c>
      <c r="AI94" s="103">
        <v>16.0</v>
      </c>
      <c r="AJ94" s="104">
        <v>0.14285714285714343</v>
      </c>
      <c r="AK94" s="142">
        <v>69.99999999999974</v>
      </c>
      <c r="AL94" s="142"/>
      <c r="AN94" s="109">
        <v>7.999999999999545</v>
      </c>
    </row>
    <row r="95" ht="13.5" customHeight="1">
      <c r="A95" s="127"/>
      <c r="B95" s="331" t="s">
        <v>78</v>
      </c>
      <c r="C95" s="101">
        <v>0.7277777777777771</v>
      </c>
      <c r="D95" s="101">
        <v>0.7368055555555548</v>
      </c>
      <c r="E95" s="99">
        <v>0.0</v>
      </c>
      <c r="F95" s="101">
        <v>0.7368055555555548</v>
      </c>
      <c r="G95" s="101">
        <v>0.746527777777777</v>
      </c>
      <c r="H95" s="99">
        <v>2.0</v>
      </c>
      <c r="I95" s="101">
        <v>0.7479166666666659</v>
      </c>
      <c r="J95" s="101">
        <v>0.7562499999999992</v>
      </c>
      <c r="K95" s="99">
        <v>0.0</v>
      </c>
      <c r="L95" s="101">
        <v>0.7562499999999992</v>
      </c>
      <c r="M95" s="101">
        <v>0.7597222222222214</v>
      </c>
      <c r="N95" s="99">
        <v>4.0</v>
      </c>
      <c r="O95" s="101">
        <v>0.7624999999999992</v>
      </c>
      <c r="P95" s="101">
        <v>0.770138888888888</v>
      </c>
      <c r="Q95" s="99">
        <v>3.0</v>
      </c>
      <c r="R95" s="101">
        <v>0.7722222222222214</v>
      </c>
      <c r="S95" s="101">
        <v>0.7833333333333324</v>
      </c>
      <c r="T95" s="99">
        <v>4.0</v>
      </c>
      <c r="U95" s="325">
        <v>0.7861111111111102</v>
      </c>
      <c r="V95" s="101">
        <v>0.788888888888888</v>
      </c>
      <c r="W95" s="99">
        <v>0.0</v>
      </c>
      <c r="X95" s="101">
        <v>0.788888888888888</v>
      </c>
      <c r="Y95" s="101">
        <v>0.7979166666666657</v>
      </c>
      <c r="Z95" s="99">
        <v>2.0</v>
      </c>
      <c r="AA95" s="101">
        <v>0.7993055555555546</v>
      </c>
      <c r="AB95" s="101">
        <v>0.8090277777777768</v>
      </c>
      <c r="AC95" s="99">
        <v>0.0</v>
      </c>
      <c r="AD95" s="101">
        <v>0.8090277777777768</v>
      </c>
      <c r="AE95" s="101">
        <v>0.8159722222222212</v>
      </c>
      <c r="AF95" s="99">
        <v>1.0</v>
      </c>
      <c r="AG95" s="101">
        <v>0.8166666666666657</v>
      </c>
      <c r="AH95" s="103">
        <v>127.99999999999955</v>
      </c>
      <c r="AI95" s="103">
        <v>16.0</v>
      </c>
      <c r="AJ95" s="104">
        <v>0.14285714285714343</v>
      </c>
      <c r="AK95" s="142">
        <v>59.99999999999979</v>
      </c>
      <c r="AL95" s="142"/>
      <c r="AN95" s="109">
        <v>7.999999999999545</v>
      </c>
    </row>
    <row r="96" ht="13.5" customHeight="1">
      <c r="A96" s="127"/>
      <c r="B96" s="331" t="s">
        <v>79</v>
      </c>
      <c r="C96" s="101">
        <v>0.7749999999999991</v>
      </c>
      <c r="D96" s="101">
        <v>0.7833333333333324</v>
      </c>
      <c r="E96" s="99">
        <v>0.0</v>
      </c>
      <c r="F96" s="101">
        <v>0.7833333333333324</v>
      </c>
      <c r="G96" s="101">
        <v>0.7923611111111102</v>
      </c>
      <c r="H96" s="99">
        <v>3.0</v>
      </c>
      <c r="I96" s="101">
        <v>0.7944444444444435</v>
      </c>
      <c r="J96" s="101">
        <v>0.8020833333333324</v>
      </c>
      <c r="K96" s="99">
        <v>0.0</v>
      </c>
      <c r="L96" s="101">
        <v>0.8020833333333324</v>
      </c>
      <c r="M96" s="101">
        <v>0.8048611111111101</v>
      </c>
      <c r="N96" s="99">
        <v>2.0</v>
      </c>
      <c r="O96" s="325">
        <v>0.806249999999999</v>
      </c>
      <c r="P96" s="101">
        <v>0.8138888888888879</v>
      </c>
      <c r="Q96" s="99">
        <v>2.0</v>
      </c>
      <c r="R96" s="101">
        <v>0.8152777777777768</v>
      </c>
      <c r="S96" s="101">
        <v>0.824999999999999</v>
      </c>
      <c r="T96" s="99">
        <v>4.0</v>
      </c>
      <c r="U96" s="325">
        <v>0.8277777777777767</v>
      </c>
      <c r="V96" s="327">
        <v>0.8305555555555545</v>
      </c>
      <c r="W96" s="99">
        <v>0.0</v>
      </c>
      <c r="X96" s="101">
        <v>0.8305555555555545</v>
      </c>
      <c r="Y96" s="101">
        <v>0.8381944444444434</v>
      </c>
      <c r="Z96" s="99">
        <v>3.0</v>
      </c>
      <c r="AA96" s="101">
        <v>0.8402777777777767</v>
      </c>
      <c r="AB96" s="101">
        <v>0.84861111111111</v>
      </c>
      <c r="AC96" s="99">
        <v>0.0</v>
      </c>
      <c r="AD96" s="101">
        <v>0.84861111111111</v>
      </c>
      <c r="AE96" s="101">
        <v>0.8562499999999988</v>
      </c>
      <c r="AF96" s="99">
        <v>3.0</v>
      </c>
      <c r="AG96" s="101">
        <v>0.8583333333333322</v>
      </c>
      <c r="AH96" s="103">
        <v>119.99999999999957</v>
      </c>
      <c r="AI96" s="103">
        <v>17.0</v>
      </c>
      <c r="AJ96" s="104">
        <v>0.16504854368932106</v>
      </c>
      <c r="AK96" s="142">
        <v>59.99999999999979</v>
      </c>
      <c r="AL96" s="142"/>
      <c r="AN96" s="109">
        <v>-4.263256414560601E-13</v>
      </c>
    </row>
    <row r="97" ht="13.5" customHeight="1">
      <c r="A97" s="127"/>
      <c r="B97" s="331" t="s">
        <v>79</v>
      </c>
      <c r="C97" s="101">
        <v>0.8166666666666657</v>
      </c>
      <c r="D97" s="101">
        <v>0.824999999999999</v>
      </c>
      <c r="E97" s="99">
        <v>0.0</v>
      </c>
      <c r="F97" s="101">
        <v>0.824999999999999</v>
      </c>
      <c r="G97" s="101">
        <v>0.8340277777777767</v>
      </c>
      <c r="H97" s="99">
        <v>3.0</v>
      </c>
      <c r="I97" s="101">
        <v>0.83611111111111</v>
      </c>
      <c r="J97" s="101">
        <v>0.8437499999999989</v>
      </c>
      <c r="K97" s="99">
        <v>0.0</v>
      </c>
      <c r="L97" s="101">
        <v>0.8437499999999989</v>
      </c>
      <c r="M97" s="101">
        <v>0.8465277777777767</v>
      </c>
      <c r="N97" s="99">
        <v>2.0</v>
      </c>
      <c r="O97" s="325">
        <v>0.8479166666666655</v>
      </c>
      <c r="P97" s="101">
        <v>0.8555555555555544</v>
      </c>
      <c r="Q97" s="99">
        <v>2.0</v>
      </c>
      <c r="R97" s="101">
        <v>0.8569444444444433</v>
      </c>
      <c r="S97" s="101">
        <v>0.8666666666666655</v>
      </c>
      <c r="T97" s="99">
        <v>4.0</v>
      </c>
      <c r="U97" s="325">
        <v>0.8694444444444432</v>
      </c>
      <c r="V97" s="101">
        <v>0.872222222222221</v>
      </c>
      <c r="W97" s="99">
        <v>0.0</v>
      </c>
      <c r="X97" s="101">
        <v>0.872222222222221</v>
      </c>
      <c r="Y97" s="101">
        <v>0.8798611111111099</v>
      </c>
      <c r="Z97" s="99">
        <v>3.0</v>
      </c>
      <c r="AA97" s="101">
        <v>0.8819444444444432</v>
      </c>
      <c r="AB97" s="101">
        <v>0.8902777777777765</v>
      </c>
      <c r="AC97" s="99">
        <v>0.0</v>
      </c>
      <c r="AD97" s="101">
        <v>0.8902777777777765</v>
      </c>
      <c r="AE97" s="101">
        <v>0.8979166666666654</v>
      </c>
      <c r="AF97" s="99">
        <v>3.0</v>
      </c>
      <c r="AG97" s="101">
        <v>0.8999999999999987</v>
      </c>
      <c r="AH97" s="103">
        <v>119.99999999999957</v>
      </c>
      <c r="AI97" s="103">
        <v>17.0</v>
      </c>
      <c r="AJ97" s="104">
        <v>0.16504854368932106</v>
      </c>
      <c r="AK97" s="142">
        <v>59.99999999999979</v>
      </c>
      <c r="AL97" s="142"/>
      <c r="AN97" s="109">
        <v>-4.263256414560601E-13</v>
      </c>
    </row>
    <row r="98" ht="13.5" customHeight="1">
      <c r="A98" s="127"/>
      <c r="B98" s="331" t="s">
        <v>79</v>
      </c>
      <c r="C98" s="101">
        <v>0.8583333333333322</v>
      </c>
      <c r="D98" s="101">
        <v>0.8666666666666655</v>
      </c>
      <c r="E98" s="99">
        <v>0.0</v>
      </c>
      <c r="F98" s="101">
        <v>0.8666666666666655</v>
      </c>
      <c r="G98" s="101">
        <v>0.8756944444444432</v>
      </c>
      <c r="H98" s="99">
        <v>3.0</v>
      </c>
      <c r="I98" s="101">
        <v>0.8777777777777765</v>
      </c>
      <c r="J98" s="101">
        <v>0.8854166666666654</v>
      </c>
      <c r="K98" s="99">
        <v>0.0</v>
      </c>
      <c r="L98" s="101">
        <v>0.8854166666666654</v>
      </c>
      <c r="M98" s="101">
        <v>0.8881944444444432</v>
      </c>
      <c r="N98" s="99">
        <v>4.0</v>
      </c>
      <c r="O98" s="325">
        <v>0.8909722222222209</v>
      </c>
      <c r="P98" s="101">
        <v>0.8986111111111098</v>
      </c>
      <c r="Q98" s="99">
        <v>2.0</v>
      </c>
      <c r="R98" s="101">
        <v>0.8999999999999987</v>
      </c>
      <c r="S98" s="101">
        <v>0.9097222222222209</v>
      </c>
      <c r="T98" s="99">
        <v>4.0</v>
      </c>
      <c r="U98" s="325">
        <v>0.9124999999999986</v>
      </c>
      <c r="V98" s="101">
        <v>0.9152777777777764</v>
      </c>
      <c r="W98" s="99">
        <v>0.0</v>
      </c>
      <c r="X98" s="101">
        <v>0.9152777777777764</v>
      </c>
      <c r="Y98" s="101">
        <v>0.9229166666666653</v>
      </c>
      <c r="Z98" s="99">
        <v>3.0</v>
      </c>
      <c r="AA98" s="101">
        <v>0.9249999999999986</v>
      </c>
      <c r="AB98" s="101">
        <v>0.9333333333333319</v>
      </c>
      <c r="AC98" s="99">
        <v>0.0</v>
      </c>
      <c r="AD98" s="101">
        <v>0.9333333333333319</v>
      </c>
      <c r="AE98" s="101">
        <v>0.9409722222222208</v>
      </c>
      <c r="AF98" s="99"/>
      <c r="AG98" s="329" t="s">
        <v>187</v>
      </c>
      <c r="AH98" s="103">
        <v>118.99999999999957</v>
      </c>
      <c r="AI98" s="103">
        <v>16.0</v>
      </c>
      <c r="AJ98" s="104">
        <v>0.15533980582524337</v>
      </c>
      <c r="AK98" s="142">
        <v>61.99999999999978</v>
      </c>
      <c r="AL98" s="142"/>
      <c r="AN98" s="109">
        <v>-1.0000000000004263</v>
      </c>
    </row>
    <row r="99" ht="13.5" customHeight="1">
      <c r="A99" s="127"/>
      <c r="B99" s="331" t="s">
        <v>79</v>
      </c>
      <c r="C99" s="101">
        <v>0.8999999999999987</v>
      </c>
      <c r="D99" s="101">
        <v>0.908333333333332</v>
      </c>
      <c r="E99" s="99">
        <v>0.0</v>
      </c>
      <c r="F99" s="101">
        <v>0.908333333333332</v>
      </c>
      <c r="G99" s="101">
        <v>0.9173611111111097</v>
      </c>
      <c r="H99" s="99">
        <v>3.0</v>
      </c>
      <c r="I99" s="101">
        <v>0.9194444444444431</v>
      </c>
      <c r="J99" s="101">
        <v>0.9270833333333319</v>
      </c>
      <c r="K99" s="99">
        <v>0.0</v>
      </c>
      <c r="L99" s="101">
        <v>0.9270833333333319</v>
      </c>
      <c r="M99" s="101">
        <v>0.9298611111111097</v>
      </c>
      <c r="N99" s="99">
        <v>4.0</v>
      </c>
      <c r="O99" s="325">
        <v>0.9326388888888875</v>
      </c>
      <c r="P99" s="101">
        <v>0.9402777777777763</v>
      </c>
      <c r="Q99" s="99"/>
      <c r="R99" s="329" t="s">
        <v>187</v>
      </c>
      <c r="S99" s="101"/>
      <c r="T99" s="99"/>
      <c r="U99" s="101"/>
      <c r="V99" s="101"/>
      <c r="W99" s="99"/>
      <c r="X99" s="101"/>
      <c r="Y99" s="101"/>
      <c r="Z99" s="99"/>
      <c r="AA99" s="101"/>
      <c r="AB99" s="101"/>
      <c r="AC99" s="99"/>
      <c r="AD99" s="101"/>
      <c r="AE99" s="101"/>
      <c r="AF99" s="99"/>
      <c r="AG99" s="101"/>
      <c r="AH99" s="103">
        <v>57.999999999999794</v>
      </c>
      <c r="AI99" s="103">
        <v>7.0</v>
      </c>
      <c r="AJ99" s="104">
        <v>0.13725490196078488</v>
      </c>
      <c r="AK99" s="142">
        <v>59.99999999999979</v>
      </c>
      <c r="AL99" s="142"/>
      <c r="AN99" s="109"/>
    </row>
    <row r="100" ht="13.5" customHeight="1">
      <c r="A100" s="156"/>
      <c r="D100" s="313"/>
      <c r="E100" s="99">
        <v>0.0</v>
      </c>
      <c r="F100" s="313"/>
      <c r="G100" s="73"/>
      <c r="H100" s="99">
        <v>28.0</v>
      </c>
      <c r="I100" s="62"/>
      <c r="J100" s="73"/>
      <c r="K100" s="99">
        <v>0.0</v>
      </c>
      <c r="L100" s="62"/>
      <c r="M100" s="73"/>
      <c r="N100" s="99">
        <v>44.0</v>
      </c>
      <c r="O100" s="62"/>
      <c r="P100" s="158"/>
      <c r="Q100" s="99">
        <v>28.0</v>
      </c>
      <c r="T100" s="99">
        <v>44.0</v>
      </c>
      <c r="U100" s="73"/>
      <c r="V100" s="73"/>
      <c r="W100" s="99">
        <v>0.0</v>
      </c>
      <c r="X100" s="62"/>
      <c r="Y100" s="73"/>
      <c r="Z100" s="99">
        <v>33.0</v>
      </c>
      <c r="AA100" s="62"/>
      <c r="AB100" s="62"/>
      <c r="AC100" s="99">
        <v>0.0</v>
      </c>
      <c r="AD100" s="62"/>
      <c r="AE100" s="73"/>
      <c r="AF100" s="99">
        <v>30.0</v>
      </c>
      <c r="AG100" s="73" t="s">
        <v>34</v>
      </c>
      <c r="AH100" s="314">
        <v>29.016666666666595</v>
      </c>
      <c r="AI100" s="314">
        <v>3.55</v>
      </c>
      <c r="AJ100" s="104">
        <v>0.1388526727509782</v>
      </c>
      <c r="AM100" s="39" t="s">
        <v>188</v>
      </c>
      <c r="AN100" s="332">
        <v>60.999999999995964</v>
      </c>
      <c r="AO100" s="39">
        <v>30.499999999997982</v>
      </c>
    </row>
    <row r="101" ht="13.5" customHeight="1">
      <c r="R101" s="315"/>
    </row>
    <row r="102" ht="13.5" customHeight="1">
      <c r="R102" s="315"/>
    </row>
    <row r="103" ht="13.5" customHeight="1">
      <c r="R103" s="315"/>
    </row>
    <row r="104" ht="13.5" customHeight="1">
      <c r="R104" s="315"/>
    </row>
    <row r="105" ht="13.5" customHeight="1">
      <c r="R105" s="315"/>
    </row>
    <row r="106" ht="13.5" customHeight="1">
      <c r="R106" s="315"/>
    </row>
    <row r="107" ht="13.5" customHeight="1">
      <c r="R107" s="315"/>
    </row>
    <row r="108" ht="13.5" customHeight="1">
      <c r="R108" s="315"/>
    </row>
    <row r="109" ht="13.5" customHeight="1">
      <c r="R109" s="315"/>
    </row>
    <row r="110" ht="13.5" customHeight="1">
      <c r="R110" s="315"/>
    </row>
    <row r="111" ht="13.5" customHeight="1">
      <c r="R111" s="315"/>
    </row>
    <row r="112" ht="13.5" customHeight="1">
      <c r="R112" s="315"/>
    </row>
    <row r="113" ht="13.5" customHeight="1">
      <c r="R113" s="315"/>
    </row>
    <row r="114" ht="13.5" customHeight="1">
      <c r="R114" s="315"/>
    </row>
    <row r="115" ht="13.5" customHeight="1">
      <c r="R115" s="315"/>
    </row>
    <row r="116" ht="13.5" customHeight="1">
      <c r="R116" s="315"/>
    </row>
    <row r="117" ht="13.5" customHeight="1">
      <c r="R117" s="315"/>
    </row>
    <row r="118" ht="13.5" customHeight="1">
      <c r="R118" s="315"/>
    </row>
    <row r="119" ht="13.5" customHeight="1">
      <c r="R119" s="315"/>
    </row>
    <row r="120" ht="13.5" customHeight="1">
      <c r="R120" s="315"/>
    </row>
    <row r="121" ht="13.5" customHeight="1">
      <c r="R121" s="315"/>
    </row>
    <row r="122" ht="13.5" customHeight="1">
      <c r="R122" s="315"/>
    </row>
    <row r="123" ht="13.5" customHeight="1">
      <c r="R123" s="315"/>
    </row>
    <row r="124" ht="13.5" customHeight="1">
      <c r="R124" s="315"/>
    </row>
    <row r="125" ht="13.5" customHeight="1">
      <c r="R125" s="315"/>
    </row>
    <row r="126" ht="13.5" customHeight="1">
      <c r="R126" s="315"/>
    </row>
    <row r="127" ht="13.5" customHeight="1">
      <c r="R127" s="315"/>
    </row>
    <row r="128" ht="13.5" customHeight="1">
      <c r="R128" s="315"/>
    </row>
    <row r="129" ht="13.5" customHeight="1">
      <c r="R129" s="315"/>
    </row>
    <row r="130" ht="13.5" customHeight="1">
      <c r="R130" s="315"/>
    </row>
    <row r="131" ht="13.5" customHeight="1">
      <c r="R131" s="315"/>
    </row>
    <row r="132" ht="13.5" customHeight="1">
      <c r="R132" s="315"/>
    </row>
    <row r="133" ht="13.5" customHeight="1">
      <c r="R133" s="315"/>
    </row>
    <row r="134" ht="13.5" customHeight="1">
      <c r="R134" s="315"/>
    </row>
    <row r="135" ht="13.5" customHeight="1">
      <c r="R135" s="315"/>
    </row>
    <row r="136" ht="13.5" customHeight="1">
      <c r="R136" s="315"/>
    </row>
    <row r="137" ht="13.5" customHeight="1">
      <c r="R137" s="315"/>
    </row>
    <row r="138" ht="13.5" customHeight="1">
      <c r="R138" s="315"/>
    </row>
    <row r="139" ht="13.5" customHeight="1">
      <c r="R139" s="315"/>
    </row>
    <row r="140" ht="13.5" customHeight="1">
      <c r="R140" s="315"/>
    </row>
    <row r="141" ht="13.5" customHeight="1">
      <c r="R141" s="315"/>
    </row>
    <row r="142" ht="13.5" customHeight="1">
      <c r="R142" s="315"/>
    </row>
    <row r="143" ht="13.5" customHeight="1">
      <c r="R143" s="315"/>
    </row>
    <row r="144" ht="13.5" customHeight="1">
      <c r="R144" s="315"/>
    </row>
    <row r="145" ht="13.5" customHeight="1">
      <c r="R145" s="315"/>
    </row>
    <row r="146" ht="13.5" customHeight="1">
      <c r="R146" s="315"/>
    </row>
    <row r="147" ht="13.5" customHeight="1">
      <c r="R147" s="315"/>
    </row>
    <row r="148" ht="13.5" customHeight="1">
      <c r="R148" s="315"/>
    </row>
    <row r="149" ht="13.5" customHeight="1">
      <c r="R149" s="315"/>
    </row>
    <row r="150" ht="13.5" customHeight="1">
      <c r="R150" s="315"/>
    </row>
    <row r="151" ht="13.5" customHeight="1">
      <c r="R151" s="315"/>
    </row>
    <row r="152" ht="13.5" customHeight="1">
      <c r="R152" s="315"/>
    </row>
    <row r="153" ht="13.5" customHeight="1">
      <c r="R153" s="315"/>
    </row>
    <row r="154" ht="13.5" customHeight="1">
      <c r="R154" s="315"/>
    </row>
    <row r="155" ht="13.5" customHeight="1">
      <c r="R155" s="315"/>
    </row>
    <row r="156" ht="13.5" customHeight="1">
      <c r="R156" s="315"/>
    </row>
    <row r="157" ht="13.5" customHeight="1">
      <c r="R157" s="315"/>
    </row>
    <row r="158" ht="13.5" customHeight="1">
      <c r="R158" s="315"/>
    </row>
    <row r="159" ht="13.5" customHeight="1">
      <c r="R159" s="315"/>
    </row>
    <row r="160" ht="13.5" customHeight="1">
      <c r="R160" s="315"/>
    </row>
    <row r="161" ht="13.5" customHeight="1">
      <c r="R161" s="315"/>
    </row>
    <row r="162" ht="13.5" customHeight="1">
      <c r="R162" s="315"/>
    </row>
    <row r="163" ht="13.5" customHeight="1">
      <c r="R163" s="315"/>
    </row>
    <row r="164" ht="13.5" customHeight="1">
      <c r="R164" s="315"/>
    </row>
    <row r="165" ht="13.5" customHeight="1">
      <c r="R165" s="315"/>
    </row>
    <row r="166" ht="13.5" customHeight="1">
      <c r="R166" s="315"/>
    </row>
    <row r="167" ht="13.5" customHeight="1">
      <c r="R167" s="315"/>
    </row>
    <row r="168" ht="13.5" customHeight="1">
      <c r="R168" s="315"/>
    </row>
    <row r="169" ht="13.5" customHeight="1">
      <c r="R169" s="315"/>
    </row>
    <row r="170" ht="13.5" customHeight="1">
      <c r="R170" s="315"/>
    </row>
    <row r="171" ht="13.5" customHeight="1">
      <c r="R171" s="315"/>
    </row>
    <row r="172" ht="13.5" customHeight="1">
      <c r="R172" s="315"/>
    </row>
    <row r="173" ht="13.5" customHeight="1">
      <c r="R173" s="315"/>
    </row>
    <row r="174" ht="13.5" customHeight="1">
      <c r="R174" s="315"/>
    </row>
    <row r="175" ht="13.5" customHeight="1">
      <c r="R175" s="315"/>
    </row>
    <row r="176" ht="13.5" customHeight="1">
      <c r="R176" s="315"/>
    </row>
    <row r="177" ht="13.5" customHeight="1">
      <c r="R177" s="315"/>
    </row>
    <row r="178" ht="13.5" customHeight="1">
      <c r="R178" s="315"/>
    </row>
    <row r="179" ht="13.5" customHeight="1">
      <c r="R179" s="315"/>
    </row>
    <row r="180" ht="13.5" customHeight="1">
      <c r="R180" s="315"/>
    </row>
    <row r="181" ht="13.5" customHeight="1">
      <c r="R181" s="315"/>
    </row>
    <row r="182" ht="13.5" customHeight="1">
      <c r="R182" s="315"/>
    </row>
    <row r="183" ht="13.5" customHeight="1">
      <c r="R183" s="315"/>
    </row>
    <row r="184" ht="13.5" customHeight="1">
      <c r="R184" s="315"/>
    </row>
    <row r="185" ht="13.5" customHeight="1">
      <c r="R185" s="315"/>
    </row>
    <row r="186" ht="13.5" customHeight="1">
      <c r="R186" s="315"/>
    </row>
    <row r="187" ht="13.5" customHeight="1">
      <c r="R187" s="315"/>
    </row>
    <row r="188" ht="13.5" customHeight="1">
      <c r="R188" s="315"/>
    </row>
    <row r="189" ht="13.5" customHeight="1">
      <c r="R189" s="315"/>
    </row>
    <row r="190" ht="13.5" customHeight="1">
      <c r="R190" s="315"/>
    </row>
    <row r="191" ht="13.5" customHeight="1">
      <c r="R191" s="315"/>
    </row>
    <row r="192" ht="13.5" customHeight="1">
      <c r="R192" s="315"/>
    </row>
    <row r="193" ht="13.5" customHeight="1">
      <c r="R193" s="315"/>
    </row>
    <row r="194" ht="13.5" customHeight="1">
      <c r="R194" s="315"/>
    </row>
    <row r="195" ht="13.5" customHeight="1">
      <c r="R195" s="315"/>
    </row>
    <row r="196" ht="13.5" customHeight="1">
      <c r="R196" s="315"/>
    </row>
    <row r="197" ht="13.5" customHeight="1">
      <c r="R197" s="315"/>
    </row>
    <row r="198" ht="13.5" customHeight="1">
      <c r="R198" s="315"/>
    </row>
    <row r="199" ht="13.5" customHeight="1">
      <c r="R199" s="315"/>
    </row>
    <row r="200" ht="13.5" customHeight="1">
      <c r="R200" s="315"/>
    </row>
    <row r="201" ht="13.5" customHeight="1">
      <c r="R201" s="315"/>
    </row>
    <row r="202" ht="13.5" customHeight="1">
      <c r="R202" s="315"/>
    </row>
    <row r="203" ht="13.5" customHeight="1">
      <c r="R203" s="315"/>
    </row>
    <row r="204" ht="13.5" customHeight="1">
      <c r="R204" s="315"/>
    </row>
    <row r="205" ht="13.5" customHeight="1">
      <c r="R205" s="315"/>
    </row>
    <row r="206" ht="13.5" customHeight="1">
      <c r="R206" s="315"/>
    </row>
    <row r="207" ht="13.5" customHeight="1">
      <c r="R207" s="315"/>
    </row>
    <row r="208" ht="13.5" customHeight="1">
      <c r="R208" s="315"/>
    </row>
    <row r="209" ht="13.5" customHeight="1">
      <c r="R209" s="315"/>
    </row>
    <row r="210" ht="13.5" customHeight="1">
      <c r="R210" s="315"/>
    </row>
    <row r="211" ht="13.5" customHeight="1">
      <c r="R211" s="315"/>
    </row>
    <row r="212" ht="13.5" customHeight="1">
      <c r="R212" s="315"/>
    </row>
    <row r="213" ht="13.5" customHeight="1">
      <c r="R213" s="315"/>
    </row>
    <row r="214" ht="13.5" customHeight="1">
      <c r="R214" s="315"/>
    </row>
    <row r="215" ht="13.5" customHeight="1">
      <c r="R215" s="315"/>
    </row>
    <row r="216" ht="13.5" customHeight="1">
      <c r="R216" s="315"/>
    </row>
    <row r="217" ht="13.5" customHeight="1">
      <c r="R217" s="315"/>
    </row>
    <row r="218" ht="13.5" customHeight="1">
      <c r="R218" s="315"/>
    </row>
    <row r="219" ht="13.5" customHeight="1">
      <c r="R219" s="315"/>
    </row>
    <row r="220" ht="13.5" customHeight="1">
      <c r="R220" s="315"/>
    </row>
    <row r="221" ht="13.5" customHeight="1">
      <c r="R221" s="315"/>
    </row>
    <row r="222" ht="13.5" customHeight="1">
      <c r="R222" s="315"/>
    </row>
    <row r="223" ht="13.5" customHeight="1">
      <c r="R223" s="315"/>
    </row>
    <row r="224" ht="13.5" customHeight="1">
      <c r="R224" s="315"/>
    </row>
    <row r="225" ht="13.5" customHeight="1">
      <c r="R225" s="315"/>
    </row>
    <row r="226" ht="13.5" customHeight="1">
      <c r="R226" s="315"/>
    </row>
    <row r="227" ht="13.5" customHeight="1">
      <c r="R227" s="315"/>
    </row>
    <row r="228" ht="13.5" customHeight="1">
      <c r="R228" s="315"/>
    </row>
    <row r="229" ht="13.5" customHeight="1">
      <c r="R229" s="315"/>
    </row>
    <row r="230" ht="13.5" customHeight="1">
      <c r="R230" s="315"/>
    </row>
    <row r="231" ht="13.5" customHeight="1">
      <c r="R231" s="315"/>
    </row>
    <row r="232" ht="13.5" customHeight="1">
      <c r="R232" s="315"/>
    </row>
    <row r="233" ht="13.5" customHeight="1">
      <c r="R233" s="315"/>
    </row>
    <row r="234" ht="13.5" customHeight="1">
      <c r="R234" s="315"/>
    </row>
    <row r="235" ht="13.5" customHeight="1">
      <c r="R235" s="315"/>
    </row>
    <row r="236" ht="13.5" customHeight="1">
      <c r="R236" s="315"/>
    </row>
    <row r="237" ht="13.5" customHeight="1">
      <c r="R237" s="315"/>
    </row>
    <row r="238" ht="13.5" customHeight="1">
      <c r="R238" s="315"/>
    </row>
    <row r="239" ht="13.5" customHeight="1">
      <c r="R239" s="315"/>
    </row>
    <row r="240" ht="13.5" customHeight="1">
      <c r="R240" s="315"/>
    </row>
    <row r="241" ht="13.5" customHeight="1">
      <c r="R241" s="315"/>
    </row>
    <row r="242" ht="13.5" customHeight="1">
      <c r="R242" s="315"/>
    </row>
    <row r="243" ht="13.5" customHeight="1">
      <c r="R243" s="315"/>
    </row>
    <row r="244" ht="13.5" customHeight="1">
      <c r="R244" s="315"/>
    </row>
    <row r="245" ht="13.5" customHeight="1">
      <c r="R245" s="315"/>
    </row>
    <row r="246" ht="13.5" customHeight="1">
      <c r="R246" s="315"/>
    </row>
    <row r="247" ht="13.5" customHeight="1">
      <c r="R247" s="315"/>
    </row>
    <row r="248" ht="13.5" customHeight="1">
      <c r="R248" s="315"/>
    </row>
    <row r="249" ht="13.5" customHeight="1">
      <c r="R249" s="315"/>
    </row>
    <row r="250" ht="13.5" customHeight="1">
      <c r="R250" s="315"/>
    </row>
    <row r="251" ht="13.5" customHeight="1">
      <c r="R251" s="315"/>
    </row>
    <row r="252" ht="13.5" customHeight="1">
      <c r="R252" s="315"/>
    </row>
    <row r="253" ht="13.5" customHeight="1">
      <c r="R253" s="315"/>
    </row>
    <row r="254" ht="13.5" customHeight="1">
      <c r="R254" s="315"/>
    </row>
    <row r="255" ht="13.5" customHeight="1">
      <c r="R255" s="315"/>
    </row>
    <row r="256" ht="13.5" customHeight="1">
      <c r="R256" s="315"/>
    </row>
    <row r="257" ht="13.5" customHeight="1">
      <c r="R257" s="315"/>
    </row>
    <row r="258" ht="13.5" customHeight="1">
      <c r="R258" s="315"/>
    </row>
    <row r="259" ht="13.5" customHeight="1">
      <c r="R259" s="315"/>
    </row>
    <row r="260" ht="13.5" customHeight="1">
      <c r="R260" s="315"/>
    </row>
    <row r="261" ht="13.5" customHeight="1">
      <c r="R261" s="315"/>
    </row>
    <row r="262" ht="13.5" customHeight="1">
      <c r="R262" s="315"/>
    </row>
    <row r="263" ht="13.5" customHeight="1">
      <c r="R263" s="315"/>
    </row>
    <row r="264" ht="13.5" customHeight="1">
      <c r="R264" s="315"/>
    </row>
    <row r="265" ht="13.5" customHeight="1">
      <c r="R265" s="315"/>
    </row>
    <row r="266" ht="13.5" customHeight="1">
      <c r="R266" s="315"/>
    </row>
    <row r="267" ht="13.5" customHeight="1">
      <c r="R267" s="315"/>
    </row>
    <row r="268" ht="13.5" customHeight="1">
      <c r="R268" s="315"/>
    </row>
    <row r="269" ht="13.5" customHeight="1">
      <c r="R269" s="315"/>
    </row>
    <row r="270" ht="13.5" customHeight="1">
      <c r="R270" s="315"/>
    </row>
    <row r="271" ht="13.5" customHeight="1">
      <c r="R271" s="315"/>
    </row>
    <row r="272" ht="13.5" customHeight="1">
      <c r="R272" s="315"/>
    </row>
    <row r="273" ht="13.5" customHeight="1">
      <c r="R273" s="315"/>
    </row>
    <row r="274" ht="13.5" customHeight="1">
      <c r="R274" s="315"/>
    </row>
    <row r="275" ht="13.5" customHeight="1">
      <c r="R275" s="315"/>
    </row>
    <row r="276" ht="13.5" customHeight="1">
      <c r="R276" s="315"/>
    </row>
    <row r="277" ht="13.5" customHeight="1">
      <c r="R277" s="315"/>
    </row>
    <row r="278" ht="13.5" customHeight="1">
      <c r="R278" s="315"/>
    </row>
    <row r="279" ht="13.5" customHeight="1">
      <c r="R279" s="315"/>
    </row>
    <row r="280" ht="13.5" customHeight="1">
      <c r="R280" s="315"/>
    </row>
    <row r="281" ht="13.5" customHeight="1">
      <c r="R281" s="315"/>
    </row>
    <row r="282" ht="13.5" customHeight="1">
      <c r="R282" s="315"/>
    </row>
    <row r="283" ht="13.5" customHeight="1">
      <c r="R283" s="315"/>
    </row>
    <row r="284" ht="13.5" customHeight="1">
      <c r="R284" s="315"/>
    </row>
    <row r="285" ht="13.5" customHeight="1">
      <c r="R285" s="315"/>
    </row>
    <row r="286" ht="13.5" customHeight="1">
      <c r="R286" s="315"/>
    </row>
    <row r="287" ht="13.5" customHeight="1">
      <c r="R287" s="315"/>
    </row>
    <row r="288" ht="13.5" customHeight="1">
      <c r="R288" s="315"/>
    </row>
    <row r="289" ht="13.5" customHeight="1">
      <c r="R289" s="315"/>
    </row>
    <row r="290" ht="13.5" customHeight="1">
      <c r="R290" s="315"/>
    </row>
    <row r="291" ht="13.5" customHeight="1">
      <c r="R291" s="315"/>
    </row>
    <row r="292" ht="13.5" customHeight="1">
      <c r="R292" s="315"/>
    </row>
    <row r="293" ht="13.5" customHeight="1">
      <c r="R293" s="315"/>
    </row>
    <row r="294" ht="13.5" customHeight="1">
      <c r="R294" s="315"/>
    </row>
    <row r="295" ht="13.5" customHeight="1">
      <c r="R295" s="315"/>
    </row>
    <row r="296" ht="13.5" customHeight="1">
      <c r="R296" s="315"/>
    </row>
    <row r="297" ht="13.5" customHeight="1">
      <c r="R297" s="315"/>
    </row>
    <row r="298" ht="13.5" customHeight="1">
      <c r="R298" s="315"/>
    </row>
    <row r="299" ht="13.5" customHeight="1">
      <c r="R299" s="315"/>
    </row>
    <row r="300" ht="13.5" customHeight="1">
      <c r="R300" s="315"/>
    </row>
    <row r="301" ht="13.5" customHeight="1">
      <c r="R301" s="315"/>
    </row>
    <row r="302" ht="13.5" customHeight="1">
      <c r="R302" s="315"/>
    </row>
    <row r="303" ht="13.5" customHeight="1">
      <c r="R303" s="315"/>
    </row>
    <row r="304" ht="13.5" customHeight="1">
      <c r="R304" s="315"/>
    </row>
    <row r="305" ht="13.5" customHeight="1">
      <c r="R305" s="315"/>
    </row>
    <row r="306" ht="13.5" customHeight="1">
      <c r="R306" s="315"/>
    </row>
    <row r="307" ht="13.5" customHeight="1">
      <c r="R307" s="315"/>
    </row>
    <row r="308" ht="13.5" customHeight="1">
      <c r="R308" s="315"/>
    </row>
    <row r="309" ht="13.5" customHeight="1">
      <c r="R309" s="315"/>
    </row>
    <row r="310" ht="13.5" customHeight="1">
      <c r="R310" s="315"/>
    </row>
    <row r="311" ht="13.5" customHeight="1">
      <c r="R311" s="315"/>
    </row>
    <row r="312" ht="13.5" customHeight="1">
      <c r="R312" s="315"/>
    </row>
    <row r="313" ht="13.5" customHeight="1">
      <c r="R313" s="315"/>
    </row>
    <row r="314" ht="13.5" customHeight="1">
      <c r="R314" s="315"/>
    </row>
    <row r="315" ht="13.5" customHeight="1">
      <c r="R315" s="315"/>
    </row>
    <row r="316" ht="13.5" customHeight="1">
      <c r="R316" s="315"/>
    </row>
    <row r="317" ht="13.5" customHeight="1">
      <c r="R317" s="315"/>
    </row>
    <row r="318" ht="13.5" customHeight="1">
      <c r="R318" s="315"/>
    </row>
    <row r="319" ht="13.5" customHeight="1">
      <c r="R319" s="315"/>
    </row>
    <row r="320" ht="13.5" customHeight="1">
      <c r="R320" s="315"/>
    </row>
    <row r="321" ht="13.5" customHeight="1">
      <c r="R321" s="315"/>
    </row>
    <row r="322" ht="13.5" customHeight="1">
      <c r="R322" s="315"/>
    </row>
    <row r="323" ht="13.5" customHeight="1">
      <c r="R323" s="315"/>
    </row>
    <row r="324" ht="13.5" customHeight="1">
      <c r="R324" s="315"/>
    </row>
    <row r="325" ht="13.5" customHeight="1">
      <c r="R325" s="315"/>
    </row>
    <row r="326" ht="13.5" customHeight="1">
      <c r="R326" s="315"/>
    </row>
    <row r="327" ht="13.5" customHeight="1">
      <c r="R327" s="315"/>
    </row>
    <row r="328" ht="13.5" customHeight="1">
      <c r="R328" s="315"/>
    </row>
    <row r="329" ht="13.5" customHeight="1">
      <c r="R329" s="315"/>
    </row>
    <row r="330" ht="13.5" customHeight="1">
      <c r="R330" s="315"/>
    </row>
    <row r="331" ht="13.5" customHeight="1">
      <c r="R331" s="315"/>
    </row>
    <row r="332" ht="13.5" customHeight="1">
      <c r="R332" s="315"/>
    </row>
    <row r="333" ht="13.5" customHeight="1">
      <c r="R333" s="315"/>
    </row>
    <row r="334" ht="13.5" customHeight="1">
      <c r="R334" s="315"/>
    </row>
    <row r="335" ht="13.5" customHeight="1">
      <c r="R335" s="315"/>
    </row>
    <row r="336" ht="13.5" customHeight="1">
      <c r="R336" s="315"/>
    </row>
    <row r="337" ht="13.5" customHeight="1">
      <c r="R337" s="315"/>
    </row>
    <row r="338" ht="13.5" customHeight="1">
      <c r="R338" s="315"/>
    </row>
    <row r="339" ht="13.5" customHeight="1">
      <c r="R339" s="315"/>
    </row>
    <row r="340" ht="13.5" customHeight="1">
      <c r="R340" s="315"/>
    </row>
    <row r="341" ht="13.5" customHeight="1">
      <c r="R341" s="315"/>
    </row>
    <row r="342" ht="13.5" customHeight="1">
      <c r="R342" s="315"/>
    </row>
    <row r="343" ht="13.5" customHeight="1">
      <c r="R343" s="315"/>
    </row>
    <row r="344" ht="13.5" customHeight="1">
      <c r="R344" s="315"/>
    </row>
    <row r="345" ht="13.5" customHeight="1">
      <c r="R345" s="315"/>
    </row>
    <row r="346" ht="13.5" customHeight="1">
      <c r="R346" s="315"/>
    </row>
    <row r="347" ht="13.5" customHeight="1">
      <c r="R347" s="315"/>
    </row>
    <row r="348" ht="13.5" customHeight="1">
      <c r="R348" s="315"/>
    </row>
    <row r="349" ht="13.5" customHeight="1">
      <c r="R349" s="315"/>
    </row>
    <row r="350" ht="13.5" customHeight="1">
      <c r="R350" s="315"/>
    </row>
    <row r="351" ht="13.5" customHeight="1">
      <c r="R351" s="315"/>
    </row>
    <row r="352" ht="13.5" customHeight="1">
      <c r="R352" s="315"/>
    </row>
    <row r="353" ht="13.5" customHeight="1">
      <c r="R353" s="315"/>
    </row>
    <row r="354" ht="13.5" customHeight="1">
      <c r="R354" s="315"/>
    </row>
    <row r="355" ht="13.5" customHeight="1">
      <c r="R355" s="315"/>
    </row>
    <row r="356" ht="13.5" customHeight="1">
      <c r="R356" s="315"/>
    </row>
    <row r="357" ht="13.5" customHeight="1">
      <c r="R357" s="315"/>
    </row>
    <row r="358" ht="13.5" customHeight="1">
      <c r="R358" s="315"/>
    </row>
    <row r="359" ht="13.5" customHeight="1">
      <c r="R359" s="315"/>
    </row>
    <row r="360" ht="13.5" customHeight="1">
      <c r="R360" s="315"/>
    </row>
    <row r="361" ht="13.5" customHeight="1">
      <c r="R361" s="315"/>
    </row>
    <row r="362" ht="13.5" customHeight="1">
      <c r="R362" s="315"/>
    </row>
    <row r="363" ht="13.5" customHeight="1">
      <c r="R363" s="315"/>
    </row>
    <row r="364" ht="13.5" customHeight="1">
      <c r="R364" s="315"/>
    </row>
    <row r="365" ht="13.5" customHeight="1">
      <c r="R365" s="315"/>
    </row>
    <row r="366" ht="13.5" customHeight="1">
      <c r="R366" s="315"/>
    </row>
    <row r="367" ht="13.5" customHeight="1">
      <c r="R367" s="315"/>
    </row>
    <row r="368" ht="13.5" customHeight="1">
      <c r="R368" s="315"/>
    </row>
    <row r="369" ht="13.5" customHeight="1">
      <c r="R369" s="315"/>
    </row>
    <row r="370" ht="13.5" customHeight="1">
      <c r="R370" s="315"/>
    </row>
    <row r="371" ht="13.5" customHeight="1">
      <c r="R371" s="315"/>
    </row>
    <row r="372" ht="13.5" customHeight="1">
      <c r="R372" s="315"/>
    </row>
    <row r="373" ht="13.5" customHeight="1">
      <c r="R373" s="315"/>
    </row>
    <row r="374" ht="13.5" customHeight="1">
      <c r="R374" s="315"/>
    </row>
    <row r="375" ht="13.5" customHeight="1">
      <c r="R375" s="315"/>
    </row>
    <row r="376" ht="13.5" customHeight="1">
      <c r="R376" s="315"/>
    </row>
    <row r="377" ht="13.5" customHeight="1">
      <c r="R377" s="315"/>
    </row>
    <row r="378" ht="13.5" customHeight="1">
      <c r="R378" s="315"/>
    </row>
    <row r="379" ht="13.5" customHeight="1">
      <c r="R379" s="315"/>
    </row>
    <row r="380" ht="13.5" customHeight="1">
      <c r="R380" s="315"/>
    </row>
    <row r="381" ht="13.5" customHeight="1">
      <c r="R381" s="315"/>
    </row>
    <row r="382" ht="13.5" customHeight="1">
      <c r="R382" s="315"/>
    </row>
    <row r="383" ht="13.5" customHeight="1">
      <c r="R383" s="315"/>
    </row>
    <row r="384" ht="13.5" customHeight="1">
      <c r="R384" s="315"/>
    </row>
    <row r="385" ht="13.5" customHeight="1">
      <c r="R385" s="315"/>
    </row>
    <row r="386" ht="13.5" customHeight="1">
      <c r="R386" s="315"/>
    </row>
    <row r="387" ht="13.5" customHeight="1">
      <c r="R387" s="315"/>
    </row>
    <row r="388" ht="13.5" customHeight="1">
      <c r="R388" s="315"/>
    </row>
    <row r="389" ht="13.5" customHeight="1">
      <c r="R389" s="315"/>
    </row>
    <row r="390" ht="13.5" customHeight="1">
      <c r="R390" s="315"/>
    </row>
    <row r="391" ht="13.5" customHeight="1">
      <c r="R391" s="315"/>
    </row>
    <row r="392" ht="13.5" customHeight="1">
      <c r="R392" s="315"/>
    </row>
    <row r="393" ht="13.5" customHeight="1">
      <c r="R393" s="315"/>
    </row>
    <row r="394" ht="13.5" customHeight="1">
      <c r="R394" s="315"/>
    </row>
    <row r="395" ht="13.5" customHeight="1">
      <c r="R395" s="315"/>
    </row>
    <row r="396" ht="13.5" customHeight="1">
      <c r="R396" s="315"/>
    </row>
    <row r="397" ht="13.5" customHeight="1">
      <c r="R397" s="315"/>
    </row>
    <row r="398" ht="13.5" customHeight="1">
      <c r="R398" s="315"/>
    </row>
    <row r="399" ht="13.5" customHeight="1">
      <c r="R399" s="315"/>
    </row>
    <row r="400" ht="13.5" customHeight="1">
      <c r="R400" s="315"/>
    </row>
    <row r="401" ht="13.5" customHeight="1">
      <c r="R401" s="315"/>
    </row>
    <row r="402" ht="13.5" customHeight="1">
      <c r="R402" s="315"/>
    </row>
    <row r="403" ht="13.5" customHeight="1">
      <c r="R403" s="315"/>
    </row>
    <row r="404" ht="13.5" customHeight="1">
      <c r="R404" s="315"/>
    </row>
    <row r="405" ht="13.5" customHeight="1">
      <c r="R405" s="315"/>
    </row>
    <row r="406" ht="13.5" customHeight="1">
      <c r="R406" s="315"/>
    </row>
    <row r="407" ht="13.5" customHeight="1">
      <c r="R407" s="315"/>
    </row>
    <row r="408" ht="13.5" customHeight="1">
      <c r="R408" s="315"/>
    </row>
    <row r="409" ht="13.5" customHeight="1">
      <c r="R409" s="315"/>
    </row>
    <row r="410" ht="13.5" customHeight="1">
      <c r="R410" s="315"/>
    </row>
    <row r="411" ht="13.5" customHeight="1">
      <c r="R411" s="315"/>
    </row>
    <row r="412" ht="13.5" customHeight="1">
      <c r="R412" s="315"/>
    </row>
    <row r="413" ht="13.5" customHeight="1">
      <c r="R413" s="315"/>
    </row>
    <row r="414" ht="13.5" customHeight="1">
      <c r="R414" s="315"/>
    </row>
    <row r="415" ht="13.5" customHeight="1">
      <c r="R415" s="315"/>
    </row>
    <row r="416" ht="13.5" customHeight="1">
      <c r="R416" s="315"/>
    </row>
    <row r="417" ht="13.5" customHeight="1">
      <c r="R417" s="315"/>
    </row>
    <row r="418" ht="13.5" customHeight="1">
      <c r="R418" s="315"/>
    </row>
    <row r="419" ht="13.5" customHeight="1">
      <c r="R419" s="315"/>
    </row>
    <row r="420" ht="13.5" customHeight="1">
      <c r="R420" s="315"/>
    </row>
    <row r="421" ht="13.5" customHeight="1">
      <c r="R421" s="315"/>
    </row>
    <row r="422" ht="13.5" customHeight="1">
      <c r="R422" s="315"/>
    </row>
    <row r="423" ht="13.5" customHeight="1">
      <c r="R423" s="315"/>
    </row>
    <row r="424" ht="13.5" customHeight="1">
      <c r="R424" s="315"/>
    </row>
    <row r="425" ht="13.5" customHeight="1">
      <c r="R425" s="315"/>
    </row>
    <row r="426" ht="13.5" customHeight="1">
      <c r="R426" s="315"/>
    </row>
    <row r="427" ht="13.5" customHeight="1">
      <c r="R427" s="315"/>
    </row>
    <row r="428" ht="13.5" customHeight="1">
      <c r="R428" s="315"/>
    </row>
    <row r="429" ht="13.5" customHeight="1">
      <c r="R429" s="315"/>
    </row>
    <row r="430" ht="13.5" customHeight="1">
      <c r="R430" s="315"/>
    </row>
    <row r="431" ht="13.5" customHeight="1">
      <c r="R431" s="315"/>
    </row>
    <row r="432" ht="13.5" customHeight="1">
      <c r="R432" s="315"/>
    </row>
    <row r="433" ht="13.5" customHeight="1">
      <c r="R433" s="315"/>
    </row>
    <row r="434" ht="13.5" customHeight="1">
      <c r="R434" s="315"/>
    </row>
    <row r="435" ht="13.5" customHeight="1">
      <c r="R435" s="315"/>
    </row>
    <row r="436" ht="13.5" customHeight="1">
      <c r="R436" s="315"/>
    </row>
    <row r="437" ht="13.5" customHeight="1">
      <c r="R437" s="315"/>
    </row>
    <row r="438" ht="13.5" customHeight="1">
      <c r="R438" s="315"/>
    </row>
    <row r="439" ht="13.5" customHeight="1">
      <c r="R439" s="315"/>
    </row>
    <row r="440" ht="13.5" customHeight="1">
      <c r="R440" s="315"/>
    </row>
    <row r="441" ht="13.5" customHeight="1">
      <c r="R441" s="315"/>
    </row>
    <row r="442" ht="13.5" customHeight="1">
      <c r="R442" s="315"/>
    </row>
    <row r="443" ht="13.5" customHeight="1">
      <c r="R443" s="315"/>
    </row>
    <row r="444" ht="13.5" customHeight="1">
      <c r="R444" s="315"/>
    </row>
    <row r="445" ht="13.5" customHeight="1">
      <c r="R445" s="315"/>
    </row>
    <row r="446" ht="13.5" customHeight="1">
      <c r="R446" s="315"/>
    </row>
    <row r="447" ht="13.5" customHeight="1">
      <c r="R447" s="315"/>
    </row>
    <row r="448" ht="13.5" customHeight="1">
      <c r="R448" s="315"/>
    </row>
    <row r="449" ht="13.5" customHeight="1">
      <c r="R449" s="315"/>
    </row>
    <row r="450" ht="13.5" customHeight="1">
      <c r="R450" s="315"/>
    </row>
    <row r="451" ht="13.5" customHeight="1">
      <c r="R451" s="315"/>
    </row>
    <row r="452" ht="13.5" customHeight="1">
      <c r="R452" s="315"/>
    </row>
    <row r="453" ht="13.5" customHeight="1">
      <c r="R453" s="315"/>
    </row>
    <row r="454" ht="13.5" customHeight="1">
      <c r="R454" s="315"/>
    </row>
    <row r="455" ht="13.5" customHeight="1">
      <c r="R455" s="315"/>
    </row>
    <row r="456" ht="13.5" customHeight="1">
      <c r="R456" s="315"/>
    </row>
    <row r="457" ht="13.5" customHeight="1">
      <c r="R457" s="315"/>
    </row>
    <row r="458" ht="13.5" customHeight="1">
      <c r="R458" s="315"/>
    </row>
    <row r="459" ht="13.5" customHeight="1">
      <c r="R459" s="315"/>
    </row>
    <row r="460" ht="13.5" customHeight="1">
      <c r="R460" s="315"/>
    </row>
    <row r="461" ht="13.5" customHeight="1">
      <c r="R461" s="315"/>
    </row>
    <row r="462" ht="13.5" customHeight="1">
      <c r="R462" s="315"/>
    </row>
    <row r="463" ht="13.5" customHeight="1">
      <c r="R463" s="315"/>
    </row>
    <row r="464" ht="13.5" customHeight="1">
      <c r="R464" s="315"/>
    </row>
    <row r="465" ht="13.5" customHeight="1">
      <c r="R465" s="315"/>
    </row>
    <row r="466" ht="13.5" customHeight="1">
      <c r="R466" s="315"/>
    </row>
    <row r="467" ht="13.5" customHeight="1">
      <c r="R467" s="315"/>
    </row>
    <row r="468" ht="13.5" customHeight="1">
      <c r="R468" s="315"/>
    </row>
    <row r="469" ht="13.5" customHeight="1">
      <c r="R469" s="315"/>
    </row>
    <row r="470" ht="13.5" customHeight="1">
      <c r="R470" s="315"/>
    </row>
    <row r="471" ht="13.5" customHeight="1">
      <c r="R471" s="315"/>
    </row>
    <row r="472" ht="13.5" customHeight="1">
      <c r="R472" s="315"/>
    </row>
    <row r="473" ht="13.5" customHeight="1">
      <c r="R473" s="315"/>
    </row>
    <row r="474" ht="13.5" customHeight="1">
      <c r="R474" s="315"/>
    </row>
    <row r="475" ht="13.5" customHeight="1">
      <c r="R475" s="315"/>
    </row>
    <row r="476" ht="13.5" customHeight="1">
      <c r="R476" s="315"/>
    </row>
    <row r="477" ht="13.5" customHeight="1">
      <c r="R477" s="315"/>
    </row>
    <row r="478" ht="13.5" customHeight="1">
      <c r="R478" s="315"/>
    </row>
    <row r="479" ht="13.5" customHeight="1">
      <c r="R479" s="315"/>
    </row>
    <row r="480" ht="13.5" customHeight="1">
      <c r="R480" s="315"/>
    </row>
    <row r="481" ht="13.5" customHeight="1">
      <c r="R481" s="315"/>
    </row>
    <row r="482" ht="13.5" customHeight="1">
      <c r="R482" s="315"/>
    </row>
    <row r="483" ht="13.5" customHeight="1">
      <c r="R483" s="315"/>
    </row>
    <row r="484" ht="13.5" customHeight="1">
      <c r="R484" s="315"/>
    </row>
    <row r="485" ht="13.5" customHeight="1">
      <c r="R485" s="315"/>
    </row>
    <row r="486" ht="13.5" customHeight="1">
      <c r="R486" s="315"/>
    </row>
    <row r="487" ht="13.5" customHeight="1">
      <c r="R487" s="315"/>
    </row>
    <row r="488" ht="13.5" customHeight="1">
      <c r="R488" s="315"/>
    </row>
    <row r="489" ht="13.5" customHeight="1">
      <c r="R489" s="315"/>
    </row>
    <row r="490" ht="13.5" customHeight="1">
      <c r="R490" s="315"/>
    </row>
    <row r="491" ht="13.5" customHeight="1">
      <c r="R491" s="315"/>
    </row>
    <row r="492" ht="13.5" customHeight="1">
      <c r="R492" s="315"/>
    </row>
    <row r="493" ht="13.5" customHeight="1">
      <c r="R493" s="315"/>
    </row>
    <row r="494" ht="13.5" customHeight="1">
      <c r="R494" s="315"/>
    </row>
    <row r="495" ht="13.5" customHeight="1">
      <c r="R495" s="315"/>
    </row>
    <row r="496" ht="13.5" customHeight="1">
      <c r="R496" s="315"/>
    </row>
    <row r="497" ht="13.5" customHeight="1">
      <c r="R497" s="315"/>
    </row>
    <row r="498" ht="13.5" customHeight="1">
      <c r="R498" s="315"/>
    </row>
    <row r="499" ht="13.5" customHeight="1">
      <c r="R499" s="315"/>
    </row>
    <row r="500" ht="13.5" customHeight="1">
      <c r="R500" s="315"/>
    </row>
    <row r="501" ht="13.5" customHeight="1">
      <c r="R501" s="315"/>
    </row>
    <row r="502" ht="13.5" customHeight="1">
      <c r="R502" s="315"/>
    </row>
    <row r="503" ht="13.5" customHeight="1">
      <c r="R503" s="315"/>
    </row>
    <row r="504" ht="13.5" customHeight="1">
      <c r="R504" s="315"/>
    </row>
    <row r="505" ht="13.5" customHeight="1">
      <c r="R505" s="315"/>
    </row>
    <row r="506" ht="13.5" customHeight="1">
      <c r="R506" s="315"/>
    </row>
    <row r="507" ht="13.5" customHeight="1">
      <c r="R507" s="315"/>
    </row>
    <row r="508" ht="13.5" customHeight="1">
      <c r="R508" s="315"/>
    </row>
    <row r="509" ht="13.5" customHeight="1">
      <c r="R509" s="315"/>
    </row>
    <row r="510" ht="13.5" customHeight="1">
      <c r="R510" s="315"/>
    </row>
    <row r="511" ht="13.5" customHeight="1">
      <c r="R511" s="315"/>
    </row>
    <row r="512" ht="13.5" customHeight="1">
      <c r="R512" s="315"/>
    </row>
    <row r="513" ht="13.5" customHeight="1">
      <c r="R513" s="315"/>
    </row>
    <row r="514" ht="13.5" customHeight="1">
      <c r="R514" s="315"/>
    </row>
    <row r="515" ht="13.5" customHeight="1">
      <c r="R515" s="315"/>
    </row>
    <row r="516" ht="13.5" customHeight="1">
      <c r="R516" s="315"/>
    </row>
    <row r="517" ht="13.5" customHeight="1">
      <c r="R517" s="315"/>
    </row>
    <row r="518" ht="13.5" customHeight="1">
      <c r="R518" s="315"/>
    </row>
    <row r="519" ht="13.5" customHeight="1">
      <c r="R519" s="315"/>
    </row>
    <row r="520" ht="13.5" customHeight="1">
      <c r="R520" s="315"/>
    </row>
    <row r="521" ht="13.5" customHeight="1">
      <c r="R521" s="315"/>
    </row>
    <row r="522" ht="13.5" customHeight="1">
      <c r="R522" s="315"/>
    </row>
    <row r="523" ht="13.5" customHeight="1">
      <c r="R523" s="315"/>
    </row>
    <row r="524" ht="13.5" customHeight="1">
      <c r="R524" s="315"/>
    </row>
    <row r="525" ht="13.5" customHeight="1">
      <c r="R525" s="315"/>
    </row>
    <row r="526" ht="13.5" customHeight="1">
      <c r="R526" s="315"/>
    </row>
    <row r="527" ht="13.5" customHeight="1">
      <c r="R527" s="315"/>
    </row>
    <row r="528" ht="13.5" customHeight="1">
      <c r="R528" s="315"/>
    </row>
    <row r="529" ht="13.5" customHeight="1">
      <c r="R529" s="315"/>
    </row>
    <row r="530" ht="13.5" customHeight="1">
      <c r="R530" s="315"/>
    </row>
    <row r="531" ht="13.5" customHeight="1">
      <c r="R531" s="315"/>
    </row>
    <row r="532" ht="13.5" customHeight="1">
      <c r="R532" s="315"/>
    </row>
    <row r="533" ht="13.5" customHeight="1">
      <c r="R533" s="315"/>
    </row>
    <row r="534" ht="13.5" customHeight="1">
      <c r="R534" s="315"/>
    </row>
    <row r="535" ht="13.5" customHeight="1">
      <c r="R535" s="315"/>
    </row>
    <row r="536" ht="13.5" customHeight="1">
      <c r="R536" s="315"/>
    </row>
    <row r="537" ht="13.5" customHeight="1">
      <c r="R537" s="315"/>
    </row>
    <row r="538" ht="13.5" customHeight="1">
      <c r="R538" s="315"/>
    </row>
    <row r="539" ht="13.5" customHeight="1">
      <c r="R539" s="315"/>
    </row>
    <row r="540" ht="13.5" customHeight="1">
      <c r="R540" s="315"/>
    </row>
    <row r="541" ht="13.5" customHeight="1">
      <c r="R541" s="315"/>
    </row>
    <row r="542" ht="13.5" customHeight="1">
      <c r="R542" s="315"/>
    </row>
    <row r="543" ht="13.5" customHeight="1">
      <c r="R543" s="315"/>
    </row>
    <row r="544" ht="13.5" customHeight="1">
      <c r="R544" s="315"/>
    </row>
    <row r="545" ht="13.5" customHeight="1">
      <c r="R545" s="315"/>
    </row>
    <row r="546" ht="13.5" customHeight="1">
      <c r="R546" s="315"/>
    </row>
    <row r="547" ht="13.5" customHeight="1">
      <c r="R547" s="315"/>
    </row>
    <row r="548" ht="13.5" customHeight="1">
      <c r="R548" s="315"/>
    </row>
    <row r="549" ht="13.5" customHeight="1">
      <c r="R549" s="315"/>
    </row>
    <row r="550" ht="13.5" customHeight="1">
      <c r="R550" s="315"/>
    </row>
    <row r="551" ht="13.5" customHeight="1">
      <c r="R551" s="315"/>
    </row>
    <row r="552" ht="13.5" customHeight="1">
      <c r="R552" s="315"/>
    </row>
    <row r="553" ht="13.5" customHeight="1">
      <c r="R553" s="315"/>
    </row>
    <row r="554" ht="13.5" customHeight="1">
      <c r="R554" s="315"/>
    </row>
    <row r="555" ht="13.5" customHeight="1">
      <c r="R555" s="315"/>
    </row>
    <row r="556" ht="13.5" customHeight="1">
      <c r="R556" s="315"/>
    </row>
    <row r="557" ht="13.5" customHeight="1">
      <c r="R557" s="315"/>
    </row>
    <row r="558" ht="13.5" customHeight="1">
      <c r="R558" s="315"/>
    </row>
    <row r="559" ht="13.5" customHeight="1">
      <c r="R559" s="315"/>
    </row>
    <row r="560" ht="13.5" customHeight="1">
      <c r="R560" s="315"/>
    </row>
    <row r="561" ht="13.5" customHeight="1">
      <c r="R561" s="315"/>
    </row>
    <row r="562" ht="13.5" customHeight="1">
      <c r="R562" s="315"/>
    </row>
    <row r="563" ht="13.5" customHeight="1">
      <c r="R563" s="315"/>
    </row>
    <row r="564" ht="13.5" customHeight="1">
      <c r="R564" s="315"/>
    </row>
    <row r="565" ht="13.5" customHeight="1">
      <c r="R565" s="315"/>
    </row>
    <row r="566" ht="13.5" customHeight="1">
      <c r="R566" s="315"/>
    </row>
    <row r="567" ht="13.5" customHeight="1">
      <c r="R567" s="315"/>
    </row>
    <row r="568" ht="13.5" customHeight="1">
      <c r="R568" s="315"/>
    </row>
    <row r="569" ht="13.5" customHeight="1">
      <c r="R569" s="315"/>
    </row>
    <row r="570" ht="13.5" customHeight="1">
      <c r="R570" s="315"/>
    </row>
    <row r="571" ht="13.5" customHeight="1">
      <c r="R571" s="315"/>
    </row>
    <row r="572" ht="13.5" customHeight="1">
      <c r="R572" s="315"/>
    </row>
    <row r="573" ht="13.5" customHeight="1">
      <c r="R573" s="315"/>
    </row>
    <row r="574" ht="13.5" customHeight="1">
      <c r="R574" s="315"/>
    </row>
    <row r="575" ht="13.5" customHeight="1">
      <c r="R575" s="315"/>
    </row>
    <row r="576" ht="13.5" customHeight="1">
      <c r="R576" s="315"/>
    </row>
    <row r="577" ht="13.5" customHeight="1">
      <c r="R577" s="315"/>
    </row>
    <row r="578" ht="13.5" customHeight="1">
      <c r="R578" s="315"/>
    </row>
    <row r="579" ht="13.5" customHeight="1">
      <c r="R579" s="315"/>
    </row>
    <row r="580" ht="13.5" customHeight="1">
      <c r="R580" s="315"/>
    </row>
    <row r="581" ht="13.5" customHeight="1">
      <c r="R581" s="315"/>
    </row>
    <row r="582" ht="13.5" customHeight="1">
      <c r="R582" s="315"/>
    </row>
    <row r="583" ht="13.5" customHeight="1">
      <c r="R583" s="315"/>
    </row>
    <row r="584" ht="13.5" customHeight="1">
      <c r="R584" s="315"/>
    </row>
    <row r="585" ht="13.5" customHeight="1">
      <c r="R585" s="315"/>
    </row>
    <row r="586" ht="13.5" customHeight="1">
      <c r="R586" s="315"/>
    </row>
    <row r="587" ht="13.5" customHeight="1">
      <c r="R587" s="315"/>
    </row>
    <row r="588" ht="13.5" customHeight="1">
      <c r="R588" s="315"/>
    </row>
    <row r="589" ht="13.5" customHeight="1">
      <c r="R589" s="315"/>
    </row>
    <row r="590" ht="13.5" customHeight="1">
      <c r="R590" s="315"/>
    </row>
    <row r="591" ht="13.5" customHeight="1">
      <c r="R591" s="315"/>
    </row>
    <row r="592" ht="13.5" customHeight="1">
      <c r="R592" s="315"/>
    </row>
    <row r="593" ht="13.5" customHeight="1">
      <c r="R593" s="315"/>
    </row>
    <row r="594" ht="13.5" customHeight="1">
      <c r="R594" s="315"/>
    </row>
    <row r="595" ht="13.5" customHeight="1">
      <c r="R595" s="315"/>
    </row>
    <row r="596" ht="13.5" customHeight="1">
      <c r="R596" s="315"/>
    </row>
    <row r="597" ht="13.5" customHeight="1">
      <c r="R597" s="315"/>
    </row>
    <row r="598" ht="13.5" customHeight="1">
      <c r="R598" s="315"/>
    </row>
    <row r="599" ht="13.5" customHeight="1">
      <c r="R599" s="315"/>
    </row>
    <row r="600" ht="13.5" customHeight="1">
      <c r="R600" s="315"/>
    </row>
    <row r="601" ht="13.5" customHeight="1">
      <c r="R601" s="315"/>
    </row>
    <row r="602" ht="13.5" customHeight="1">
      <c r="R602" s="315"/>
    </row>
    <row r="603" ht="13.5" customHeight="1">
      <c r="R603" s="315"/>
    </row>
    <row r="604" ht="13.5" customHeight="1">
      <c r="R604" s="315"/>
    </row>
    <row r="605" ht="13.5" customHeight="1">
      <c r="R605" s="315"/>
    </row>
    <row r="606" ht="13.5" customHeight="1">
      <c r="R606" s="315"/>
    </row>
    <row r="607" ht="13.5" customHeight="1">
      <c r="R607" s="315"/>
    </row>
    <row r="608" ht="13.5" customHeight="1">
      <c r="R608" s="315"/>
    </row>
    <row r="609" ht="13.5" customHeight="1">
      <c r="R609" s="315"/>
    </row>
    <row r="610" ht="13.5" customHeight="1">
      <c r="R610" s="315"/>
    </row>
    <row r="611" ht="13.5" customHeight="1">
      <c r="R611" s="315"/>
    </row>
    <row r="612" ht="13.5" customHeight="1">
      <c r="R612" s="315"/>
    </row>
    <row r="613" ht="13.5" customHeight="1">
      <c r="R613" s="315"/>
    </row>
    <row r="614" ht="13.5" customHeight="1">
      <c r="R614" s="315"/>
    </row>
    <row r="615" ht="13.5" customHeight="1">
      <c r="R615" s="315"/>
    </row>
    <row r="616" ht="13.5" customHeight="1">
      <c r="R616" s="315"/>
    </row>
    <row r="617" ht="13.5" customHeight="1">
      <c r="R617" s="315"/>
    </row>
    <row r="618" ht="13.5" customHeight="1">
      <c r="R618" s="315"/>
    </row>
    <row r="619" ht="13.5" customHeight="1">
      <c r="R619" s="315"/>
    </row>
    <row r="620" ht="13.5" customHeight="1">
      <c r="R620" s="315"/>
    </row>
    <row r="621" ht="13.5" customHeight="1">
      <c r="R621" s="315"/>
    </row>
    <row r="622" ht="13.5" customHeight="1">
      <c r="R622" s="315"/>
    </row>
    <row r="623" ht="13.5" customHeight="1">
      <c r="R623" s="315"/>
    </row>
    <row r="624" ht="13.5" customHeight="1">
      <c r="R624" s="315"/>
    </row>
    <row r="625" ht="13.5" customHeight="1">
      <c r="R625" s="315"/>
    </row>
    <row r="626" ht="13.5" customHeight="1">
      <c r="R626" s="315"/>
    </row>
    <row r="627" ht="13.5" customHeight="1">
      <c r="R627" s="315"/>
    </row>
    <row r="628" ht="13.5" customHeight="1">
      <c r="R628" s="315"/>
    </row>
    <row r="629" ht="13.5" customHeight="1">
      <c r="R629" s="315"/>
    </row>
    <row r="630" ht="13.5" customHeight="1">
      <c r="R630" s="315"/>
    </row>
    <row r="631" ht="13.5" customHeight="1">
      <c r="R631" s="315"/>
    </row>
    <row r="632" ht="13.5" customHeight="1">
      <c r="R632" s="315"/>
    </row>
    <row r="633" ht="13.5" customHeight="1">
      <c r="R633" s="315"/>
    </row>
    <row r="634" ht="13.5" customHeight="1">
      <c r="R634" s="315"/>
    </row>
    <row r="635" ht="13.5" customHeight="1">
      <c r="R635" s="315"/>
    </row>
    <row r="636" ht="13.5" customHeight="1">
      <c r="R636" s="315"/>
    </row>
    <row r="637" ht="13.5" customHeight="1">
      <c r="R637" s="315"/>
    </row>
    <row r="638" ht="13.5" customHeight="1">
      <c r="R638" s="315"/>
    </row>
    <row r="639" ht="13.5" customHeight="1">
      <c r="R639" s="315"/>
    </row>
    <row r="640" ht="13.5" customHeight="1">
      <c r="R640" s="315"/>
    </row>
    <row r="641" ht="13.5" customHeight="1">
      <c r="R641" s="315"/>
    </row>
    <row r="642" ht="13.5" customHeight="1">
      <c r="R642" s="315"/>
    </row>
    <row r="643" ht="13.5" customHeight="1">
      <c r="R643" s="315"/>
    </row>
    <row r="644" ht="13.5" customHeight="1">
      <c r="R644" s="315"/>
    </row>
    <row r="645" ht="13.5" customHeight="1">
      <c r="R645" s="315"/>
    </row>
    <row r="646" ht="13.5" customHeight="1">
      <c r="R646" s="315"/>
    </row>
    <row r="647" ht="13.5" customHeight="1">
      <c r="R647" s="315"/>
    </row>
    <row r="648" ht="13.5" customHeight="1">
      <c r="R648" s="315"/>
    </row>
    <row r="649" ht="13.5" customHeight="1">
      <c r="R649" s="315"/>
    </row>
    <row r="650" ht="13.5" customHeight="1">
      <c r="R650" s="315"/>
    </row>
    <row r="651" ht="13.5" customHeight="1">
      <c r="R651" s="315"/>
    </row>
    <row r="652" ht="13.5" customHeight="1">
      <c r="R652" s="315"/>
    </row>
    <row r="653" ht="13.5" customHeight="1">
      <c r="R653" s="315"/>
    </row>
    <row r="654" ht="13.5" customHeight="1">
      <c r="R654" s="315"/>
    </row>
    <row r="655" ht="13.5" customHeight="1">
      <c r="R655" s="315"/>
    </row>
    <row r="656" ht="13.5" customHeight="1">
      <c r="R656" s="315"/>
    </row>
    <row r="657" ht="13.5" customHeight="1">
      <c r="R657" s="315"/>
    </row>
    <row r="658" ht="13.5" customHeight="1">
      <c r="R658" s="315"/>
    </row>
    <row r="659" ht="13.5" customHeight="1">
      <c r="R659" s="315"/>
    </row>
    <row r="660" ht="13.5" customHeight="1">
      <c r="R660" s="315"/>
    </row>
    <row r="661" ht="13.5" customHeight="1">
      <c r="R661" s="315"/>
    </row>
    <row r="662" ht="13.5" customHeight="1">
      <c r="R662" s="315"/>
    </row>
    <row r="663" ht="13.5" customHeight="1">
      <c r="R663" s="315"/>
    </row>
    <row r="664" ht="13.5" customHeight="1">
      <c r="R664" s="315"/>
    </row>
    <row r="665" ht="13.5" customHeight="1">
      <c r="R665" s="315"/>
    </row>
    <row r="666" ht="13.5" customHeight="1">
      <c r="R666" s="315"/>
    </row>
    <row r="667" ht="13.5" customHeight="1">
      <c r="R667" s="315"/>
    </row>
    <row r="668" ht="13.5" customHeight="1">
      <c r="R668" s="315"/>
    </row>
    <row r="669" ht="13.5" customHeight="1">
      <c r="R669" s="315"/>
    </row>
    <row r="670" ht="13.5" customHeight="1">
      <c r="R670" s="315"/>
    </row>
    <row r="671" ht="13.5" customHeight="1">
      <c r="R671" s="315"/>
    </row>
    <row r="672" ht="13.5" customHeight="1">
      <c r="R672" s="315"/>
    </row>
    <row r="673" ht="13.5" customHeight="1">
      <c r="R673" s="315"/>
    </row>
    <row r="674" ht="13.5" customHeight="1">
      <c r="R674" s="315"/>
    </row>
    <row r="675" ht="13.5" customHeight="1">
      <c r="R675" s="315"/>
    </row>
    <row r="676" ht="13.5" customHeight="1">
      <c r="R676" s="315"/>
    </row>
    <row r="677" ht="13.5" customHeight="1">
      <c r="R677" s="315"/>
    </row>
    <row r="678" ht="13.5" customHeight="1">
      <c r="R678" s="315"/>
    </row>
    <row r="679" ht="13.5" customHeight="1">
      <c r="R679" s="315"/>
    </row>
    <row r="680" ht="13.5" customHeight="1">
      <c r="R680" s="315"/>
    </row>
    <row r="681" ht="13.5" customHeight="1">
      <c r="R681" s="315"/>
    </row>
    <row r="682" ht="13.5" customHeight="1">
      <c r="R682" s="315"/>
    </row>
    <row r="683" ht="13.5" customHeight="1">
      <c r="R683" s="315"/>
    </row>
    <row r="684" ht="13.5" customHeight="1">
      <c r="R684" s="315"/>
    </row>
    <row r="685" ht="13.5" customHeight="1">
      <c r="R685" s="315"/>
    </row>
    <row r="686" ht="13.5" customHeight="1">
      <c r="R686" s="315"/>
    </row>
    <row r="687" ht="13.5" customHeight="1">
      <c r="R687" s="315"/>
    </row>
    <row r="688" ht="13.5" customHeight="1">
      <c r="R688" s="315"/>
    </row>
    <row r="689" ht="13.5" customHeight="1">
      <c r="R689" s="315"/>
    </row>
    <row r="690" ht="13.5" customHeight="1">
      <c r="R690" s="315"/>
    </row>
    <row r="691" ht="13.5" customHeight="1">
      <c r="R691" s="315"/>
    </row>
    <row r="692" ht="13.5" customHeight="1">
      <c r="R692" s="315"/>
    </row>
    <row r="693" ht="13.5" customHeight="1">
      <c r="R693" s="315"/>
    </row>
    <row r="694" ht="13.5" customHeight="1">
      <c r="R694" s="315"/>
    </row>
    <row r="695" ht="13.5" customHeight="1">
      <c r="R695" s="315"/>
    </row>
    <row r="696" ht="13.5" customHeight="1">
      <c r="R696" s="315"/>
    </row>
    <row r="697" ht="13.5" customHeight="1">
      <c r="R697" s="315"/>
    </row>
    <row r="698" ht="13.5" customHeight="1">
      <c r="R698" s="315"/>
    </row>
    <row r="699" ht="13.5" customHeight="1">
      <c r="R699" s="315"/>
    </row>
    <row r="700" ht="13.5" customHeight="1">
      <c r="R700" s="315"/>
    </row>
    <row r="701" ht="13.5" customHeight="1">
      <c r="R701" s="315"/>
    </row>
    <row r="702" ht="13.5" customHeight="1">
      <c r="R702" s="315"/>
    </row>
    <row r="703" ht="13.5" customHeight="1">
      <c r="R703" s="315"/>
    </row>
    <row r="704" ht="13.5" customHeight="1">
      <c r="R704" s="315"/>
    </row>
    <row r="705" ht="13.5" customHeight="1">
      <c r="R705" s="315"/>
    </row>
    <row r="706" ht="13.5" customHeight="1">
      <c r="R706" s="315"/>
    </row>
    <row r="707" ht="13.5" customHeight="1">
      <c r="R707" s="315"/>
    </row>
    <row r="708" ht="13.5" customHeight="1">
      <c r="R708" s="315"/>
    </row>
    <row r="709" ht="13.5" customHeight="1">
      <c r="R709" s="315"/>
    </row>
    <row r="710" ht="13.5" customHeight="1">
      <c r="R710" s="315"/>
    </row>
    <row r="711" ht="13.5" customHeight="1">
      <c r="R711" s="315"/>
    </row>
    <row r="712" ht="13.5" customHeight="1">
      <c r="R712" s="315"/>
    </row>
    <row r="713" ht="13.5" customHeight="1">
      <c r="R713" s="315"/>
    </row>
    <row r="714" ht="13.5" customHeight="1">
      <c r="R714" s="315"/>
    </row>
    <row r="715" ht="13.5" customHeight="1">
      <c r="R715" s="315"/>
    </row>
    <row r="716" ht="13.5" customHeight="1">
      <c r="R716" s="315"/>
    </row>
    <row r="717" ht="13.5" customHeight="1">
      <c r="R717" s="315"/>
    </row>
    <row r="718" ht="13.5" customHeight="1">
      <c r="R718" s="315"/>
    </row>
    <row r="719" ht="13.5" customHeight="1">
      <c r="R719" s="315"/>
    </row>
    <row r="720" ht="13.5" customHeight="1">
      <c r="R720" s="315"/>
    </row>
    <row r="721" ht="13.5" customHeight="1">
      <c r="R721" s="315"/>
    </row>
    <row r="722" ht="13.5" customHeight="1">
      <c r="R722" s="315"/>
    </row>
    <row r="723" ht="13.5" customHeight="1">
      <c r="R723" s="315"/>
    </row>
    <row r="724" ht="13.5" customHeight="1">
      <c r="R724" s="315"/>
    </row>
    <row r="725" ht="13.5" customHeight="1">
      <c r="R725" s="315"/>
    </row>
    <row r="726" ht="13.5" customHeight="1">
      <c r="R726" s="315"/>
    </row>
    <row r="727" ht="13.5" customHeight="1">
      <c r="R727" s="315"/>
    </row>
    <row r="728" ht="13.5" customHeight="1">
      <c r="R728" s="315"/>
    </row>
    <row r="729" ht="13.5" customHeight="1">
      <c r="R729" s="315"/>
    </row>
    <row r="730" ht="13.5" customHeight="1">
      <c r="R730" s="315"/>
    </row>
    <row r="731" ht="13.5" customHeight="1">
      <c r="R731" s="315"/>
    </row>
    <row r="732" ht="13.5" customHeight="1">
      <c r="R732" s="315"/>
    </row>
    <row r="733" ht="13.5" customHeight="1">
      <c r="R733" s="315"/>
    </row>
    <row r="734" ht="13.5" customHeight="1">
      <c r="R734" s="315"/>
    </row>
    <row r="735" ht="13.5" customHeight="1">
      <c r="R735" s="315"/>
    </row>
    <row r="736" ht="13.5" customHeight="1">
      <c r="R736" s="315"/>
    </row>
    <row r="737" ht="13.5" customHeight="1">
      <c r="R737" s="315"/>
    </row>
    <row r="738" ht="13.5" customHeight="1">
      <c r="R738" s="315"/>
    </row>
    <row r="739" ht="13.5" customHeight="1">
      <c r="R739" s="315"/>
    </row>
    <row r="740" ht="13.5" customHeight="1">
      <c r="R740" s="315"/>
    </row>
    <row r="741" ht="13.5" customHeight="1">
      <c r="R741" s="315"/>
    </row>
    <row r="742" ht="13.5" customHeight="1">
      <c r="R742" s="315"/>
    </row>
    <row r="743" ht="13.5" customHeight="1">
      <c r="R743" s="315"/>
    </row>
    <row r="744" ht="13.5" customHeight="1">
      <c r="R744" s="315"/>
    </row>
    <row r="745" ht="13.5" customHeight="1">
      <c r="R745" s="315"/>
    </row>
    <row r="746" ht="13.5" customHeight="1">
      <c r="R746" s="315"/>
    </row>
    <row r="747" ht="13.5" customHeight="1">
      <c r="R747" s="315"/>
    </row>
    <row r="748" ht="13.5" customHeight="1">
      <c r="R748" s="315"/>
    </row>
    <row r="749" ht="13.5" customHeight="1">
      <c r="R749" s="315"/>
    </row>
    <row r="750" ht="13.5" customHeight="1">
      <c r="R750" s="315"/>
    </row>
    <row r="751" ht="13.5" customHeight="1">
      <c r="R751" s="315"/>
    </row>
    <row r="752" ht="13.5" customHeight="1">
      <c r="R752" s="315"/>
    </row>
    <row r="753" ht="13.5" customHeight="1">
      <c r="R753" s="315"/>
    </row>
    <row r="754" ht="13.5" customHeight="1">
      <c r="R754" s="315"/>
    </row>
    <row r="755" ht="13.5" customHeight="1">
      <c r="R755" s="315"/>
    </row>
    <row r="756" ht="13.5" customHeight="1">
      <c r="R756" s="315"/>
    </row>
    <row r="757" ht="13.5" customHeight="1">
      <c r="R757" s="315"/>
    </row>
    <row r="758" ht="13.5" customHeight="1">
      <c r="R758" s="315"/>
    </row>
    <row r="759" ht="13.5" customHeight="1">
      <c r="R759" s="315"/>
    </row>
    <row r="760" ht="13.5" customHeight="1">
      <c r="R760" s="315"/>
    </row>
    <row r="761" ht="13.5" customHeight="1">
      <c r="R761" s="315"/>
    </row>
    <row r="762" ht="13.5" customHeight="1">
      <c r="R762" s="315"/>
    </row>
    <row r="763" ht="13.5" customHeight="1">
      <c r="R763" s="315"/>
    </row>
    <row r="764" ht="13.5" customHeight="1">
      <c r="R764" s="315"/>
    </row>
    <row r="765" ht="13.5" customHeight="1">
      <c r="R765" s="315"/>
    </row>
    <row r="766" ht="13.5" customHeight="1">
      <c r="R766" s="315"/>
    </row>
    <row r="767" ht="13.5" customHeight="1">
      <c r="R767" s="315"/>
    </row>
    <row r="768" ht="13.5" customHeight="1">
      <c r="R768" s="315"/>
    </row>
    <row r="769" ht="13.5" customHeight="1">
      <c r="R769" s="315"/>
    </row>
    <row r="770" ht="13.5" customHeight="1">
      <c r="R770" s="315"/>
    </row>
    <row r="771" ht="13.5" customHeight="1">
      <c r="R771" s="315"/>
    </row>
    <row r="772" ht="13.5" customHeight="1">
      <c r="R772" s="315"/>
    </row>
    <row r="773" ht="13.5" customHeight="1">
      <c r="R773" s="315"/>
    </row>
    <row r="774" ht="13.5" customHeight="1">
      <c r="R774" s="315"/>
    </row>
    <row r="775" ht="13.5" customHeight="1">
      <c r="R775" s="315"/>
    </row>
    <row r="776" ht="13.5" customHeight="1">
      <c r="R776" s="315"/>
    </row>
    <row r="777" ht="13.5" customHeight="1">
      <c r="R777" s="315"/>
    </row>
    <row r="778" ht="13.5" customHeight="1">
      <c r="R778" s="315"/>
    </row>
    <row r="779" ht="13.5" customHeight="1">
      <c r="R779" s="315"/>
    </row>
    <row r="780" ht="13.5" customHeight="1">
      <c r="R780" s="315"/>
    </row>
    <row r="781" ht="13.5" customHeight="1">
      <c r="R781" s="315"/>
    </row>
    <row r="782" ht="13.5" customHeight="1">
      <c r="R782" s="315"/>
    </row>
    <row r="783" ht="13.5" customHeight="1">
      <c r="R783" s="315"/>
    </row>
    <row r="784" ht="13.5" customHeight="1">
      <c r="R784" s="315"/>
    </row>
    <row r="785" ht="13.5" customHeight="1">
      <c r="R785" s="315"/>
    </row>
    <row r="786" ht="13.5" customHeight="1">
      <c r="R786" s="315"/>
    </row>
    <row r="787" ht="13.5" customHeight="1">
      <c r="R787" s="315"/>
    </row>
    <row r="788" ht="13.5" customHeight="1">
      <c r="R788" s="315"/>
    </row>
    <row r="789" ht="13.5" customHeight="1">
      <c r="R789" s="315"/>
    </row>
    <row r="790" ht="13.5" customHeight="1">
      <c r="R790" s="315"/>
    </row>
    <row r="791" ht="13.5" customHeight="1">
      <c r="R791" s="315"/>
    </row>
    <row r="792" ht="13.5" customHeight="1">
      <c r="R792" s="315"/>
    </row>
    <row r="793" ht="13.5" customHeight="1">
      <c r="R793" s="315"/>
    </row>
    <row r="794" ht="13.5" customHeight="1">
      <c r="R794" s="315"/>
    </row>
    <row r="795" ht="13.5" customHeight="1">
      <c r="R795" s="315"/>
    </row>
    <row r="796" ht="13.5" customHeight="1">
      <c r="R796" s="315"/>
    </row>
    <row r="797" ht="13.5" customHeight="1">
      <c r="R797" s="315"/>
    </row>
    <row r="798" ht="13.5" customHeight="1">
      <c r="R798" s="315"/>
    </row>
    <row r="799" ht="13.5" customHeight="1">
      <c r="R799" s="315"/>
    </row>
    <row r="800" ht="13.5" customHeight="1">
      <c r="R800" s="315"/>
    </row>
    <row r="801" ht="13.5" customHeight="1">
      <c r="R801" s="315"/>
    </row>
    <row r="802" ht="13.5" customHeight="1">
      <c r="R802" s="315"/>
    </row>
    <row r="803" ht="13.5" customHeight="1">
      <c r="R803" s="315"/>
    </row>
    <row r="804" ht="13.5" customHeight="1">
      <c r="R804" s="315"/>
    </row>
    <row r="805" ht="13.5" customHeight="1">
      <c r="R805" s="315"/>
    </row>
    <row r="806" ht="13.5" customHeight="1">
      <c r="R806" s="315"/>
    </row>
    <row r="807" ht="13.5" customHeight="1">
      <c r="R807" s="315"/>
    </row>
    <row r="808" ht="13.5" customHeight="1">
      <c r="R808" s="315"/>
    </row>
    <row r="809" ht="13.5" customHeight="1">
      <c r="R809" s="315"/>
    </row>
    <row r="810" ht="13.5" customHeight="1">
      <c r="R810" s="315"/>
    </row>
    <row r="811" ht="13.5" customHeight="1">
      <c r="R811" s="315"/>
    </row>
    <row r="812" ht="13.5" customHeight="1">
      <c r="R812" s="315"/>
    </row>
    <row r="813" ht="13.5" customHeight="1">
      <c r="R813" s="315"/>
    </row>
    <row r="814" ht="13.5" customHeight="1">
      <c r="R814" s="315"/>
    </row>
    <row r="815" ht="13.5" customHeight="1">
      <c r="R815" s="315"/>
    </row>
    <row r="816" ht="13.5" customHeight="1">
      <c r="R816" s="315"/>
    </row>
    <row r="817" ht="13.5" customHeight="1">
      <c r="R817" s="315"/>
    </row>
    <row r="818" ht="13.5" customHeight="1">
      <c r="R818" s="315"/>
    </row>
    <row r="819" ht="13.5" customHeight="1">
      <c r="R819" s="315"/>
    </row>
    <row r="820" ht="13.5" customHeight="1">
      <c r="R820" s="315"/>
    </row>
    <row r="821" ht="13.5" customHeight="1">
      <c r="R821" s="315"/>
    </row>
    <row r="822" ht="13.5" customHeight="1">
      <c r="R822" s="315"/>
    </row>
    <row r="823" ht="13.5" customHeight="1">
      <c r="R823" s="315"/>
    </row>
    <row r="824" ht="13.5" customHeight="1">
      <c r="R824" s="315"/>
    </row>
    <row r="825" ht="13.5" customHeight="1">
      <c r="R825" s="315"/>
    </row>
    <row r="826" ht="13.5" customHeight="1">
      <c r="R826" s="315"/>
    </row>
    <row r="827" ht="13.5" customHeight="1">
      <c r="R827" s="315"/>
    </row>
    <row r="828" ht="13.5" customHeight="1">
      <c r="R828" s="315"/>
    </row>
    <row r="829" ht="13.5" customHeight="1">
      <c r="R829" s="315"/>
    </row>
    <row r="830" ht="13.5" customHeight="1">
      <c r="R830" s="315"/>
    </row>
    <row r="831" ht="13.5" customHeight="1">
      <c r="R831" s="315"/>
    </row>
    <row r="832" ht="13.5" customHeight="1">
      <c r="R832" s="315"/>
    </row>
    <row r="833" ht="13.5" customHeight="1">
      <c r="R833" s="315"/>
    </row>
    <row r="834" ht="13.5" customHeight="1">
      <c r="R834" s="315"/>
    </row>
    <row r="835" ht="13.5" customHeight="1">
      <c r="R835" s="315"/>
    </row>
    <row r="836" ht="13.5" customHeight="1">
      <c r="R836" s="315"/>
    </row>
    <row r="837" ht="13.5" customHeight="1">
      <c r="R837" s="315"/>
    </row>
    <row r="838" ht="13.5" customHeight="1">
      <c r="R838" s="315"/>
    </row>
    <row r="839" ht="13.5" customHeight="1">
      <c r="R839" s="315"/>
    </row>
    <row r="840" ht="13.5" customHeight="1">
      <c r="R840" s="315"/>
    </row>
    <row r="841" ht="13.5" customHeight="1">
      <c r="R841" s="315"/>
    </row>
    <row r="842" ht="13.5" customHeight="1">
      <c r="R842" s="315"/>
    </row>
    <row r="843" ht="13.5" customHeight="1">
      <c r="R843" s="315"/>
    </row>
    <row r="844" ht="13.5" customHeight="1">
      <c r="R844" s="315"/>
    </row>
    <row r="845" ht="13.5" customHeight="1">
      <c r="R845" s="315"/>
    </row>
    <row r="846" ht="13.5" customHeight="1">
      <c r="R846" s="315"/>
    </row>
    <row r="847" ht="13.5" customHeight="1">
      <c r="R847" s="315"/>
    </row>
    <row r="848" ht="13.5" customHeight="1">
      <c r="R848" s="315"/>
    </row>
    <row r="849" ht="13.5" customHeight="1">
      <c r="R849" s="315"/>
    </row>
    <row r="850" ht="13.5" customHeight="1">
      <c r="R850" s="315"/>
    </row>
    <row r="851" ht="13.5" customHeight="1">
      <c r="R851" s="315"/>
    </row>
    <row r="852" ht="13.5" customHeight="1">
      <c r="R852" s="315"/>
    </row>
    <row r="853" ht="13.5" customHeight="1">
      <c r="R853" s="315"/>
    </row>
    <row r="854" ht="13.5" customHeight="1">
      <c r="R854" s="315"/>
    </row>
    <row r="855" ht="13.5" customHeight="1">
      <c r="R855" s="315"/>
    </row>
    <row r="856" ht="13.5" customHeight="1">
      <c r="R856" s="315"/>
    </row>
    <row r="857" ht="13.5" customHeight="1">
      <c r="R857" s="315"/>
    </row>
    <row r="858" ht="13.5" customHeight="1">
      <c r="R858" s="315"/>
    </row>
    <row r="859" ht="13.5" customHeight="1">
      <c r="R859" s="315"/>
    </row>
    <row r="860" ht="13.5" customHeight="1">
      <c r="R860" s="315"/>
    </row>
    <row r="861" ht="13.5" customHeight="1">
      <c r="R861" s="315"/>
    </row>
    <row r="862" ht="13.5" customHeight="1">
      <c r="R862" s="315"/>
    </row>
    <row r="863" ht="13.5" customHeight="1">
      <c r="R863" s="315"/>
    </row>
    <row r="864" ht="13.5" customHeight="1">
      <c r="R864" s="315"/>
    </row>
    <row r="865" ht="13.5" customHeight="1">
      <c r="R865" s="315"/>
    </row>
    <row r="866" ht="13.5" customHeight="1">
      <c r="R866" s="315"/>
    </row>
    <row r="867" ht="13.5" customHeight="1">
      <c r="R867" s="315"/>
    </row>
    <row r="868" ht="13.5" customHeight="1">
      <c r="R868" s="315"/>
    </row>
    <row r="869" ht="13.5" customHeight="1">
      <c r="R869" s="315"/>
    </row>
    <row r="870" ht="13.5" customHeight="1">
      <c r="R870" s="315"/>
    </row>
    <row r="871" ht="13.5" customHeight="1">
      <c r="R871" s="315"/>
    </row>
    <row r="872" ht="13.5" customHeight="1">
      <c r="R872" s="315"/>
    </row>
    <row r="873" ht="13.5" customHeight="1">
      <c r="R873" s="315"/>
    </row>
    <row r="874" ht="13.5" customHeight="1">
      <c r="R874" s="315"/>
    </row>
    <row r="875" ht="13.5" customHeight="1">
      <c r="R875" s="315"/>
    </row>
    <row r="876" ht="13.5" customHeight="1">
      <c r="R876" s="315"/>
    </row>
    <row r="877" ht="13.5" customHeight="1">
      <c r="R877" s="315"/>
    </row>
    <row r="878" ht="13.5" customHeight="1">
      <c r="R878" s="315"/>
    </row>
    <row r="879" ht="13.5" customHeight="1">
      <c r="R879" s="315"/>
    </row>
    <row r="880" ht="13.5" customHeight="1">
      <c r="R880" s="315"/>
    </row>
    <row r="881" ht="13.5" customHeight="1">
      <c r="R881" s="315"/>
    </row>
    <row r="882" ht="13.5" customHeight="1">
      <c r="R882" s="315"/>
    </row>
    <row r="883" ht="13.5" customHeight="1">
      <c r="R883" s="315"/>
    </row>
    <row r="884" ht="13.5" customHeight="1">
      <c r="R884" s="315"/>
    </row>
    <row r="885" ht="13.5" customHeight="1">
      <c r="R885" s="315"/>
    </row>
    <row r="886" ht="13.5" customHeight="1">
      <c r="R886" s="315"/>
    </row>
    <row r="887" ht="13.5" customHeight="1">
      <c r="R887" s="315"/>
    </row>
    <row r="888" ht="13.5" customHeight="1">
      <c r="R888" s="315"/>
    </row>
    <row r="889" ht="13.5" customHeight="1">
      <c r="R889" s="315"/>
    </row>
    <row r="890" ht="13.5" customHeight="1">
      <c r="R890" s="315"/>
    </row>
    <row r="891" ht="13.5" customHeight="1">
      <c r="R891" s="315"/>
    </row>
    <row r="892" ht="13.5" customHeight="1">
      <c r="R892" s="315"/>
    </row>
    <row r="893" ht="13.5" customHeight="1">
      <c r="R893" s="315"/>
    </row>
    <row r="894" ht="13.5" customHeight="1">
      <c r="R894" s="315"/>
    </row>
    <row r="895" ht="13.5" customHeight="1">
      <c r="R895" s="315"/>
    </row>
    <row r="896" ht="13.5" customHeight="1">
      <c r="R896" s="315"/>
    </row>
    <row r="897" ht="13.5" customHeight="1">
      <c r="R897" s="315"/>
    </row>
    <row r="898" ht="13.5" customHeight="1">
      <c r="R898" s="315"/>
    </row>
    <row r="899" ht="13.5" customHeight="1">
      <c r="R899" s="315"/>
    </row>
    <row r="900" ht="13.5" customHeight="1">
      <c r="R900" s="315"/>
    </row>
    <row r="901" ht="13.5" customHeight="1">
      <c r="R901" s="315"/>
    </row>
    <row r="902" ht="13.5" customHeight="1">
      <c r="R902" s="315"/>
    </row>
    <row r="903" ht="13.5" customHeight="1">
      <c r="R903" s="315"/>
    </row>
    <row r="904" ht="13.5" customHeight="1">
      <c r="R904" s="315"/>
    </row>
    <row r="905" ht="13.5" customHeight="1">
      <c r="R905" s="315"/>
    </row>
    <row r="906" ht="13.5" customHeight="1">
      <c r="R906" s="315"/>
    </row>
    <row r="907" ht="13.5" customHeight="1">
      <c r="R907" s="315"/>
    </row>
    <row r="908" ht="13.5" customHeight="1">
      <c r="R908" s="315"/>
    </row>
    <row r="909" ht="13.5" customHeight="1">
      <c r="R909" s="315"/>
    </row>
    <row r="910" ht="13.5" customHeight="1">
      <c r="R910" s="315"/>
    </row>
    <row r="911" ht="13.5" customHeight="1">
      <c r="R911" s="315"/>
    </row>
    <row r="912" ht="13.5" customHeight="1">
      <c r="R912" s="315"/>
    </row>
    <row r="913" ht="13.5" customHeight="1">
      <c r="R913" s="315"/>
    </row>
    <row r="914" ht="13.5" customHeight="1">
      <c r="R914" s="315"/>
    </row>
    <row r="915" ht="13.5" customHeight="1">
      <c r="R915" s="315"/>
    </row>
    <row r="916" ht="13.5" customHeight="1">
      <c r="R916" s="315"/>
    </row>
    <row r="917" ht="13.5" customHeight="1">
      <c r="R917" s="315"/>
    </row>
    <row r="918" ht="13.5" customHeight="1">
      <c r="R918" s="315"/>
    </row>
    <row r="919" ht="13.5" customHeight="1">
      <c r="R919" s="315"/>
    </row>
    <row r="920" ht="13.5" customHeight="1">
      <c r="R920" s="315"/>
    </row>
    <row r="921" ht="13.5" customHeight="1">
      <c r="R921" s="315"/>
    </row>
    <row r="922" ht="13.5" customHeight="1">
      <c r="R922" s="315"/>
    </row>
    <row r="923" ht="13.5" customHeight="1">
      <c r="R923" s="315"/>
    </row>
    <row r="924" ht="13.5" customHeight="1">
      <c r="R924" s="315"/>
    </row>
    <row r="925" ht="13.5" customHeight="1">
      <c r="R925" s="315"/>
    </row>
    <row r="926" ht="13.5" customHeight="1">
      <c r="R926" s="315"/>
    </row>
    <row r="927" ht="13.5" customHeight="1">
      <c r="R927" s="315"/>
    </row>
    <row r="928" ht="13.5" customHeight="1">
      <c r="R928" s="315"/>
    </row>
    <row r="929" ht="13.5" customHeight="1">
      <c r="R929" s="315"/>
    </row>
    <row r="930" ht="13.5" customHeight="1">
      <c r="R930" s="315"/>
    </row>
    <row r="931" ht="13.5" customHeight="1">
      <c r="R931" s="315"/>
    </row>
    <row r="932" ht="13.5" customHeight="1">
      <c r="R932" s="315"/>
    </row>
    <row r="933" ht="13.5" customHeight="1">
      <c r="R933" s="315"/>
    </row>
    <row r="934" ht="13.5" customHeight="1">
      <c r="R934" s="315"/>
    </row>
    <row r="935" ht="13.5" customHeight="1">
      <c r="R935" s="315"/>
    </row>
    <row r="936" ht="13.5" customHeight="1">
      <c r="R936" s="315"/>
    </row>
    <row r="937" ht="13.5" customHeight="1">
      <c r="R937" s="315"/>
    </row>
    <row r="938" ht="13.5" customHeight="1">
      <c r="R938" s="315"/>
    </row>
    <row r="939" ht="13.5" customHeight="1">
      <c r="R939" s="315"/>
    </row>
    <row r="940" ht="13.5" customHeight="1">
      <c r="R940" s="315"/>
    </row>
    <row r="941" ht="13.5" customHeight="1">
      <c r="R941" s="315"/>
    </row>
    <row r="942" ht="13.5" customHeight="1">
      <c r="R942" s="315"/>
    </row>
    <row r="943" ht="13.5" customHeight="1">
      <c r="R943" s="315"/>
    </row>
    <row r="944" ht="13.5" customHeight="1">
      <c r="R944" s="315"/>
    </row>
    <row r="945" ht="13.5" customHeight="1">
      <c r="R945" s="315"/>
    </row>
    <row r="946" ht="13.5" customHeight="1">
      <c r="R946" s="315"/>
    </row>
    <row r="947" ht="13.5" customHeight="1">
      <c r="R947" s="315"/>
    </row>
    <row r="948" ht="13.5" customHeight="1">
      <c r="R948" s="315"/>
    </row>
    <row r="949" ht="13.5" customHeight="1">
      <c r="R949" s="315"/>
    </row>
    <row r="950" ht="13.5" customHeight="1">
      <c r="R950" s="315"/>
    </row>
    <row r="951" ht="13.5" customHeight="1">
      <c r="R951" s="315"/>
    </row>
    <row r="952" ht="13.5" customHeight="1">
      <c r="R952" s="315"/>
    </row>
    <row r="953" ht="13.5" customHeight="1">
      <c r="R953" s="315"/>
    </row>
    <row r="954" ht="13.5" customHeight="1">
      <c r="R954" s="315"/>
    </row>
    <row r="955" ht="13.5" customHeight="1">
      <c r="R955" s="315"/>
    </row>
    <row r="956" ht="13.5" customHeight="1">
      <c r="R956" s="315"/>
    </row>
    <row r="957" ht="13.5" customHeight="1">
      <c r="R957" s="315"/>
    </row>
    <row r="958" ht="13.5" customHeight="1">
      <c r="R958" s="315"/>
    </row>
    <row r="959" ht="13.5" customHeight="1">
      <c r="R959" s="315"/>
    </row>
    <row r="960" ht="13.5" customHeight="1">
      <c r="R960" s="315"/>
    </row>
    <row r="961" ht="13.5" customHeight="1">
      <c r="R961" s="315"/>
    </row>
    <row r="962" ht="13.5" customHeight="1">
      <c r="R962" s="315"/>
    </row>
    <row r="963" ht="13.5" customHeight="1">
      <c r="R963" s="315"/>
    </row>
    <row r="964" ht="13.5" customHeight="1">
      <c r="R964" s="315"/>
    </row>
    <row r="965" ht="13.5" customHeight="1">
      <c r="R965" s="315"/>
    </row>
    <row r="966" ht="13.5" customHeight="1">
      <c r="R966" s="315"/>
    </row>
    <row r="967" ht="13.5" customHeight="1">
      <c r="R967" s="315"/>
    </row>
    <row r="968" ht="13.5" customHeight="1">
      <c r="R968" s="315"/>
    </row>
    <row r="969" ht="13.5" customHeight="1">
      <c r="R969" s="315"/>
    </row>
    <row r="970" ht="13.5" customHeight="1">
      <c r="R970" s="315"/>
    </row>
    <row r="971" ht="13.5" customHeight="1">
      <c r="R971" s="315"/>
    </row>
    <row r="972" ht="13.5" customHeight="1">
      <c r="R972" s="315"/>
    </row>
    <row r="973" ht="13.5" customHeight="1">
      <c r="R973" s="315"/>
    </row>
    <row r="974" ht="13.5" customHeight="1">
      <c r="R974" s="315"/>
    </row>
    <row r="975" ht="13.5" customHeight="1">
      <c r="R975" s="315"/>
    </row>
    <row r="976" ht="13.5" customHeight="1">
      <c r="R976" s="315"/>
    </row>
    <row r="977" ht="13.5" customHeight="1">
      <c r="R977" s="315"/>
    </row>
    <row r="978" ht="13.5" customHeight="1">
      <c r="R978" s="315"/>
    </row>
    <row r="979" ht="13.5" customHeight="1">
      <c r="R979" s="315"/>
    </row>
    <row r="980" ht="13.5" customHeight="1">
      <c r="R980" s="315"/>
    </row>
    <row r="981" ht="13.5" customHeight="1">
      <c r="R981" s="315"/>
    </row>
    <row r="982" ht="13.5" customHeight="1">
      <c r="R982" s="315"/>
    </row>
    <row r="983" ht="13.5" customHeight="1">
      <c r="R983" s="315"/>
    </row>
    <row r="984" ht="13.5" customHeight="1">
      <c r="R984" s="315"/>
    </row>
    <row r="985" ht="13.5" customHeight="1">
      <c r="R985" s="315"/>
    </row>
    <row r="986" ht="13.5" customHeight="1">
      <c r="R986" s="315"/>
    </row>
    <row r="987" ht="13.5" customHeight="1">
      <c r="R987" s="315"/>
    </row>
    <row r="988" ht="13.5" customHeight="1">
      <c r="R988" s="315"/>
    </row>
    <row r="989" ht="13.5" customHeight="1">
      <c r="R989" s="315"/>
    </row>
    <row r="990" ht="13.5" customHeight="1">
      <c r="R990" s="315"/>
    </row>
    <row r="991" ht="13.5" customHeight="1">
      <c r="R991" s="315"/>
    </row>
    <row r="992" ht="13.5" customHeight="1">
      <c r="R992" s="315"/>
    </row>
    <row r="993" ht="13.5" customHeight="1">
      <c r="R993" s="315"/>
    </row>
    <row r="994" ht="13.5" customHeight="1">
      <c r="R994" s="315"/>
    </row>
    <row r="995" ht="13.5" customHeight="1">
      <c r="R995" s="315"/>
    </row>
    <row r="996" ht="13.5" customHeight="1">
      <c r="R996" s="315"/>
    </row>
    <row r="997" ht="13.5" customHeight="1">
      <c r="R997" s="315"/>
    </row>
    <row r="998" ht="13.5" customHeight="1">
      <c r="R998" s="315"/>
    </row>
    <row r="999" ht="13.5" customHeight="1">
      <c r="R999" s="315"/>
    </row>
    <row r="1000" ht="13.5" customHeight="1">
      <c r="R1000" s="315"/>
    </row>
  </sheetData>
  <mergeCells count="10">
    <mergeCell ref="A42:A79"/>
    <mergeCell ref="A81:A100"/>
    <mergeCell ref="D81:P81"/>
    <mergeCell ref="S81:AG81"/>
    <mergeCell ref="A1:A39"/>
    <mergeCell ref="D1:P1"/>
    <mergeCell ref="S1:AG1"/>
    <mergeCell ref="AM3:AN3"/>
    <mergeCell ref="D42:P42"/>
    <mergeCell ref="S42:AG42"/>
  </mergeCells>
  <conditionalFormatting sqref="A85:AG98">
    <cfRule type="containsText" dxfId="10" priority="1" operator="containsText" text="Early Morning">
      <formula>NOT(ISERROR(SEARCH(("Early Morning"),(A85))))</formula>
    </cfRule>
  </conditionalFormatting>
  <conditionalFormatting sqref="A1:AO2 A3:AM6 AO3:AO6 AN5:AN6 A7:AO39 D42 S42 D81 S81">
    <cfRule type="containsText" dxfId="10" priority="2" operator="containsText" text="Early Morning">
      <formula>NOT(ISERROR(SEARCH(("Early Morning"),(A1))))</formula>
    </cfRule>
  </conditionalFormatting>
  <conditionalFormatting sqref="B5:B38 B45 B84">
    <cfRule type="containsText" dxfId="3" priority="3" operator="containsText" text="Night">
      <formula>NOT(ISERROR(SEARCH(("Night"),(B5))))</formula>
    </cfRule>
  </conditionalFormatting>
  <conditionalFormatting sqref="B5:B38 B45 B84">
    <cfRule type="containsText" dxfId="4" priority="4" operator="containsText" text="Evening">
      <formula>NOT(ISERROR(SEARCH(("Evening"),(B5))))</formula>
    </cfRule>
  </conditionalFormatting>
  <conditionalFormatting sqref="B5:B38 B45 B84">
    <cfRule type="containsText" dxfId="5" priority="5" operator="containsText" text="Peak">
      <formula>NOT(ISERROR(SEARCH(("Peak"),(B5))))</formula>
    </cfRule>
  </conditionalFormatting>
  <conditionalFormatting sqref="B85:B99">
    <cfRule type="containsText" dxfId="3" priority="6" operator="containsText" text="Night">
      <formula>NOT(ISERROR(SEARCH(("Night"),(B85))))</formula>
    </cfRule>
  </conditionalFormatting>
  <conditionalFormatting sqref="B85:B99">
    <cfRule type="containsText" dxfId="4" priority="7" operator="containsText" text="Evening">
      <formula>NOT(ISERROR(SEARCH(("Evening"),(B85))))</formula>
    </cfRule>
  </conditionalFormatting>
  <conditionalFormatting sqref="B85:B99">
    <cfRule type="containsText" dxfId="5" priority="8" operator="containsText" text="Peak">
      <formula>NOT(ISERROR(SEARCH(("Peak"),(B85))))</formula>
    </cfRule>
  </conditionalFormatting>
  <conditionalFormatting sqref="B85:B99">
    <cfRule type="containsText" dxfId="1" priority="9" operator="containsText" text="Midday">
      <formula>NOT(ISERROR(SEARCH(("Midday"),(B85))))</formula>
    </cfRule>
  </conditionalFormatting>
  <conditionalFormatting sqref="B45 B84:B99">
    <cfRule type="containsText" dxfId="2" priority="10" operator="containsText" text="Morning">
      <formula>NOT(ISERROR(SEARCH(("Morning"),(B45))))</formula>
    </cfRule>
  </conditionalFormatting>
  <conditionalFormatting sqref="B5:B38 B45 B84">
    <cfRule type="containsText" dxfId="1" priority="11" operator="containsText" text="Afternoon">
      <formula>NOT(ISERROR(SEARCH(("Afternoon"),(B5))))</formula>
    </cfRule>
  </conditionalFormatting>
  <conditionalFormatting sqref="B5:B38">
    <cfRule type="containsText" dxfId="14" priority="12" operator="containsText" text="Morning">
      <formula>NOT(ISERROR(SEARCH(("Morning"),(B5))))</formula>
    </cfRule>
  </conditionalFormatting>
  <conditionalFormatting sqref="B46:B77">
    <cfRule type="containsText" dxfId="3" priority="13" operator="containsText" text="Night">
      <formula>NOT(ISERROR(SEARCH(("Night"),(B46))))</formula>
    </cfRule>
  </conditionalFormatting>
  <conditionalFormatting sqref="B46:B77">
    <cfRule type="containsText" dxfId="4" priority="14" operator="containsText" text="Evening">
      <formula>NOT(ISERROR(SEARCH(("Evening"),(B46))))</formula>
    </cfRule>
  </conditionalFormatting>
  <conditionalFormatting sqref="B46:B77">
    <cfRule type="containsText" dxfId="5" priority="15" operator="containsText" text="Peak">
      <formula>NOT(ISERROR(SEARCH(("Peak"),(B46))))</formula>
    </cfRule>
  </conditionalFormatting>
  <conditionalFormatting sqref="B46:B77">
    <cfRule type="containsText" dxfId="1" priority="16" operator="containsText" text="Midday">
      <formula>NOT(ISERROR(SEARCH(("Midday"),(B46))))</formula>
    </cfRule>
  </conditionalFormatting>
  <conditionalFormatting sqref="B46:B77">
    <cfRule type="containsText" dxfId="2" priority="17" operator="containsText" text="Morning">
      <formula>NOT(ISERROR(SEARCH(("Morning"),(B46))))</formula>
    </cfRule>
  </conditionalFormatting>
  <conditionalFormatting sqref="B78">
    <cfRule type="containsText" dxfId="3" priority="18" operator="containsText" text="Night">
      <formula>NOT(ISERROR(SEARCH(("Night"),(B78))))</formula>
    </cfRule>
  </conditionalFormatting>
  <conditionalFormatting sqref="B78">
    <cfRule type="containsText" dxfId="4" priority="19" operator="containsText" text="Evening">
      <formula>NOT(ISERROR(SEARCH(("Evening"),(B78))))</formula>
    </cfRule>
  </conditionalFormatting>
  <conditionalFormatting sqref="B78">
    <cfRule type="containsText" dxfId="5" priority="20" operator="containsText" text="Peak">
      <formula>NOT(ISERROR(SEARCH(("Peak"),(B78))))</formula>
    </cfRule>
  </conditionalFormatting>
  <conditionalFormatting sqref="B78">
    <cfRule type="containsText" dxfId="1" priority="21" operator="containsText" text="Afternoon">
      <formula>NOT(ISERROR(SEARCH(("Afternoon"),(B78))))</formula>
    </cfRule>
  </conditionalFormatting>
  <conditionalFormatting sqref="B78">
    <cfRule type="containsText" dxfId="2" priority="22" operator="containsText" text="Morning">
      <formula>NOT(ISERROR(SEARCH(("Morning"),(B78))))</formula>
    </cfRule>
  </conditionalFormatting>
  <conditionalFormatting sqref="A40:AK40 A41:AO43 A44:A84 C44:AO44 B45:B77 C45:Q84 R45:S78 T45:AI84 AJ45 AK45:AL100 AM45:AM50 AO45:AO50 AM51:AO78 B79:B82 AM79:AN79 R80:S84 AJ80:AJ84 AM80:AO100 B84">
    <cfRule type="containsText" dxfId="10" priority="23" operator="containsText" text="Early Morning">
      <formula>NOT(ISERROR(SEARCH(("Early Morning"),(A40))))</formula>
    </cfRule>
  </conditionalFormatting>
  <conditionalFormatting sqref="R99:AG99">
    <cfRule type="containsText" dxfId="10" priority="24" operator="containsText" text="Early Morning">
      <formula>NOT(ISERROR(SEARCH(("Early Morning"),(R99))))</formula>
    </cfRule>
  </conditionalFormatting>
  <conditionalFormatting sqref="AH46:AH78">
    <cfRule type="cellIs" dxfId="15" priority="25" operator="greaterThan">
      <formula>120</formula>
    </cfRule>
  </conditionalFormatting>
  <conditionalFormatting sqref="AH85:AH99">
    <cfRule type="cellIs" dxfId="15" priority="26" operator="greaterThan">
      <formula>120</formula>
    </cfRule>
  </conditionalFormatting>
  <conditionalFormatting sqref="AH85:AI99">
    <cfRule type="containsText" dxfId="10" priority="27" operator="containsText" text="Early Morning">
      <formula>NOT(ISERROR(SEARCH(("Early Morning"),(AH85))))</formula>
    </cfRule>
  </conditionalFormatting>
  <conditionalFormatting sqref="AJ5:AJ39">
    <cfRule type="cellIs" dxfId="16" priority="28" operator="lessThan">
      <formula>0.1</formula>
    </cfRule>
  </conditionalFormatting>
  <conditionalFormatting sqref="AJ5:AJ39">
    <cfRule type="cellIs" dxfId="17" priority="29" operator="between">
      <formula>0.15</formula>
      <formula>0.1</formula>
    </cfRule>
  </conditionalFormatting>
  <conditionalFormatting sqref="AJ5:AJ39">
    <cfRule type="cellIs" dxfId="13" priority="30" operator="greaterThan">
      <formula>0.15</formula>
    </cfRule>
  </conditionalFormatting>
  <conditionalFormatting sqref="AJ46:AJ79 AJ85:AJ100">
    <cfRule type="cellIs" dxfId="11" priority="31" operator="lessThanOrEqual">
      <formula>0.1</formula>
    </cfRule>
  </conditionalFormatting>
  <conditionalFormatting sqref="AJ46:AJ79 AJ85:AJ100">
    <cfRule type="cellIs" dxfId="12" priority="32" operator="lessThan">
      <formula>0.15</formula>
    </cfRule>
  </conditionalFormatting>
  <conditionalFormatting sqref="AJ46:AJ79 AJ85:AJ100">
    <cfRule type="cellIs" dxfId="13" priority="33" operator="greaterThanOrEqual">
      <formula>0.15</formula>
    </cfRule>
  </conditionalFormatting>
  <conditionalFormatting sqref="AK5:AK38">
    <cfRule type="cellIs" dxfId="6" priority="34" operator="lessThan">
      <formula>20</formula>
    </cfRule>
  </conditionalFormatting>
  <conditionalFormatting sqref="AK5:AK38">
    <cfRule type="cellIs" dxfId="7" priority="35" operator="equal">
      <formula>30</formula>
    </cfRule>
  </conditionalFormatting>
  <conditionalFormatting sqref="AK5:AK38">
    <cfRule type="cellIs" dxfId="8" priority="36" operator="greaterThan">
      <formula>31</formula>
    </cfRule>
  </conditionalFormatting>
  <conditionalFormatting sqref="AK5:AK38">
    <cfRule type="cellIs" dxfId="9" priority="37" operator="between">
      <formula>19</formula>
      <formula>29</formula>
    </cfRule>
  </conditionalFormatting>
  <conditionalFormatting sqref="AK46:AL78 AK85:AL99">
    <cfRule type="cellIs" dxfId="6" priority="38" operator="lessThan">
      <formula>20</formula>
    </cfRule>
  </conditionalFormatting>
  <conditionalFormatting sqref="AK46:AL78 AK85:AL99">
    <cfRule type="cellIs" dxfId="7" priority="39" operator="equal">
      <formula>30</formula>
    </cfRule>
  </conditionalFormatting>
  <conditionalFormatting sqref="AK46:AL78 AK85:AL99">
    <cfRule type="cellIs" dxfId="8" priority="40" operator="greaterThan">
      <formula>31</formula>
    </cfRule>
  </conditionalFormatting>
  <conditionalFormatting sqref="AK46:AL78 AK85:AL99">
    <cfRule type="cellIs" dxfId="9" priority="41" operator="between">
      <formula>19</formula>
      <formula>29</formula>
    </cfRule>
  </conditionalFormatting>
  <conditionalFormatting sqref="AL6:AL37">
    <cfRule type="cellIs" dxfId="6" priority="42" operator="lessThan">
      <formula>20</formula>
    </cfRule>
  </conditionalFormatting>
  <conditionalFormatting sqref="AL6:AL37">
    <cfRule type="cellIs" dxfId="7" priority="43" operator="equal">
      <formula>30</formula>
    </cfRule>
  </conditionalFormatting>
  <conditionalFormatting sqref="AL6:AL37">
    <cfRule type="cellIs" dxfId="8" priority="44" operator="greaterThan">
      <formula>31</formula>
    </cfRule>
  </conditionalFormatting>
  <conditionalFormatting sqref="AL6:AL37">
    <cfRule type="cellIs" dxfId="9" priority="45" operator="between">
      <formula>19</formula>
      <formula>29</formula>
    </cfRule>
  </conditionalFormatting>
  <conditionalFormatting sqref="AM40:AO40 A99:Q100 T100:AI100">
    <cfRule type="containsText" dxfId="10" priority="46" operator="containsText" text="Early Morning">
      <formula>NOT(ISERROR(SEARCH(("Early Morning"),(AM40))))</formula>
    </cfRule>
  </conditionalFormatting>
  <conditionalFormatting sqref="AN46 AN48:AN50">
    <cfRule type="containsText" dxfId="10" priority="47" operator="containsText" text="Early Morning">
      <formula>NOT(ISERROR(SEARCH(("Early Morning"),(AN46))))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3" width="15.13"/>
    <col customWidth="1" min="4" max="4" width="16.63"/>
    <col customWidth="1" min="5" max="5" width="6.75"/>
    <col customWidth="1" min="6" max="6" width="8.63"/>
    <col customWidth="1" min="7" max="7" width="22.63"/>
    <col customWidth="1" min="8" max="8" width="9.13"/>
    <col customWidth="1" min="9" max="9" width="12.25"/>
    <col customWidth="1" min="10" max="10" width="25.63"/>
    <col customWidth="1" min="11" max="13" width="6.5"/>
    <col customWidth="1" min="14" max="14" width="6.0"/>
    <col customWidth="1" min="15" max="17" width="6.5"/>
    <col customWidth="1" min="18" max="18" width="6.0"/>
    <col customWidth="1" min="19" max="21" width="6.5"/>
    <col customWidth="1" min="22" max="22" width="6.0"/>
    <col customWidth="1" min="23" max="24" width="6.5"/>
    <col customWidth="1" min="25" max="25" width="7.25"/>
    <col customWidth="1" min="26" max="26" width="6.75"/>
    <col customWidth="1" min="27" max="28" width="7.25"/>
    <col customWidth="1" min="29" max="29" width="6.75"/>
    <col customWidth="1" min="30" max="30" width="6.5"/>
    <col customWidth="1" min="31" max="32" width="6.75"/>
    <col customWidth="1" min="33" max="33" width="7.25"/>
    <col customWidth="1" min="34" max="34" width="6.75"/>
    <col customWidth="1" min="35" max="37" width="7.25"/>
    <col customWidth="1" min="38" max="38" width="6.75"/>
    <col customWidth="1" min="39" max="41" width="7.25"/>
    <col customWidth="1" min="42" max="42" width="6.75"/>
    <col customWidth="1" min="43" max="45" width="7.25"/>
    <col customWidth="1" min="46" max="46" width="6.75"/>
    <col customWidth="1" min="47" max="49" width="7.25"/>
    <col customWidth="1" min="50" max="50" width="6.75"/>
    <col customWidth="1" min="51" max="53" width="7.25"/>
    <col customWidth="1" min="54" max="54" width="6.75"/>
    <col customWidth="1" min="55" max="57" width="7.25"/>
    <col customWidth="1" min="58" max="58" width="6.75"/>
    <col customWidth="1" min="59" max="61" width="7.25"/>
    <col customWidth="1" min="62" max="62" width="6.75"/>
    <col customWidth="1" min="63" max="64" width="7.25"/>
    <col customWidth="1" min="65" max="65" width="7.75"/>
    <col customWidth="1" min="66" max="66" width="7.25"/>
    <col customWidth="1" min="67" max="68" width="7.75"/>
    <col customWidth="1" min="69" max="69" width="7.25"/>
    <col customWidth="1" min="70" max="70" width="6.75"/>
    <col customWidth="1" min="71" max="72" width="7.25"/>
    <col customWidth="1" min="73" max="73" width="7.75"/>
    <col customWidth="1" min="74" max="74" width="7.25"/>
    <col customWidth="1" min="75" max="77" width="7.75"/>
    <col customWidth="1" min="78" max="78" width="7.25"/>
    <col customWidth="1" min="79" max="80" width="7.75"/>
    <col customWidth="1" min="81" max="81" width="6.5"/>
    <col customWidth="1" min="82" max="82" width="8.63"/>
    <col customWidth="1" min="83" max="83" width="12.5"/>
    <col customWidth="1" min="84" max="84" width="8.63"/>
    <col customWidth="1" min="85" max="85" width="22.63"/>
    <col customWidth="1" min="86" max="86" width="8.63"/>
    <col customWidth="1" min="87" max="87" width="11.13"/>
    <col customWidth="1" min="88" max="88" width="12.63"/>
    <col customWidth="1" min="89" max="89" width="14.25"/>
    <col customWidth="1" min="90" max="90" width="20.13"/>
  </cols>
  <sheetData>
    <row r="1" ht="14.25" customHeight="1">
      <c r="A1" s="333"/>
      <c r="B1" s="333"/>
      <c r="C1" s="333"/>
      <c r="D1" s="333"/>
      <c r="E1" s="333"/>
      <c r="F1" s="333"/>
      <c r="G1" s="334" t="s">
        <v>189</v>
      </c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334"/>
      <c r="BP1" s="334"/>
      <c r="BQ1" s="334"/>
      <c r="BR1" s="334"/>
      <c r="BS1" s="334"/>
      <c r="BT1" s="334"/>
      <c r="BU1" s="334"/>
      <c r="BV1" s="334"/>
      <c r="BW1" s="334"/>
      <c r="BX1" s="334"/>
      <c r="BY1" s="334"/>
      <c r="BZ1" s="334"/>
      <c r="CA1" s="334"/>
      <c r="CB1" s="334"/>
      <c r="CC1" s="334"/>
      <c r="CD1" s="334"/>
      <c r="CE1" s="334"/>
      <c r="CF1" s="334"/>
      <c r="CG1" s="334"/>
      <c r="CH1" s="334"/>
      <c r="CI1" s="334"/>
      <c r="CJ1" s="334"/>
      <c r="CK1" s="334"/>
      <c r="CL1" s="334"/>
    </row>
    <row r="2" ht="14.25" customHeight="1">
      <c r="A2" s="333"/>
      <c r="B2" s="333"/>
      <c r="C2" s="333"/>
      <c r="D2" s="333"/>
      <c r="E2" s="333"/>
      <c r="F2" s="333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6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5"/>
      <c r="AP2" s="335"/>
      <c r="AQ2" s="335"/>
      <c r="AR2" s="335"/>
      <c r="AS2" s="335"/>
      <c r="AT2" s="335"/>
      <c r="AU2" s="335"/>
      <c r="AV2" s="335"/>
      <c r="AW2" s="335"/>
      <c r="AX2" s="335"/>
      <c r="AY2" s="335"/>
      <c r="AZ2" s="335"/>
      <c r="BA2" s="335"/>
      <c r="BB2" s="335"/>
      <c r="BC2" s="335"/>
      <c r="BD2" s="335"/>
      <c r="BE2" s="335"/>
      <c r="BF2" s="335"/>
      <c r="BG2" s="335"/>
      <c r="BH2" s="335"/>
      <c r="BI2" s="335"/>
      <c r="BJ2" s="335"/>
      <c r="BK2" s="335"/>
      <c r="BL2" s="335"/>
      <c r="BM2" s="335"/>
      <c r="BN2" s="335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</row>
    <row r="3" ht="14.25" customHeight="1">
      <c r="A3" s="333"/>
      <c r="B3" s="333"/>
      <c r="C3" s="333"/>
      <c r="D3" s="333"/>
      <c r="E3" s="333"/>
      <c r="F3" s="333"/>
      <c r="G3" s="337" t="s">
        <v>190</v>
      </c>
      <c r="H3" s="338"/>
      <c r="I3" s="338"/>
      <c r="J3" s="338"/>
      <c r="K3" s="339" t="s">
        <v>191</v>
      </c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339"/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8"/>
      <c r="CJ3" s="338"/>
      <c r="CK3" s="338"/>
      <c r="CL3" s="340" t="s">
        <v>192</v>
      </c>
    </row>
    <row r="4" ht="14.25" customHeight="1">
      <c r="A4" s="333"/>
      <c r="B4" s="333"/>
      <c r="C4" s="333"/>
      <c r="D4" s="333"/>
      <c r="E4" s="333"/>
      <c r="F4" s="333"/>
      <c r="G4" s="127"/>
      <c r="H4" s="341" t="s">
        <v>193</v>
      </c>
      <c r="I4" s="341" t="s">
        <v>194</v>
      </c>
      <c r="J4" s="341" t="s">
        <v>195</v>
      </c>
      <c r="K4" s="342">
        <v>0.21875</v>
      </c>
      <c r="L4" s="342">
        <v>0.22916666666666666</v>
      </c>
      <c r="M4" s="342">
        <v>0.239583333333333</v>
      </c>
      <c r="N4" s="342">
        <v>0.25</v>
      </c>
      <c r="O4" s="342">
        <v>0.260416666666667</v>
      </c>
      <c r="P4" s="342">
        <v>0.270833333333333</v>
      </c>
      <c r="Q4" s="342">
        <v>0.28125</v>
      </c>
      <c r="R4" s="342">
        <v>0.291666666666667</v>
      </c>
      <c r="S4" s="342">
        <v>0.302083333333333</v>
      </c>
      <c r="T4" s="342">
        <v>0.3125</v>
      </c>
      <c r="U4" s="342">
        <v>0.322916666666667</v>
      </c>
      <c r="V4" s="342">
        <v>0.333333333333333</v>
      </c>
      <c r="W4" s="342">
        <v>0.34375</v>
      </c>
      <c r="X4" s="342">
        <v>0.354166666666667</v>
      </c>
      <c r="Y4" s="342">
        <v>0.364583333333333</v>
      </c>
      <c r="Z4" s="342">
        <v>0.375</v>
      </c>
      <c r="AA4" s="342">
        <v>0.385416666666667</v>
      </c>
      <c r="AB4" s="342">
        <v>0.395833333333333</v>
      </c>
      <c r="AC4" s="342">
        <v>0.40625</v>
      </c>
      <c r="AD4" s="342">
        <v>0.416666666666666</v>
      </c>
      <c r="AE4" s="342">
        <v>0.427083333333333</v>
      </c>
      <c r="AF4" s="342">
        <v>0.4375</v>
      </c>
      <c r="AG4" s="342">
        <v>0.447916666666666</v>
      </c>
      <c r="AH4" s="342">
        <v>0.458333333333333</v>
      </c>
      <c r="AI4" s="342">
        <v>0.46875</v>
      </c>
      <c r="AJ4" s="342">
        <v>0.479166666666666</v>
      </c>
      <c r="AK4" s="342">
        <v>0.489583333333333</v>
      </c>
      <c r="AL4" s="342">
        <v>0.5</v>
      </c>
      <c r="AM4" s="342">
        <v>0.510416666666666</v>
      </c>
      <c r="AN4" s="342">
        <v>0.520833333333333</v>
      </c>
      <c r="AO4" s="342">
        <v>0.53125</v>
      </c>
      <c r="AP4" s="342">
        <v>0.541666666666666</v>
      </c>
      <c r="AQ4" s="342">
        <v>0.552083333333333</v>
      </c>
      <c r="AR4" s="342">
        <v>0.5625</v>
      </c>
      <c r="AS4" s="342">
        <v>0.572916666666666</v>
      </c>
      <c r="AT4" s="342">
        <v>0.583333333333333</v>
      </c>
      <c r="AU4" s="342">
        <v>0.59375</v>
      </c>
      <c r="AV4" s="342">
        <v>0.604166666666666</v>
      </c>
      <c r="AW4" s="342">
        <v>0.614583333333333</v>
      </c>
      <c r="AX4" s="342">
        <v>0.625</v>
      </c>
      <c r="AY4" s="342">
        <v>0.635416666666666</v>
      </c>
      <c r="AZ4" s="342">
        <v>0.645833333333333</v>
      </c>
      <c r="BA4" s="342">
        <v>0.65625</v>
      </c>
      <c r="BB4" s="342">
        <v>0.666666666666666</v>
      </c>
      <c r="BC4" s="342">
        <v>0.677083333333333</v>
      </c>
      <c r="BD4" s="342">
        <v>0.6875</v>
      </c>
      <c r="BE4" s="342">
        <v>0.697916666666666</v>
      </c>
      <c r="BF4" s="342">
        <v>0.708333333333333</v>
      </c>
      <c r="BG4" s="342">
        <v>0.71875</v>
      </c>
      <c r="BH4" s="342">
        <v>0.729166666666666</v>
      </c>
      <c r="BI4" s="342">
        <v>0.739583333333333</v>
      </c>
      <c r="BJ4" s="342">
        <v>0.75</v>
      </c>
      <c r="BK4" s="342">
        <v>0.760416666666666</v>
      </c>
      <c r="BL4" s="342">
        <v>0.770833333333333</v>
      </c>
      <c r="BM4" s="342">
        <v>0.78125</v>
      </c>
      <c r="BN4" s="342">
        <v>0.791666666666666</v>
      </c>
      <c r="BO4" s="342">
        <v>0.802083333333333</v>
      </c>
      <c r="BP4" s="342">
        <v>0.812499999999999</v>
      </c>
      <c r="BQ4" s="342">
        <v>0.822916666666666</v>
      </c>
      <c r="BR4" s="342">
        <v>0.833333333333333</v>
      </c>
      <c r="BS4" s="342">
        <v>0.843749999999999</v>
      </c>
      <c r="BT4" s="342">
        <v>0.854166666666666</v>
      </c>
      <c r="BU4" s="342">
        <v>0.864583333333333</v>
      </c>
      <c r="BV4" s="342">
        <v>0.874999999999999</v>
      </c>
      <c r="BW4" s="342">
        <v>0.885416666666666</v>
      </c>
      <c r="BX4" s="342">
        <v>0.895833333333333</v>
      </c>
      <c r="BY4" s="342">
        <v>0.906249999999999</v>
      </c>
      <c r="BZ4" s="342">
        <v>0.916666666666666</v>
      </c>
      <c r="CA4" s="342">
        <v>0.927083333333333</v>
      </c>
      <c r="CB4" s="342">
        <v>0.937499999999999</v>
      </c>
      <c r="CC4" s="342">
        <v>0.947916666666666</v>
      </c>
      <c r="CD4" s="342">
        <v>0.958333333333333</v>
      </c>
      <c r="CE4" s="342">
        <v>0.968749999999999</v>
      </c>
      <c r="CF4" s="342">
        <v>0.979166666666666</v>
      </c>
      <c r="CG4" s="342">
        <v>0.989583333333333</v>
      </c>
      <c r="CH4" s="343">
        <v>0.999999999999999</v>
      </c>
      <c r="CI4" s="344" t="s">
        <v>6</v>
      </c>
      <c r="CJ4" s="344" t="s">
        <v>196</v>
      </c>
      <c r="CK4" s="338"/>
      <c r="CL4" s="345" t="s">
        <v>58</v>
      </c>
    </row>
    <row r="5" ht="14.25" customHeight="1">
      <c r="A5" s="333"/>
      <c r="B5" s="333"/>
      <c r="C5" s="333"/>
      <c r="D5" s="333"/>
      <c r="E5" s="333"/>
      <c r="F5" s="333"/>
      <c r="G5" s="127"/>
      <c r="H5" s="346">
        <v>1.0</v>
      </c>
      <c r="I5" s="346" t="s">
        <v>86</v>
      </c>
      <c r="J5" s="346" t="s">
        <v>197</v>
      </c>
      <c r="K5" s="346"/>
      <c r="L5" s="346"/>
      <c r="M5" s="346"/>
      <c r="N5" s="346">
        <v>1.0</v>
      </c>
      <c r="O5" s="346">
        <v>1.0</v>
      </c>
      <c r="P5" s="346">
        <v>1.0</v>
      </c>
      <c r="Q5" s="346">
        <v>1.0</v>
      </c>
      <c r="R5" s="346">
        <v>1.0</v>
      </c>
      <c r="S5" s="346">
        <v>1.0</v>
      </c>
      <c r="T5" s="346">
        <v>1.0</v>
      </c>
      <c r="U5" s="346">
        <v>1.0</v>
      </c>
      <c r="V5" s="346">
        <v>1.0</v>
      </c>
      <c r="W5" s="346">
        <v>1.0</v>
      </c>
      <c r="X5" s="346">
        <v>1.0</v>
      </c>
      <c r="Y5" s="346">
        <v>1.0</v>
      </c>
      <c r="Z5" s="346">
        <v>1.0</v>
      </c>
      <c r="AA5" s="346">
        <v>1.0</v>
      </c>
      <c r="AB5" s="346">
        <v>1.0</v>
      </c>
      <c r="AC5" s="346">
        <v>1.0</v>
      </c>
      <c r="AD5" s="346">
        <v>1.0</v>
      </c>
      <c r="AE5" s="346">
        <v>1.0</v>
      </c>
      <c r="AF5" s="346">
        <v>1.0</v>
      </c>
      <c r="AG5" s="346">
        <v>1.0</v>
      </c>
      <c r="AH5" s="346">
        <v>1.0</v>
      </c>
      <c r="AI5" s="346">
        <v>1.0</v>
      </c>
      <c r="AJ5" s="346">
        <v>1.0</v>
      </c>
      <c r="AK5" s="346">
        <v>1.0</v>
      </c>
      <c r="AL5" s="346">
        <v>1.0</v>
      </c>
      <c r="AM5" s="346">
        <v>1.0</v>
      </c>
      <c r="AN5" s="346">
        <v>1.0</v>
      </c>
      <c r="AO5" s="346">
        <v>1.0</v>
      </c>
      <c r="AP5" s="346">
        <v>1.0</v>
      </c>
      <c r="AQ5" s="346">
        <v>1.0</v>
      </c>
      <c r="AR5" s="346">
        <v>1.0</v>
      </c>
      <c r="AS5" s="346">
        <v>1.0</v>
      </c>
      <c r="AT5" s="346">
        <v>1.0</v>
      </c>
      <c r="AU5" s="346">
        <v>1.0</v>
      </c>
      <c r="AV5" s="346">
        <v>1.0</v>
      </c>
      <c r="AW5" s="346">
        <v>1.0</v>
      </c>
      <c r="AX5" s="346">
        <v>1.0</v>
      </c>
      <c r="AY5" s="346">
        <v>1.0</v>
      </c>
      <c r="AZ5" s="346">
        <v>1.0</v>
      </c>
      <c r="BA5" s="346">
        <v>1.0</v>
      </c>
      <c r="BB5" s="346">
        <v>1.0</v>
      </c>
      <c r="BC5" s="346">
        <v>1.0</v>
      </c>
      <c r="BD5" s="346">
        <v>1.0</v>
      </c>
      <c r="BE5" s="346">
        <v>1.0</v>
      </c>
      <c r="BF5" s="346">
        <v>1.0</v>
      </c>
      <c r="BG5" s="346">
        <v>1.0</v>
      </c>
      <c r="BH5" s="346">
        <v>1.0</v>
      </c>
      <c r="BI5" s="346">
        <v>1.0</v>
      </c>
      <c r="BJ5" s="346">
        <v>1.0</v>
      </c>
      <c r="BK5" s="346">
        <v>1.0</v>
      </c>
      <c r="BL5" s="346">
        <v>1.0</v>
      </c>
      <c r="BM5" s="346">
        <v>1.0</v>
      </c>
      <c r="BN5" s="346">
        <v>1.0</v>
      </c>
      <c r="BO5" s="346">
        <v>1.0</v>
      </c>
      <c r="BP5" s="346">
        <v>1.0</v>
      </c>
      <c r="BQ5" s="346">
        <v>1.0</v>
      </c>
      <c r="BR5" s="346">
        <v>1.0</v>
      </c>
      <c r="BS5" s="346">
        <v>1.0</v>
      </c>
      <c r="BT5" s="346">
        <v>1.0</v>
      </c>
      <c r="BU5" s="346">
        <v>1.0</v>
      </c>
      <c r="BV5" s="346">
        <v>1.0</v>
      </c>
      <c r="BW5" s="346">
        <v>1.0</v>
      </c>
      <c r="BX5" s="346">
        <v>1.0</v>
      </c>
      <c r="BY5" s="346">
        <v>1.0</v>
      </c>
      <c r="BZ5" s="346">
        <v>1.0</v>
      </c>
      <c r="CA5" s="346">
        <v>1.0</v>
      </c>
      <c r="CB5" s="346">
        <v>1.0</v>
      </c>
      <c r="CC5" s="346">
        <v>1.0</v>
      </c>
      <c r="CD5" s="346">
        <v>1.0</v>
      </c>
      <c r="CE5" s="346">
        <v>1.0</v>
      </c>
      <c r="CF5" s="346">
        <v>1.0</v>
      </c>
      <c r="CG5" s="346">
        <v>1.0</v>
      </c>
      <c r="CH5" s="347"/>
      <c r="CI5" s="348">
        <f t="shared" ref="CI5:CI10" si="1">COUNT(K5:CH5)/4</f>
        <v>18</v>
      </c>
      <c r="CJ5" s="349">
        <f>CG4+TIME(,15,)</f>
        <v>1</v>
      </c>
      <c r="CK5" s="338"/>
      <c r="CL5" s="350" t="s">
        <v>198</v>
      </c>
    </row>
    <row r="6" ht="14.25" customHeight="1">
      <c r="A6" s="333"/>
      <c r="B6" s="333"/>
      <c r="C6" s="333"/>
      <c r="D6" s="333"/>
      <c r="E6" s="333"/>
      <c r="F6" s="333"/>
      <c r="G6" s="127"/>
      <c r="H6" s="346">
        <v>2.0</v>
      </c>
      <c r="I6" s="346" t="s">
        <v>64</v>
      </c>
      <c r="J6" s="346" t="s">
        <v>197</v>
      </c>
      <c r="K6" s="346"/>
      <c r="L6" s="346"/>
      <c r="M6" s="346"/>
      <c r="N6" s="346">
        <v>1.0</v>
      </c>
      <c r="O6" s="346">
        <v>1.0</v>
      </c>
      <c r="P6" s="346">
        <v>1.0</v>
      </c>
      <c r="Q6" s="346">
        <v>1.0</v>
      </c>
      <c r="R6" s="346">
        <v>1.0</v>
      </c>
      <c r="S6" s="346">
        <v>1.0</v>
      </c>
      <c r="T6" s="346">
        <v>1.0</v>
      </c>
      <c r="U6" s="346">
        <v>1.0</v>
      </c>
      <c r="V6" s="346">
        <v>1.0</v>
      </c>
      <c r="W6" s="346">
        <v>1.0</v>
      </c>
      <c r="X6" s="346">
        <v>1.0</v>
      </c>
      <c r="Y6" s="346">
        <v>1.0</v>
      </c>
      <c r="Z6" s="346">
        <v>1.0</v>
      </c>
      <c r="AA6" s="346">
        <v>1.0</v>
      </c>
      <c r="AB6" s="346">
        <v>1.0</v>
      </c>
      <c r="AC6" s="346">
        <v>1.0</v>
      </c>
      <c r="AD6" s="346"/>
      <c r="AE6" s="346"/>
      <c r="AF6" s="346"/>
      <c r="AG6" s="346"/>
      <c r="AH6" s="346"/>
      <c r="AI6" s="346"/>
      <c r="AJ6" s="346"/>
      <c r="AK6" s="346"/>
      <c r="AL6" s="346"/>
      <c r="AM6" s="346"/>
      <c r="AN6" s="346"/>
      <c r="AO6" s="346"/>
      <c r="AP6" s="346"/>
      <c r="AQ6" s="346"/>
      <c r="AR6" s="346"/>
      <c r="AS6" s="346"/>
      <c r="AT6" s="346">
        <v>1.0</v>
      </c>
      <c r="AU6" s="346">
        <v>1.0</v>
      </c>
      <c r="AV6" s="346">
        <v>1.0</v>
      </c>
      <c r="AW6" s="346">
        <v>1.0</v>
      </c>
      <c r="AX6" s="346">
        <v>1.0</v>
      </c>
      <c r="AY6" s="346">
        <v>1.0</v>
      </c>
      <c r="AZ6" s="346">
        <v>1.0</v>
      </c>
      <c r="BA6" s="346">
        <v>1.0</v>
      </c>
      <c r="BB6" s="346">
        <v>1.0</v>
      </c>
      <c r="BC6" s="346">
        <v>1.0</v>
      </c>
      <c r="BD6" s="346">
        <v>1.0</v>
      </c>
      <c r="BE6" s="346">
        <v>1.0</v>
      </c>
      <c r="BF6" s="346">
        <v>1.0</v>
      </c>
      <c r="BG6" s="346">
        <v>1.0</v>
      </c>
      <c r="BH6" s="346">
        <v>1.0</v>
      </c>
      <c r="BI6" s="346">
        <v>1.0</v>
      </c>
      <c r="BJ6" s="346">
        <v>1.0</v>
      </c>
      <c r="BK6" s="346">
        <v>1.0</v>
      </c>
      <c r="BL6" s="346">
        <v>1.0</v>
      </c>
      <c r="BM6" s="346">
        <v>1.0</v>
      </c>
      <c r="BN6" s="346"/>
      <c r="BO6" s="346"/>
      <c r="BP6" s="346"/>
      <c r="BQ6" s="346"/>
      <c r="BR6" s="346"/>
      <c r="BS6" s="346"/>
      <c r="BT6" s="346"/>
      <c r="BU6" s="346"/>
      <c r="BV6" s="346"/>
      <c r="BW6" s="346"/>
      <c r="BX6" s="346"/>
      <c r="BY6" s="346"/>
      <c r="BZ6" s="346"/>
      <c r="CA6" s="346"/>
      <c r="CB6" s="346"/>
      <c r="CC6" s="346"/>
      <c r="CD6" s="346"/>
      <c r="CE6" s="346"/>
      <c r="CF6" s="346"/>
      <c r="CG6" s="346"/>
      <c r="CH6" s="347"/>
      <c r="CI6" s="348">
        <f t="shared" si="1"/>
        <v>9</v>
      </c>
      <c r="CJ6" s="349">
        <f>BY4+TIME(,15,)</f>
        <v>0.9166666667</v>
      </c>
      <c r="CK6" s="338"/>
      <c r="CL6" s="338"/>
    </row>
    <row r="7" ht="14.25" customHeight="1">
      <c r="A7" s="333"/>
      <c r="B7" s="333"/>
      <c r="C7" s="333"/>
      <c r="D7" s="333"/>
      <c r="E7" s="333"/>
      <c r="F7" s="333"/>
      <c r="G7" s="127"/>
      <c r="H7" s="351">
        <v>3.0</v>
      </c>
      <c r="I7" s="351" t="s">
        <v>199</v>
      </c>
      <c r="J7" s="351" t="s">
        <v>200</v>
      </c>
      <c r="K7" s="351">
        <v>1.0</v>
      </c>
      <c r="L7" s="351">
        <v>1.0</v>
      </c>
      <c r="M7" s="351">
        <v>1.0</v>
      </c>
      <c r="N7" s="351">
        <v>1.0</v>
      </c>
      <c r="O7" s="351">
        <v>1.0</v>
      </c>
      <c r="P7" s="351">
        <v>1.0</v>
      </c>
      <c r="Q7" s="351">
        <v>1.0</v>
      </c>
      <c r="R7" s="351">
        <v>1.0</v>
      </c>
      <c r="S7" s="351">
        <v>1.0</v>
      </c>
      <c r="T7" s="351">
        <v>1.0</v>
      </c>
      <c r="U7" s="351">
        <v>1.0</v>
      </c>
      <c r="V7" s="351">
        <v>1.0</v>
      </c>
      <c r="W7" s="351">
        <v>1.0</v>
      </c>
      <c r="X7" s="351">
        <v>1.0</v>
      </c>
      <c r="Y7" s="351">
        <v>1.0</v>
      </c>
      <c r="Z7" s="351">
        <v>1.0</v>
      </c>
      <c r="AA7" s="351">
        <v>1.0</v>
      </c>
      <c r="AB7" s="351">
        <v>1.0</v>
      </c>
      <c r="AC7" s="351">
        <v>1.0</v>
      </c>
      <c r="AD7" s="351">
        <v>1.0</v>
      </c>
      <c r="AE7" s="351">
        <v>1.0</v>
      </c>
      <c r="AF7" s="351">
        <v>1.0</v>
      </c>
      <c r="AG7" s="351">
        <v>1.0</v>
      </c>
      <c r="AH7" s="351">
        <v>1.0</v>
      </c>
      <c r="AI7" s="351">
        <v>1.0</v>
      </c>
      <c r="AJ7" s="351">
        <v>1.0</v>
      </c>
      <c r="AK7" s="351">
        <v>1.0</v>
      </c>
      <c r="AL7" s="351">
        <v>1.0</v>
      </c>
      <c r="AM7" s="351">
        <v>1.0</v>
      </c>
      <c r="AN7" s="351">
        <v>1.0</v>
      </c>
      <c r="AO7" s="351">
        <v>1.0</v>
      </c>
      <c r="AP7" s="351">
        <v>1.0</v>
      </c>
      <c r="AQ7" s="351">
        <v>1.0</v>
      </c>
      <c r="AR7" s="351">
        <v>1.0</v>
      </c>
      <c r="AS7" s="351">
        <v>1.0</v>
      </c>
      <c r="AT7" s="351">
        <v>1.0</v>
      </c>
      <c r="AU7" s="351">
        <v>1.0</v>
      </c>
      <c r="AV7" s="351">
        <v>1.0</v>
      </c>
      <c r="AW7" s="351">
        <v>1.0</v>
      </c>
      <c r="AX7" s="351">
        <v>1.0</v>
      </c>
      <c r="AY7" s="351">
        <v>1.0</v>
      </c>
      <c r="AZ7" s="351">
        <v>1.0</v>
      </c>
      <c r="BA7" s="351">
        <v>1.0</v>
      </c>
      <c r="BB7" s="351">
        <v>1.0</v>
      </c>
      <c r="BC7" s="351">
        <v>1.0</v>
      </c>
      <c r="BD7" s="351">
        <v>1.0</v>
      </c>
      <c r="BE7" s="351">
        <v>1.0</v>
      </c>
      <c r="BF7" s="351">
        <v>1.0</v>
      </c>
      <c r="BG7" s="351">
        <v>1.0</v>
      </c>
      <c r="BH7" s="351">
        <v>1.0</v>
      </c>
      <c r="BI7" s="351">
        <v>1.0</v>
      </c>
      <c r="BJ7" s="351">
        <v>1.0</v>
      </c>
      <c r="BK7" s="351">
        <v>1.0</v>
      </c>
      <c r="BL7" s="351">
        <v>1.0</v>
      </c>
      <c r="BM7" s="351">
        <v>1.0</v>
      </c>
      <c r="BN7" s="351">
        <v>1.0</v>
      </c>
      <c r="BO7" s="351">
        <v>1.0</v>
      </c>
      <c r="BP7" s="351">
        <v>1.0</v>
      </c>
      <c r="BQ7" s="351">
        <v>1.0</v>
      </c>
      <c r="BR7" s="351">
        <v>1.0</v>
      </c>
      <c r="BS7" s="351">
        <v>1.0</v>
      </c>
      <c r="BT7" s="351">
        <v>1.0</v>
      </c>
      <c r="BU7" s="351">
        <v>1.0</v>
      </c>
      <c r="BV7" s="351">
        <v>1.0</v>
      </c>
      <c r="BW7" s="351">
        <v>1.0</v>
      </c>
      <c r="BX7" s="351">
        <v>1.0</v>
      </c>
      <c r="BY7" s="351">
        <v>1.0</v>
      </c>
      <c r="BZ7" s="351">
        <v>1.0</v>
      </c>
      <c r="CA7" s="351">
        <v>1.0</v>
      </c>
      <c r="CB7" s="351">
        <v>1.0</v>
      </c>
      <c r="CC7" s="351">
        <v>1.0</v>
      </c>
      <c r="CD7" s="351">
        <v>1.0</v>
      </c>
      <c r="CE7" s="351">
        <v>1.0</v>
      </c>
      <c r="CF7" s="351">
        <v>1.0</v>
      </c>
      <c r="CG7" s="351">
        <v>1.0</v>
      </c>
      <c r="CH7" s="347"/>
      <c r="CI7" s="348">
        <f t="shared" si="1"/>
        <v>18.75</v>
      </c>
      <c r="CJ7" s="349">
        <f>CG4+TIME(,15,)</f>
        <v>1</v>
      </c>
      <c r="CK7" s="338"/>
      <c r="CL7" s="338"/>
    </row>
    <row r="8" ht="14.25" customHeight="1">
      <c r="A8" s="333"/>
      <c r="B8" s="333"/>
      <c r="C8" s="333"/>
      <c r="D8" s="333"/>
      <c r="E8" s="333"/>
      <c r="F8" s="333"/>
      <c r="G8" s="127"/>
      <c r="H8" s="352">
        <v>4.0</v>
      </c>
      <c r="I8" s="352" t="s">
        <v>64</v>
      </c>
      <c r="J8" s="352" t="s">
        <v>201</v>
      </c>
      <c r="K8" s="352">
        <v>1.0</v>
      </c>
      <c r="L8" s="352">
        <v>1.0</v>
      </c>
      <c r="M8" s="352">
        <v>1.0</v>
      </c>
      <c r="N8" s="352">
        <v>1.0</v>
      </c>
      <c r="O8" s="352">
        <v>1.0</v>
      </c>
      <c r="P8" s="352">
        <v>1.0</v>
      </c>
      <c r="Q8" s="352">
        <v>1.0</v>
      </c>
      <c r="R8" s="352">
        <v>1.0</v>
      </c>
      <c r="S8" s="352">
        <v>1.0</v>
      </c>
      <c r="T8" s="352">
        <v>1.0</v>
      </c>
      <c r="U8" s="352">
        <v>1.0</v>
      </c>
      <c r="V8" s="352">
        <v>1.0</v>
      </c>
      <c r="W8" s="352">
        <v>1.0</v>
      </c>
      <c r="X8" s="352">
        <v>1.0</v>
      </c>
      <c r="Y8" s="352">
        <v>1.0</v>
      </c>
      <c r="Z8" s="352">
        <v>1.0</v>
      </c>
      <c r="AA8" s="352">
        <v>1.0</v>
      </c>
      <c r="AB8" s="352">
        <v>1.0</v>
      </c>
      <c r="AC8" s="352">
        <v>1.0</v>
      </c>
      <c r="AD8" s="352">
        <v>1.0</v>
      </c>
      <c r="AE8" s="352">
        <v>1.0</v>
      </c>
      <c r="AF8" s="352">
        <v>1.0</v>
      </c>
      <c r="AG8" s="352">
        <v>1.0</v>
      </c>
      <c r="AH8" s="352">
        <v>1.0</v>
      </c>
      <c r="AI8" s="352">
        <v>1.0</v>
      </c>
      <c r="AJ8" s="352">
        <v>1.0</v>
      </c>
      <c r="AK8" s="352">
        <v>1.0</v>
      </c>
      <c r="AL8" s="352">
        <v>1.0</v>
      </c>
      <c r="AM8" s="352">
        <v>1.0</v>
      </c>
      <c r="AN8" s="352">
        <v>1.0</v>
      </c>
      <c r="AO8" s="352">
        <v>1.0</v>
      </c>
      <c r="AP8" s="352">
        <v>1.0</v>
      </c>
      <c r="AQ8" s="352">
        <v>1.0</v>
      </c>
      <c r="AR8" s="352">
        <v>1.0</v>
      </c>
      <c r="AS8" s="352">
        <v>1.0</v>
      </c>
      <c r="AT8" s="352">
        <v>1.0</v>
      </c>
      <c r="AU8" s="352">
        <v>1.0</v>
      </c>
      <c r="AV8" s="352">
        <v>1.0</v>
      </c>
      <c r="AW8" s="352">
        <v>1.0</v>
      </c>
      <c r="AX8" s="352">
        <v>1.0</v>
      </c>
      <c r="AY8" s="352">
        <v>1.0</v>
      </c>
      <c r="AZ8" s="352">
        <v>1.0</v>
      </c>
      <c r="BA8" s="352">
        <v>1.0</v>
      </c>
      <c r="BB8" s="352">
        <v>1.0</v>
      </c>
      <c r="BC8" s="352">
        <v>1.0</v>
      </c>
      <c r="BD8" s="352">
        <v>1.0</v>
      </c>
      <c r="BE8" s="352">
        <v>1.0</v>
      </c>
      <c r="BF8" s="352">
        <v>1.0</v>
      </c>
      <c r="BG8" s="352">
        <v>1.0</v>
      </c>
      <c r="BH8" s="352">
        <v>1.0</v>
      </c>
      <c r="BI8" s="352">
        <v>1.0</v>
      </c>
      <c r="BJ8" s="352">
        <v>1.0</v>
      </c>
      <c r="BK8" s="352">
        <v>1.0</v>
      </c>
      <c r="BL8" s="352">
        <v>1.0</v>
      </c>
      <c r="BM8" s="352">
        <v>1.0</v>
      </c>
      <c r="BN8" s="352">
        <v>1.0</v>
      </c>
      <c r="BO8" s="352">
        <v>1.0</v>
      </c>
      <c r="BP8" s="352">
        <v>1.0</v>
      </c>
      <c r="BQ8" s="352">
        <v>1.0</v>
      </c>
      <c r="BR8" s="352">
        <v>1.0</v>
      </c>
      <c r="BS8" s="352">
        <v>1.0</v>
      </c>
      <c r="BT8" s="352">
        <v>1.0</v>
      </c>
      <c r="BU8" s="352">
        <v>1.0</v>
      </c>
      <c r="BV8" s="352">
        <v>1.0</v>
      </c>
      <c r="BW8" s="352">
        <v>1.0</v>
      </c>
      <c r="BX8" s="352">
        <v>1.0</v>
      </c>
      <c r="BY8" s="352">
        <v>1.0</v>
      </c>
      <c r="BZ8" s="352">
        <v>1.0</v>
      </c>
      <c r="CA8" s="352"/>
      <c r="CB8" s="352"/>
      <c r="CC8" s="352"/>
      <c r="CD8" s="352"/>
      <c r="CE8" s="352"/>
      <c r="CF8" s="352"/>
      <c r="CG8" s="352"/>
      <c r="CH8" s="353"/>
      <c r="CI8" s="354">
        <f t="shared" si="1"/>
        <v>17</v>
      </c>
      <c r="CJ8" s="355">
        <f>BM4+TIME(,15,)</f>
        <v>0.7916666667</v>
      </c>
      <c r="CK8" s="338"/>
      <c r="CL8" s="338"/>
    </row>
    <row r="9" ht="14.25" customHeight="1">
      <c r="A9" s="333"/>
      <c r="B9" s="333"/>
      <c r="C9" s="333"/>
      <c r="D9" s="333"/>
      <c r="E9" s="333"/>
      <c r="F9" s="333"/>
      <c r="G9" s="127"/>
      <c r="H9" s="356">
        <v>5.0</v>
      </c>
      <c r="I9" s="357" t="s">
        <v>202</v>
      </c>
      <c r="J9" s="357" t="s">
        <v>201</v>
      </c>
      <c r="K9" s="357"/>
      <c r="L9" s="358"/>
      <c r="M9" s="357"/>
      <c r="N9" s="357"/>
      <c r="O9" s="357"/>
      <c r="P9" s="357"/>
      <c r="Q9" s="357"/>
      <c r="R9" s="357">
        <v>1.0</v>
      </c>
      <c r="S9" s="357">
        <v>1.0</v>
      </c>
      <c r="T9" s="357">
        <v>1.0</v>
      </c>
      <c r="U9" s="357">
        <v>1.0</v>
      </c>
      <c r="V9" s="357">
        <v>1.0</v>
      </c>
      <c r="W9" s="357">
        <v>1.0</v>
      </c>
      <c r="X9" s="357">
        <v>1.0</v>
      </c>
      <c r="Y9" s="357">
        <v>1.0</v>
      </c>
      <c r="Z9" s="357">
        <v>1.0</v>
      </c>
      <c r="AA9" s="357">
        <v>1.0</v>
      </c>
      <c r="AB9" s="357">
        <v>1.0</v>
      </c>
      <c r="AC9" s="357">
        <v>1.0</v>
      </c>
      <c r="AD9" s="357">
        <v>1.0</v>
      </c>
      <c r="AE9" s="357">
        <v>1.0</v>
      </c>
      <c r="AF9" s="357">
        <v>1.0</v>
      </c>
      <c r="AG9" s="357">
        <v>1.0</v>
      </c>
      <c r="AH9" s="357">
        <v>1.0</v>
      </c>
      <c r="AI9" s="357">
        <v>1.0</v>
      </c>
      <c r="AJ9" s="357">
        <v>1.0</v>
      </c>
      <c r="AK9" s="357">
        <v>1.0</v>
      </c>
      <c r="AL9" s="357">
        <v>1.0</v>
      </c>
      <c r="AM9" s="357">
        <v>1.0</v>
      </c>
      <c r="AN9" s="357">
        <v>1.0</v>
      </c>
      <c r="AO9" s="357">
        <v>1.0</v>
      </c>
      <c r="AP9" s="357">
        <v>1.0</v>
      </c>
      <c r="AQ9" s="357">
        <v>1.0</v>
      </c>
      <c r="AR9" s="357">
        <v>1.0</v>
      </c>
      <c r="AS9" s="357">
        <v>1.0</v>
      </c>
      <c r="AT9" s="357">
        <v>1.0</v>
      </c>
      <c r="AU9" s="357">
        <v>1.0</v>
      </c>
      <c r="AV9" s="357">
        <v>1.0</v>
      </c>
      <c r="AW9" s="357">
        <v>1.0</v>
      </c>
      <c r="AX9" s="357">
        <v>1.0</v>
      </c>
      <c r="AY9" s="357">
        <v>1.0</v>
      </c>
      <c r="AZ9" s="357">
        <v>1.0</v>
      </c>
      <c r="BA9" s="357">
        <v>1.0</v>
      </c>
      <c r="BB9" s="357">
        <v>1.0</v>
      </c>
      <c r="BC9" s="357">
        <v>1.0</v>
      </c>
      <c r="BD9" s="357">
        <v>1.0</v>
      </c>
      <c r="BE9" s="357">
        <v>1.0</v>
      </c>
      <c r="BF9" s="357">
        <v>1.0</v>
      </c>
      <c r="BG9" s="357">
        <v>1.0</v>
      </c>
      <c r="BH9" s="357">
        <v>1.0</v>
      </c>
      <c r="BI9" s="357">
        <v>1.0</v>
      </c>
      <c r="BJ9" s="357">
        <v>1.0</v>
      </c>
      <c r="BK9" s="357">
        <v>1.0</v>
      </c>
      <c r="BL9" s="357">
        <v>1.0</v>
      </c>
      <c r="BM9" s="357">
        <v>1.0</v>
      </c>
      <c r="BN9" s="357">
        <v>1.0</v>
      </c>
      <c r="BO9" s="357">
        <v>1.0</v>
      </c>
      <c r="BP9" s="357">
        <v>1.0</v>
      </c>
      <c r="BQ9" s="357">
        <v>1.0</v>
      </c>
      <c r="BR9" s="357">
        <v>1.0</v>
      </c>
      <c r="BS9" s="357">
        <v>1.0</v>
      </c>
      <c r="BT9" s="357">
        <v>1.0</v>
      </c>
      <c r="BU9" s="357">
        <v>1.0</v>
      </c>
      <c r="BV9" s="357">
        <v>1.0</v>
      </c>
      <c r="BW9" s="357">
        <v>1.0</v>
      </c>
      <c r="BX9" s="357">
        <v>1.0</v>
      </c>
      <c r="BY9" s="357">
        <v>1.0</v>
      </c>
      <c r="BZ9" s="357">
        <v>1.0</v>
      </c>
      <c r="CA9" s="357">
        <v>1.0</v>
      </c>
      <c r="CB9" s="357">
        <v>1.0</v>
      </c>
      <c r="CC9" s="357">
        <v>1.0</v>
      </c>
      <c r="CD9" s="357">
        <v>1.0</v>
      </c>
      <c r="CE9" s="357">
        <v>1.0</v>
      </c>
      <c r="CF9" s="357">
        <v>1.0</v>
      </c>
      <c r="CG9" s="357">
        <v>1.0</v>
      </c>
      <c r="CH9" s="359"/>
      <c r="CI9" s="360">
        <f t="shared" si="1"/>
        <v>17</v>
      </c>
      <c r="CJ9" s="361">
        <f>CG4+TIME(,15,)</f>
        <v>1</v>
      </c>
      <c r="CK9" s="338"/>
      <c r="CL9" s="338"/>
    </row>
    <row r="10" ht="14.25" customHeight="1">
      <c r="A10" s="333"/>
      <c r="B10" s="333"/>
      <c r="C10" s="333"/>
      <c r="D10" s="333"/>
      <c r="E10" s="333"/>
      <c r="F10" s="333"/>
      <c r="G10" s="127"/>
      <c r="H10" s="362">
        <v>6.0</v>
      </c>
      <c r="I10" s="363" t="s">
        <v>203</v>
      </c>
      <c r="J10" s="363" t="s">
        <v>201</v>
      </c>
      <c r="K10" s="363"/>
      <c r="L10" s="364">
        <v>1.0</v>
      </c>
      <c r="M10" s="363">
        <v>1.0</v>
      </c>
      <c r="N10" s="363">
        <v>1.0</v>
      </c>
      <c r="O10" s="363">
        <v>1.0</v>
      </c>
      <c r="P10" s="363">
        <v>1.0</v>
      </c>
      <c r="Q10" s="363">
        <v>1.0</v>
      </c>
      <c r="R10" s="363">
        <v>1.0</v>
      </c>
      <c r="S10" s="363">
        <v>1.0</v>
      </c>
      <c r="T10" s="363">
        <v>1.0</v>
      </c>
      <c r="U10" s="363">
        <v>1.0</v>
      </c>
      <c r="V10" s="363">
        <v>1.0</v>
      </c>
      <c r="W10" s="363">
        <v>1.0</v>
      </c>
      <c r="X10" s="363">
        <v>1.0</v>
      </c>
      <c r="Y10" s="363">
        <v>1.0</v>
      </c>
      <c r="Z10" s="363">
        <v>1.0</v>
      </c>
      <c r="AA10" s="363">
        <v>1.0</v>
      </c>
      <c r="AB10" s="363">
        <v>1.0</v>
      </c>
      <c r="AC10" s="363">
        <v>1.0</v>
      </c>
      <c r="AD10" s="363">
        <v>1.0</v>
      </c>
      <c r="AE10" s="363">
        <v>1.0</v>
      </c>
      <c r="AF10" s="363">
        <v>1.0</v>
      </c>
      <c r="AG10" s="363">
        <v>1.0</v>
      </c>
      <c r="AH10" s="363">
        <v>1.0</v>
      </c>
      <c r="AI10" s="363">
        <v>1.0</v>
      </c>
      <c r="AJ10" s="363">
        <v>1.0</v>
      </c>
      <c r="AK10" s="363">
        <v>1.0</v>
      </c>
      <c r="AL10" s="363">
        <v>1.0</v>
      </c>
      <c r="AM10" s="363">
        <v>1.0</v>
      </c>
      <c r="AN10" s="363">
        <v>1.0</v>
      </c>
      <c r="AO10" s="363">
        <v>1.0</v>
      </c>
      <c r="AP10" s="363">
        <v>1.0</v>
      </c>
      <c r="AQ10" s="363">
        <v>1.0</v>
      </c>
      <c r="AR10" s="363">
        <v>1.0</v>
      </c>
      <c r="AS10" s="363">
        <v>1.0</v>
      </c>
      <c r="AT10" s="363">
        <v>1.0</v>
      </c>
      <c r="AU10" s="363">
        <v>1.0</v>
      </c>
      <c r="AV10" s="363">
        <v>1.0</v>
      </c>
      <c r="AW10" s="363">
        <v>1.0</v>
      </c>
      <c r="AX10" s="363">
        <v>1.0</v>
      </c>
      <c r="AY10" s="363">
        <v>1.0</v>
      </c>
      <c r="AZ10" s="363">
        <v>1.0</v>
      </c>
      <c r="BA10" s="363">
        <v>1.0</v>
      </c>
      <c r="BB10" s="363">
        <v>1.0</v>
      </c>
      <c r="BC10" s="363">
        <v>1.0</v>
      </c>
      <c r="BD10" s="363">
        <v>1.0</v>
      </c>
      <c r="BE10" s="363">
        <v>1.0</v>
      </c>
      <c r="BF10" s="363">
        <v>1.0</v>
      </c>
      <c r="BG10" s="363">
        <v>1.0</v>
      </c>
      <c r="BH10" s="363">
        <v>1.0</v>
      </c>
      <c r="BI10" s="363">
        <v>1.0</v>
      </c>
      <c r="BJ10" s="363">
        <v>1.0</v>
      </c>
      <c r="BK10" s="363">
        <v>1.0</v>
      </c>
      <c r="BL10" s="363">
        <v>1.0</v>
      </c>
      <c r="BM10" s="363">
        <v>1.0</v>
      </c>
      <c r="BN10" s="363">
        <v>1.0</v>
      </c>
      <c r="BO10" s="363">
        <v>1.0</v>
      </c>
      <c r="BP10" s="363">
        <v>1.0</v>
      </c>
      <c r="BQ10" s="363">
        <v>1.0</v>
      </c>
      <c r="BR10" s="363">
        <v>1.0</v>
      </c>
      <c r="BS10" s="363">
        <v>1.0</v>
      </c>
      <c r="BT10" s="363">
        <v>1.0</v>
      </c>
      <c r="BU10" s="363">
        <v>1.0</v>
      </c>
      <c r="BV10" s="363">
        <v>1.0</v>
      </c>
      <c r="BW10" s="363">
        <v>1.0</v>
      </c>
      <c r="BX10" s="363">
        <v>1.0</v>
      </c>
      <c r="BY10" s="363">
        <v>1.0</v>
      </c>
      <c r="BZ10" s="363">
        <v>1.0</v>
      </c>
      <c r="CA10" s="363">
        <v>1.0</v>
      </c>
      <c r="CB10" s="363">
        <v>1.0</v>
      </c>
      <c r="CC10" s="363">
        <v>1.0</v>
      </c>
      <c r="CD10" s="363">
        <v>1.0</v>
      </c>
      <c r="CE10" s="363">
        <v>1.0</v>
      </c>
      <c r="CF10" s="363">
        <v>1.0</v>
      </c>
      <c r="CG10" s="363">
        <v>1.0</v>
      </c>
      <c r="CH10" s="365"/>
      <c r="CI10" s="366">
        <f t="shared" si="1"/>
        <v>18.5</v>
      </c>
      <c r="CJ10" s="367">
        <f>CG4+TIME(,15,)</f>
        <v>1</v>
      </c>
      <c r="CK10" s="338"/>
      <c r="CL10" s="338"/>
    </row>
    <row r="11" ht="14.25" customHeight="1">
      <c r="A11" s="333"/>
      <c r="B11" s="333"/>
      <c r="C11" s="333"/>
      <c r="D11" s="333"/>
      <c r="E11" s="333"/>
      <c r="F11" s="333"/>
      <c r="G11" s="156"/>
      <c r="H11" s="338"/>
      <c r="I11" s="338"/>
      <c r="J11" s="368" t="s">
        <v>204</v>
      </c>
      <c r="K11" s="369">
        <f t="shared" ref="K11:CH11" si="2">COUNT(K5:K10)</f>
        <v>2</v>
      </c>
      <c r="L11" s="369">
        <f t="shared" si="2"/>
        <v>3</v>
      </c>
      <c r="M11" s="369">
        <f t="shared" si="2"/>
        <v>3</v>
      </c>
      <c r="N11" s="369">
        <f t="shared" si="2"/>
        <v>5</v>
      </c>
      <c r="O11" s="369">
        <f t="shared" si="2"/>
        <v>5</v>
      </c>
      <c r="P11" s="369">
        <f t="shared" si="2"/>
        <v>5</v>
      </c>
      <c r="Q11" s="369">
        <f t="shared" si="2"/>
        <v>5</v>
      </c>
      <c r="R11" s="369">
        <f t="shared" si="2"/>
        <v>6</v>
      </c>
      <c r="S11" s="369">
        <f t="shared" si="2"/>
        <v>6</v>
      </c>
      <c r="T11" s="369">
        <f t="shared" si="2"/>
        <v>6</v>
      </c>
      <c r="U11" s="369">
        <f t="shared" si="2"/>
        <v>6</v>
      </c>
      <c r="V11" s="369">
        <f t="shared" si="2"/>
        <v>6</v>
      </c>
      <c r="W11" s="369">
        <f t="shared" si="2"/>
        <v>6</v>
      </c>
      <c r="X11" s="369">
        <f t="shared" si="2"/>
        <v>6</v>
      </c>
      <c r="Y11" s="369">
        <f t="shared" si="2"/>
        <v>6</v>
      </c>
      <c r="Z11" s="369">
        <f t="shared" si="2"/>
        <v>6</v>
      </c>
      <c r="AA11" s="369">
        <f t="shared" si="2"/>
        <v>6</v>
      </c>
      <c r="AB11" s="369">
        <f t="shared" si="2"/>
        <v>6</v>
      </c>
      <c r="AC11" s="369">
        <f t="shared" si="2"/>
        <v>6</v>
      </c>
      <c r="AD11" s="369">
        <f t="shared" si="2"/>
        <v>5</v>
      </c>
      <c r="AE11" s="369">
        <f t="shared" si="2"/>
        <v>5</v>
      </c>
      <c r="AF11" s="369">
        <f t="shared" si="2"/>
        <v>5</v>
      </c>
      <c r="AG11" s="369">
        <f t="shared" si="2"/>
        <v>5</v>
      </c>
      <c r="AH11" s="369">
        <f t="shared" si="2"/>
        <v>5</v>
      </c>
      <c r="AI11" s="369">
        <f t="shared" si="2"/>
        <v>5</v>
      </c>
      <c r="AJ11" s="369">
        <f t="shared" si="2"/>
        <v>5</v>
      </c>
      <c r="AK11" s="369">
        <f t="shared" si="2"/>
        <v>5</v>
      </c>
      <c r="AL11" s="369">
        <f t="shared" si="2"/>
        <v>5</v>
      </c>
      <c r="AM11" s="369">
        <f t="shared" si="2"/>
        <v>5</v>
      </c>
      <c r="AN11" s="369">
        <f t="shared" si="2"/>
        <v>5</v>
      </c>
      <c r="AO11" s="369">
        <f t="shared" si="2"/>
        <v>5</v>
      </c>
      <c r="AP11" s="369">
        <f t="shared" si="2"/>
        <v>5</v>
      </c>
      <c r="AQ11" s="369">
        <f t="shared" si="2"/>
        <v>5</v>
      </c>
      <c r="AR11" s="369">
        <f t="shared" si="2"/>
        <v>5</v>
      </c>
      <c r="AS11" s="369">
        <f t="shared" si="2"/>
        <v>5</v>
      </c>
      <c r="AT11" s="369">
        <f t="shared" si="2"/>
        <v>6</v>
      </c>
      <c r="AU11" s="369">
        <f t="shared" si="2"/>
        <v>6</v>
      </c>
      <c r="AV11" s="369">
        <f t="shared" si="2"/>
        <v>6</v>
      </c>
      <c r="AW11" s="369">
        <f t="shared" si="2"/>
        <v>6</v>
      </c>
      <c r="AX11" s="369">
        <f t="shared" si="2"/>
        <v>6</v>
      </c>
      <c r="AY11" s="369">
        <f t="shared" si="2"/>
        <v>6</v>
      </c>
      <c r="AZ11" s="369">
        <f t="shared" si="2"/>
        <v>6</v>
      </c>
      <c r="BA11" s="369">
        <f t="shared" si="2"/>
        <v>6</v>
      </c>
      <c r="BB11" s="369">
        <f t="shared" si="2"/>
        <v>6</v>
      </c>
      <c r="BC11" s="369">
        <f t="shared" si="2"/>
        <v>6</v>
      </c>
      <c r="BD11" s="369">
        <f t="shared" si="2"/>
        <v>6</v>
      </c>
      <c r="BE11" s="369">
        <f t="shared" si="2"/>
        <v>6</v>
      </c>
      <c r="BF11" s="369">
        <f t="shared" si="2"/>
        <v>6</v>
      </c>
      <c r="BG11" s="369">
        <f t="shared" si="2"/>
        <v>6</v>
      </c>
      <c r="BH11" s="369">
        <f t="shared" si="2"/>
        <v>6</v>
      </c>
      <c r="BI11" s="369">
        <f t="shared" si="2"/>
        <v>6</v>
      </c>
      <c r="BJ11" s="369">
        <f t="shared" si="2"/>
        <v>6</v>
      </c>
      <c r="BK11" s="369">
        <f t="shared" si="2"/>
        <v>6</v>
      </c>
      <c r="BL11" s="369">
        <f t="shared" si="2"/>
        <v>6</v>
      </c>
      <c r="BM11" s="369">
        <f t="shared" si="2"/>
        <v>6</v>
      </c>
      <c r="BN11" s="369">
        <f t="shared" si="2"/>
        <v>5</v>
      </c>
      <c r="BO11" s="369">
        <f t="shared" si="2"/>
        <v>5</v>
      </c>
      <c r="BP11" s="369">
        <f t="shared" si="2"/>
        <v>5</v>
      </c>
      <c r="BQ11" s="369">
        <f t="shared" si="2"/>
        <v>5</v>
      </c>
      <c r="BR11" s="369">
        <f t="shared" si="2"/>
        <v>5</v>
      </c>
      <c r="BS11" s="369">
        <f t="shared" si="2"/>
        <v>5</v>
      </c>
      <c r="BT11" s="369">
        <f t="shared" si="2"/>
        <v>5</v>
      </c>
      <c r="BU11" s="369">
        <f t="shared" si="2"/>
        <v>5</v>
      </c>
      <c r="BV11" s="369">
        <f t="shared" si="2"/>
        <v>5</v>
      </c>
      <c r="BW11" s="369">
        <f t="shared" si="2"/>
        <v>5</v>
      </c>
      <c r="BX11" s="369">
        <f t="shared" si="2"/>
        <v>5</v>
      </c>
      <c r="BY11" s="369">
        <f t="shared" si="2"/>
        <v>5</v>
      </c>
      <c r="BZ11" s="369">
        <f t="shared" si="2"/>
        <v>5</v>
      </c>
      <c r="CA11" s="369">
        <f t="shared" si="2"/>
        <v>4</v>
      </c>
      <c r="CB11" s="369">
        <f t="shared" si="2"/>
        <v>4</v>
      </c>
      <c r="CC11" s="369">
        <f t="shared" si="2"/>
        <v>4</v>
      </c>
      <c r="CD11" s="369">
        <f t="shared" si="2"/>
        <v>4</v>
      </c>
      <c r="CE11" s="369">
        <f t="shared" si="2"/>
        <v>4</v>
      </c>
      <c r="CF11" s="369">
        <f t="shared" si="2"/>
        <v>4</v>
      </c>
      <c r="CG11" s="369">
        <f t="shared" si="2"/>
        <v>4</v>
      </c>
      <c r="CH11" s="369">
        <f t="shared" si="2"/>
        <v>0</v>
      </c>
      <c r="CI11" s="370">
        <f>SUM(CI5:CI10)</f>
        <v>98.25</v>
      </c>
      <c r="CJ11" s="371"/>
      <c r="CK11" s="338"/>
      <c r="CL11" s="338"/>
    </row>
    <row r="12" ht="14.25" customHeight="1">
      <c r="A12" s="333"/>
      <c r="B12" s="333"/>
      <c r="C12" s="333"/>
      <c r="D12" s="333"/>
      <c r="E12" s="333"/>
      <c r="F12" s="333"/>
      <c r="G12" s="372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6"/>
      <c r="S12" s="335"/>
      <c r="T12" s="335"/>
      <c r="U12" s="335"/>
      <c r="V12" s="335"/>
      <c r="W12" s="335"/>
      <c r="X12" s="335"/>
      <c r="Y12" s="335"/>
      <c r="Z12" s="335"/>
      <c r="AA12" s="335"/>
      <c r="AB12" s="335"/>
      <c r="AC12" s="335"/>
      <c r="AD12" s="335"/>
      <c r="AE12" s="335"/>
      <c r="AF12" s="335"/>
      <c r="AG12" s="335"/>
      <c r="AH12" s="335"/>
      <c r="AI12" s="335"/>
      <c r="AJ12" s="335"/>
      <c r="AK12" s="335"/>
      <c r="AL12" s="335"/>
      <c r="AM12" s="335"/>
      <c r="AN12" s="335"/>
      <c r="AO12" s="335"/>
      <c r="AP12" s="335"/>
      <c r="AQ12" s="335"/>
      <c r="AR12" s="335"/>
      <c r="AS12" s="335"/>
      <c r="AT12" s="335"/>
      <c r="AU12" s="335"/>
      <c r="AV12" s="335"/>
      <c r="AW12" s="335"/>
      <c r="AX12" s="335"/>
      <c r="AY12" s="335"/>
      <c r="AZ12" s="335"/>
      <c r="BA12" s="335"/>
      <c r="BB12" s="335"/>
      <c r="BC12" s="335"/>
      <c r="BD12" s="335"/>
      <c r="BE12" s="335"/>
      <c r="BF12" s="335"/>
      <c r="BG12" s="335"/>
      <c r="BH12" s="335"/>
      <c r="BI12" s="335"/>
      <c r="BJ12" s="335"/>
      <c r="BK12" s="335"/>
      <c r="BL12" s="335"/>
      <c r="BM12" s="335"/>
      <c r="BN12" s="335"/>
      <c r="BO12" s="335"/>
      <c r="BP12" s="335"/>
      <c r="BQ12" s="335"/>
      <c r="BR12" s="335"/>
      <c r="BS12" s="335"/>
      <c r="BT12" s="335"/>
      <c r="BU12" s="335"/>
      <c r="BV12" s="335"/>
      <c r="BW12" s="335"/>
      <c r="BX12" s="335"/>
      <c r="BY12" s="335"/>
      <c r="BZ12" s="335"/>
      <c r="CA12" s="335"/>
      <c r="CB12" s="335"/>
      <c r="CC12" s="335"/>
      <c r="CD12" s="335"/>
      <c r="CE12" s="335"/>
      <c r="CF12" s="335"/>
      <c r="CG12" s="335"/>
      <c r="CH12" s="335"/>
      <c r="CI12" s="335"/>
      <c r="CJ12" s="335"/>
      <c r="CK12" s="335"/>
      <c r="CL12" s="335"/>
    </row>
    <row r="13" ht="14.25" customHeight="1">
      <c r="A13" s="333"/>
      <c r="B13" s="333"/>
      <c r="C13" s="333"/>
      <c r="D13" s="333"/>
      <c r="E13" s="333"/>
      <c r="F13" s="333"/>
      <c r="G13" s="373" t="s">
        <v>82</v>
      </c>
      <c r="H13" s="338"/>
      <c r="I13" s="338"/>
      <c r="J13" s="338"/>
      <c r="K13" s="339" t="s">
        <v>191</v>
      </c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9"/>
      <c r="BG13" s="339"/>
      <c r="BH13" s="339"/>
      <c r="BI13" s="339"/>
      <c r="BJ13" s="339"/>
      <c r="BK13" s="339"/>
      <c r="BL13" s="339"/>
      <c r="BM13" s="339"/>
      <c r="BN13" s="339"/>
      <c r="BO13" s="339"/>
      <c r="BP13" s="339"/>
      <c r="BQ13" s="339"/>
      <c r="BR13" s="339"/>
      <c r="BS13" s="339"/>
      <c r="BT13" s="339"/>
      <c r="BU13" s="339"/>
      <c r="BV13" s="339"/>
      <c r="BW13" s="339"/>
      <c r="BX13" s="339"/>
      <c r="BY13" s="339"/>
      <c r="BZ13" s="339"/>
      <c r="CA13" s="339"/>
      <c r="CB13" s="339"/>
      <c r="CC13" s="339"/>
      <c r="CD13" s="339"/>
      <c r="CE13" s="339"/>
      <c r="CF13" s="339"/>
      <c r="CG13" s="339"/>
      <c r="CH13" s="339"/>
      <c r="CI13" s="338"/>
      <c r="CJ13" s="338"/>
      <c r="CK13" s="338"/>
      <c r="CL13" s="338"/>
    </row>
    <row r="14" ht="14.25" customHeight="1">
      <c r="A14" s="333"/>
      <c r="B14" s="333"/>
      <c r="C14" s="333"/>
      <c r="D14" s="333"/>
      <c r="E14" s="333"/>
      <c r="F14" s="333"/>
      <c r="G14" s="127"/>
      <c r="H14" s="341" t="s">
        <v>193</v>
      </c>
      <c r="I14" s="341" t="s">
        <v>194</v>
      </c>
      <c r="J14" s="341" t="s">
        <v>195</v>
      </c>
      <c r="K14" s="342">
        <v>0.21875</v>
      </c>
      <c r="L14" s="342">
        <v>0.22916666666666666</v>
      </c>
      <c r="M14" s="342">
        <v>0.239583333333333</v>
      </c>
      <c r="N14" s="342">
        <v>0.25</v>
      </c>
      <c r="O14" s="342">
        <v>0.260416666666667</v>
      </c>
      <c r="P14" s="342">
        <v>0.270833333333333</v>
      </c>
      <c r="Q14" s="342">
        <v>0.28125</v>
      </c>
      <c r="R14" s="342">
        <v>0.291666666666667</v>
      </c>
      <c r="S14" s="342">
        <v>0.302083333333333</v>
      </c>
      <c r="T14" s="342">
        <v>0.3125</v>
      </c>
      <c r="U14" s="342">
        <v>0.322916666666667</v>
      </c>
      <c r="V14" s="342">
        <v>0.333333333333333</v>
      </c>
      <c r="W14" s="342">
        <v>0.34375</v>
      </c>
      <c r="X14" s="342">
        <v>0.354166666666667</v>
      </c>
      <c r="Y14" s="342">
        <v>0.364583333333333</v>
      </c>
      <c r="Z14" s="342">
        <v>0.375</v>
      </c>
      <c r="AA14" s="342">
        <v>0.385416666666667</v>
      </c>
      <c r="AB14" s="342">
        <v>0.395833333333333</v>
      </c>
      <c r="AC14" s="342">
        <v>0.40625</v>
      </c>
      <c r="AD14" s="342">
        <v>0.416666666666666</v>
      </c>
      <c r="AE14" s="342">
        <v>0.427083333333333</v>
      </c>
      <c r="AF14" s="342">
        <v>0.4375</v>
      </c>
      <c r="AG14" s="342">
        <v>0.447916666666666</v>
      </c>
      <c r="AH14" s="342">
        <v>0.458333333333333</v>
      </c>
      <c r="AI14" s="342">
        <v>0.46875</v>
      </c>
      <c r="AJ14" s="342">
        <v>0.479166666666666</v>
      </c>
      <c r="AK14" s="342">
        <v>0.489583333333333</v>
      </c>
      <c r="AL14" s="342">
        <v>0.5</v>
      </c>
      <c r="AM14" s="342">
        <v>0.510416666666666</v>
      </c>
      <c r="AN14" s="342">
        <v>0.520833333333333</v>
      </c>
      <c r="AO14" s="342">
        <v>0.53125</v>
      </c>
      <c r="AP14" s="342">
        <v>0.541666666666666</v>
      </c>
      <c r="AQ14" s="342">
        <v>0.552083333333333</v>
      </c>
      <c r="AR14" s="342">
        <v>0.5625</v>
      </c>
      <c r="AS14" s="342">
        <v>0.572916666666666</v>
      </c>
      <c r="AT14" s="342">
        <v>0.583333333333333</v>
      </c>
      <c r="AU14" s="342">
        <v>0.59375</v>
      </c>
      <c r="AV14" s="342">
        <v>0.604166666666666</v>
      </c>
      <c r="AW14" s="342">
        <v>0.614583333333333</v>
      </c>
      <c r="AX14" s="342">
        <v>0.625</v>
      </c>
      <c r="AY14" s="342">
        <v>0.635416666666666</v>
      </c>
      <c r="AZ14" s="342">
        <v>0.645833333333333</v>
      </c>
      <c r="BA14" s="342">
        <v>0.65625</v>
      </c>
      <c r="BB14" s="342">
        <v>0.666666666666666</v>
      </c>
      <c r="BC14" s="342">
        <v>0.677083333333333</v>
      </c>
      <c r="BD14" s="342">
        <v>0.6875</v>
      </c>
      <c r="BE14" s="342">
        <v>0.697916666666666</v>
      </c>
      <c r="BF14" s="342">
        <v>0.708333333333333</v>
      </c>
      <c r="BG14" s="342">
        <v>0.71875</v>
      </c>
      <c r="BH14" s="342">
        <v>0.729166666666666</v>
      </c>
      <c r="BI14" s="342">
        <v>0.739583333333333</v>
      </c>
      <c r="BJ14" s="342">
        <v>0.75</v>
      </c>
      <c r="BK14" s="342">
        <v>0.760416666666666</v>
      </c>
      <c r="BL14" s="342">
        <v>0.770833333333333</v>
      </c>
      <c r="BM14" s="342">
        <v>0.78125</v>
      </c>
      <c r="BN14" s="342">
        <v>0.791666666666666</v>
      </c>
      <c r="BO14" s="342">
        <v>0.802083333333333</v>
      </c>
      <c r="BP14" s="342">
        <v>0.812499999999999</v>
      </c>
      <c r="BQ14" s="342">
        <v>0.822916666666666</v>
      </c>
      <c r="BR14" s="342">
        <v>0.833333333333333</v>
      </c>
      <c r="BS14" s="342">
        <v>0.843749999999999</v>
      </c>
      <c r="BT14" s="342">
        <v>0.854166666666666</v>
      </c>
      <c r="BU14" s="342">
        <v>0.864583333333333</v>
      </c>
      <c r="BV14" s="342">
        <v>0.874999999999999</v>
      </c>
      <c r="BW14" s="342">
        <v>0.885416666666666</v>
      </c>
      <c r="BX14" s="342">
        <v>0.895833333333333</v>
      </c>
      <c r="BY14" s="342">
        <v>0.906249999999999</v>
      </c>
      <c r="BZ14" s="342">
        <v>0.916666666666666</v>
      </c>
      <c r="CA14" s="342">
        <v>0.927083333333333</v>
      </c>
      <c r="CB14" s="342">
        <v>0.937499999999999</v>
      </c>
      <c r="CC14" s="342">
        <v>0.947916666666666</v>
      </c>
      <c r="CD14" s="342">
        <v>0.958333333333333</v>
      </c>
      <c r="CE14" s="342">
        <v>0.968749999999999</v>
      </c>
      <c r="CF14" s="342">
        <v>0.979166666666666</v>
      </c>
      <c r="CG14" s="342">
        <v>0.989583333333333</v>
      </c>
      <c r="CH14" s="342">
        <v>0.999999999999999</v>
      </c>
      <c r="CI14" s="344" t="s">
        <v>6</v>
      </c>
      <c r="CJ14" s="344" t="s">
        <v>196</v>
      </c>
      <c r="CK14" s="338"/>
      <c r="CL14" s="345" t="s">
        <v>205</v>
      </c>
    </row>
    <row r="15" ht="14.25" customHeight="1">
      <c r="A15" s="333"/>
      <c r="B15" s="333"/>
      <c r="C15" s="333"/>
      <c r="D15" s="333"/>
      <c r="E15" s="333"/>
      <c r="F15" s="333"/>
      <c r="G15" s="127"/>
      <c r="H15" s="346">
        <v>1.0</v>
      </c>
      <c r="I15" s="346" t="s">
        <v>86</v>
      </c>
      <c r="J15" s="346" t="s">
        <v>197</v>
      </c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346"/>
      <c r="W15" s="346"/>
      <c r="X15" s="346"/>
      <c r="Y15" s="346"/>
      <c r="Z15" s="346">
        <v>1.0</v>
      </c>
      <c r="AA15" s="346">
        <v>1.0</v>
      </c>
      <c r="AB15" s="346">
        <v>1.0</v>
      </c>
      <c r="AC15" s="346">
        <v>1.0</v>
      </c>
      <c r="AD15" s="346">
        <v>1.0</v>
      </c>
      <c r="AE15" s="346">
        <v>1.0</v>
      </c>
      <c r="AF15" s="346">
        <v>1.0</v>
      </c>
      <c r="AG15" s="346">
        <v>1.0</v>
      </c>
      <c r="AH15" s="346">
        <v>1.0</v>
      </c>
      <c r="AI15" s="346">
        <v>1.0</v>
      </c>
      <c r="AJ15" s="346">
        <v>1.0</v>
      </c>
      <c r="AK15" s="346">
        <v>1.0</v>
      </c>
      <c r="AL15" s="346">
        <v>1.0</v>
      </c>
      <c r="AM15" s="346">
        <v>1.0</v>
      </c>
      <c r="AN15" s="346">
        <v>1.0</v>
      </c>
      <c r="AO15" s="346">
        <v>1.0</v>
      </c>
      <c r="AP15" s="346">
        <v>1.0</v>
      </c>
      <c r="AQ15" s="346">
        <v>1.0</v>
      </c>
      <c r="AR15" s="346">
        <v>1.0</v>
      </c>
      <c r="AS15" s="346">
        <v>1.0</v>
      </c>
      <c r="AT15" s="346">
        <v>1.0</v>
      </c>
      <c r="AU15" s="346">
        <v>1.0</v>
      </c>
      <c r="AV15" s="346">
        <v>1.0</v>
      </c>
      <c r="AW15" s="346">
        <v>1.0</v>
      </c>
      <c r="AX15" s="346">
        <v>1.0</v>
      </c>
      <c r="AY15" s="346">
        <v>1.0</v>
      </c>
      <c r="AZ15" s="346">
        <v>1.0</v>
      </c>
      <c r="BA15" s="346">
        <v>1.0</v>
      </c>
      <c r="BB15" s="346">
        <v>1.0</v>
      </c>
      <c r="BC15" s="346">
        <v>1.0</v>
      </c>
      <c r="BD15" s="346">
        <v>1.0</v>
      </c>
      <c r="BE15" s="346">
        <v>1.0</v>
      </c>
      <c r="BF15" s="346">
        <v>1.0</v>
      </c>
      <c r="BG15" s="346">
        <v>1.0</v>
      </c>
      <c r="BH15" s="346">
        <v>1.0</v>
      </c>
      <c r="BI15" s="346">
        <v>1.0</v>
      </c>
      <c r="BJ15" s="346">
        <v>1.0</v>
      </c>
      <c r="BK15" s="346">
        <v>1.0</v>
      </c>
      <c r="BL15" s="346">
        <v>1.0</v>
      </c>
      <c r="BM15" s="346">
        <v>1.0</v>
      </c>
      <c r="BN15" s="346">
        <v>1.0</v>
      </c>
      <c r="BO15" s="346">
        <v>1.0</v>
      </c>
      <c r="BP15" s="346">
        <v>1.0</v>
      </c>
      <c r="BQ15" s="346">
        <v>1.0</v>
      </c>
      <c r="BR15" s="346">
        <v>1.0</v>
      </c>
      <c r="BS15" s="346">
        <v>1.0</v>
      </c>
      <c r="BT15" s="346">
        <v>1.0</v>
      </c>
      <c r="BU15" s="346">
        <v>1.0</v>
      </c>
      <c r="BV15" s="346">
        <v>1.0</v>
      </c>
      <c r="BW15" s="346">
        <v>1.0</v>
      </c>
      <c r="BX15" s="346">
        <v>1.0</v>
      </c>
      <c r="BY15" s="346">
        <v>1.0</v>
      </c>
      <c r="BZ15" s="346">
        <v>1.0</v>
      </c>
      <c r="CA15" s="346">
        <v>1.0</v>
      </c>
      <c r="CB15" s="346">
        <v>1.0</v>
      </c>
      <c r="CC15" s="346">
        <v>1.0</v>
      </c>
      <c r="CD15" s="346">
        <v>1.0</v>
      </c>
      <c r="CE15" s="346">
        <v>1.0</v>
      </c>
      <c r="CF15" s="346">
        <v>1.0</v>
      </c>
      <c r="CG15" s="346">
        <v>1.0</v>
      </c>
      <c r="CH15" s="273"/>
      <c r="CI15" s="348">
        <f t="shared" ref="CI15:CI19" si="3">COUNT(K15:CH15)/4</f>
        <v>15</v>
      </c>
      <c r="CJ15" s="349">
        <f t="shared" ref="CJ15:CJ19" si="4">$CG$14+TIME(,15,)</f>
        <v>1</v>
      </c>
      <c r="CK15" s="338"/>
      <c r="CL15" s="350" t="s">
        <v>206</v>
      </c>
    </row>
    <row r="16" ht="14.25" customHeight="1">
      <c r="A16" s="333"/>
      <c r="B16" s="333"/>
      <c r="C16" s="333"/>
      <c r="D16" s="333"/>
      <c r="E16" s="333"/>
      <c r="F16" s="333"/>
      <c r="G16" s="127"/>
      <c r="H16" s="374">
        <v>2.0</v>
      </c>
      <c r="I16" s="374" t="s">
        <v>64</v>
      </c>
      <c r="J16" s="346" t="s">
        <v>197</v>
      </c>
      <c r="K16" s="374"/>
      <c r="L16" s="375"/>
      <c r="M16" s="375"/>
      <c r="N16" s="375"/>
      <c r="O16" s="374"/>
      <c r="P16" s="374"/>
      <c r="Q16" s="374"/>
      <c r="R16" s="374"/>
      <c r="S16" s="374"/>
      <c r="T16" s="374"/>
      <c r="U16" s="374"/>
      <c r="V16" s="374">
        <v>1.0</v>
      </c>
      <c r="W16" s="374">
        <v>1.0</v>
      </c>
      <c r="X16" s="374">
        <v>1.0</v>
      </c>
      <c r="Y16" s="374">
        <v>1.0</v>
      </c>
      <c r="Z16" s="374">
        <v>1.0</v>
      </c>
      <c r="AA16" s="374">
        <v>1.0</v>
      </c>
      <c r="AB16" s="374">
        <v>1.0</v>
      </c>
      <c r="AC16" s="374">
        <v>1.0</v>
      </c>
      <c r="AD16" s="374">
        <v>1.0</v>
      </c>
      <c r="AE16" s="374">
        <v>1.0</v>
      </c>
      <c r="AF16" s="374">
        <v>1.0</v>
      </c>
      <c r="AG16" s="374">
        <v>1.0</v>
      </c>
      <c r="AH16" s="374">
        <v>1.0</v>
      </c>
      <c r="AI16" s="374">
        <v>1.0</v>
      </c>
      <c r="AJ16" s="374">
        <v>1.0</v>
      </c>
      <c r="AK16" s="374">
        <v>1.0</v>
      </c>
      <c r="AL16" s="374">
        <v>1.0</v>
      </c>
      <c r="AM16" s="374">
        <v>1.0</v>
      </c>
      <c r="AN16" s="374">
        <v>1.0</v>
      </c>
      <c r="AO16" s="374">
        <v>1.0</v>
      </c>
      <c r="AP16" s="374">
        <v>1.0</v>
      </c>
      <c r="AQ16" s="374">
        <v>1.0</v>
      </c>
      <c r="AR16" s="374">
        <v>1.0</v>
      </c>
      <c r="AS16" s="374">
        <v>1.0</v>
      </c>
      <c r="AT16" s="374">
        <v>1.0</v>
      </c>
      <c r="AU16" s="374">
        <v>1.0</v>
      </c>
      <c r="AV16" s="374">
        <v>1.0</v>
      </c>
      <c r="AW16" s="374">
        <v>1.0</v>
      </c>
      <c r="AX16" s="374">
        <v>1.0</v>
      </c>
      <c r="AY16" s="374">
        <v>1.0</v>
      </c>
      <c r="AZ16" s="374">
        <v>1.0</v>
      </c>
      <c r="BA16" s="374">
        <v>1.0</v>
      </c>
      <c r="BB16" s="374">
        <v>1.0</v>
      </c>
      <c r="BC16" s="374">
        <v>1.0</v>
      </c>
      <c r="BD16" s="374">
        <v>1.0</v>
      </c>
      <c r="BE16" s="374">
        <v>1.0</v>
      </c>
      <c r="BF16" s="374"/>
      <c r="BG16" s="374"/>
      <c r="BH16" s="374"/>
      <c r="BI16" s="374"/>
      <c r="BJ16" s="374"/>
      <c r="BK16" s="374"/>
      <c r="BL16" s="374"/>
      <c r="BM16" s="374"/>
      <c r="BN16" s="374"/>
      <c r="BO16" s="374"/>
      <c r="BP16" s="374"/>
      <c r="BQ16" s="374"/>
      <c r="BR16" s="374"/>
      <c r="BS16" s="374"/>
      <c r="BT16" s="374"/>
      <c r="BU16" s="374"/>
      <c r="BV16" s="374"/>
      <c r="BW16" s="374"/>
      <c r="BX16" s="374"/>
      <c r="BY16" s="374"/>
      <c r="BZ16" s="374"/>
      <c r="CA16" s="374"/>
      <c r="CB16" s="374"/>
      <c r="CC16" s="374"/>
      <c r="CD16" s="374"/>
      <c r="CE16" s="374"/>
      <c r="CF16" s="374"/>
      <c r="CG16" s="374"/>
      <c r="CH16" s="376"/>
      <c r="CI16" s="354">
        <f t="shared" si="3"/>
        <v>9</v>
      </c>
      <c r="CJ16" s="355">
        <f t="shared" si="4"/>
        <v>1</v>
      </c>
      <c r="CK16" s="338"/>
      <c r="CL16" s="338"/>
    </row>
    <row r="17" ht="14.25" customHeight="1">
      <c r="A17" s="333"/>
      <c r="B17" s="333"/>
      <c r="C17" s="333"/>
      <c r="D17" s="333"/>
      <c r="E17" s="333"/>
      <c r="F17" s="333"/>
      <c r="G17" s="127"/>
      <c r="H17" s="351">
        <v>3.0</v>
      </c>
      <c r="I17" s="351" t="s">
        <v>86</v>
      </c>
      <c r="J17" s="351" t="s">
        <v>200</v>
      </c>
      <c r="K17" s="199"/>
      <c r="L17" s="199"/>
      <c r="M17" s="199"/>
      <c r="N17" s="199"/>
      <c r="O17" s="351">
        <v>1.0</v>
      </c>
      <c r="P17" s="351">
        <v>1.0</v>
      </c>
      <c r="Q17" s="351">
        <v>1.0</v>
      </c>
      <c r="R17" s="351">
        <v>1.0</v>
      </c>
      <c r="S17" s="351">
        <v>1.0</v>
      </c>
      <c r="T17" s="351">
        <v>1.0</v>
      </c>
      <c r="U17" s="351">
        <v>1.0</v>
      </c>
      <c r="V17" s="351">
        <v>1.0</v>
      </c>
      <c r="W17" s="351">
        <v>1.0</v>
      </c>
      <c r="X17" s="351">
        <v>1.0</v>
      </c>
      <c r="Y17" s="351">
        <v>1.0</v>
      </c>
      <c r="Z17" s="351">
        <v>1.0</v>
      </c>
      <c r="AA17" s="351">
        <v>1.0</v>
      </c>
      <c r="AB17" s="351">
        <v>1.0</v>
      </c>
      <c r="AC17" s="351">
        <v>1.0</v>
      </c>
      <c r="AD17" s="351">
        <v>1.0</v>
      </c>
      <c r="AE17" s="351">
        <v>1.0</v>
      </c>
      <c r="AF17" s="351">
        <v>1.0</v>
      </c>
      <c r="AG17" s="351">
        <v>1.0</v>
      </c>
      <c r="AH17" s="351">
        <v>1.0</v>
      </c>
      <c r="AI17" s="351">
        <v>1.0</v>
      </c>
      <c r="AJ17" s="351">
        <v>1.0</v>
      </c>
      <c r="AK17" s="351">
        <v>1.0</v>
      </c>
      <c r="AL17" s="351">
        <v>1.0</v>
      </c>
      <c r="AM17" s="351">
        <v>1.0</v>
      </c>
      <c r="AN17" s="351">
        <v>1.0</v>
      </c>
      <c r="AO17" s="351">
        <v>1.0</v>
      </c>
      <c r="AP17" s="351">
        <v>1.0</v>
      </c>
      <c r="AQ17" s="351">
        <v>1.0</v>
      </c>
      <c r="AR17" s="351">
        <v>1.0</v>
      </c>
      <c r="AS17" s="351">
        <v>1.0</v>
      </c>
      <c r="AT17" s="351">
        <v>1.0</v>
      </c>
      <c r="AU17" s="351">
        <v>1.0</v>
      </c>
      <c r="AV17" s="351">
        <v>1.0</v>
      </c>
      <c r="AW17" s="351">
        <v>1.0</v>
      </c>
      <c r="AX17" s="351">
        <v>1.0</v>
      </c>
      <c r="AY17" s="351">
        <v>1.0</v>
      </c>
      <c r="AZ17" s="351">
        <v>1.0</v>
      </c>
      <c r="BA17" s="351">
        <v>1.0</v>
      </c>
      <c r="BB17" s="351">
        <v>1.0</v>
      </c>
      <c r="BC17" s="351">
        <v>1.0</v>
      </c>
      <c r="BD17" s="351">
        <v>1.0</v>
      </c>
      <c r="BE17" s="351">
        <v>1.0</v>
      </c>
      <c r="BF17" s="351">
        <v>1.0</v>
      </c>
      <c r="BG17" s="351">
        <v>1.0</v>
      </c>
      <c r="BH17" s="351">
        <v>1.0</v>
      </c>
      <c r="BI17" s="351">
        <v>1.0</v>
      </c>
      <c r="BJ17" s="351">
        <v>1.0</v>
      </c>
      <c r="BK17" s="351">
        <v>1.0</v>
      </c>
      <c r="BL17" s="351">
        <v>1.0</v>
      </c>
      <c r="BM17" s="351">
        <v>1.0</v>
      </c>
      <c r="BN17" s="351">
        <v>1.0</v>
      </c>
      <c r="BO17" s="351">
        <v>1.0</v>
      </c>
      <c r="BP17" s="351">
        <v>1.0</v>
      </c>
      <c r="BQ17" s="351">
        <v>1.0</v>
      </c>
      <c r="BR17" s="351">
        <v>1.0</v>
      </c>
      <c r="BS17" s="351">
        <v>1.0</v>
      </c>
      <c r="BT17" s="351">
        <v>1.0</v>
      </c>
      <c r="BU17" s="351">
        <v>1.0</v>
      </c>
      <c r="BV17" s="351">
        <v>1.0</v>
      </c>
      <c r="BW17" s="351">
        <v>1.0</v>
      </c>
      <c r="BX17" s="351">
        <v>1.0</v>
      </c>
      <c r="BY17" s="351">
        <v>1.0</v>
      </c>
      <c r="BZ17" s="351">
        <v>1.0</v>
      </c>
      <c r="CA17" s="351">
        <v>1.0</v>
      </c>
      <c r="CB17" s="351">
        <v>1.0</v>
      </c>
      <c r="CC17" s="351">
        <v>1.0</v>
      </c>
      <c r="CD17" s="351">
        <v>1.0</v>
      </c>
      <c r="CE17" s="351">
        <v>1.0</v>
      </c>
      <c r="CF17" s="351">
        <v>1.0</v>
      </c>
      <c r="CG17" s="351">
        <v>1.0</v>
      </c>
      <c r="CH17" s="273"/>
      <c r="CI17" s="348">
        <f t="shared" si="3"/>
        <v>17.75</v>
      </c>
      <c r="CJ17" s="349">
        <f t="shared" si="4"/>
        <v>1</v>
      </c>
      <c r="CK17" s="338"/>
      <c r="CL17" s="338"/>
    </row>
    <row r="18" ht="14.25" customHeight="1">
      <c r="A18" s="333"/>
      <c r="B18" s="333"/>
      <c r="C18" s="333"/>
      <c r="D18" s="333"/>
      <c r="E18" s="333"/>
      <c r="F18" s="333"/>
      <c r="G18" s="127"/>
      <c r="H18" s="356">
        <v>4.0</v>
      </c>
      <c r="I18" s="357" t="s">
        <v>202</v>
      </c>
      <c r="J18" s="357" t="s">
        <v>201</v>
      </c>
      <c r="K18" s="377"/>
      <c r="L18" s="378"/>
      <c r="M18" s="378"/>
      <c r="N18" s="378"/>
      <c r="O18" s="357">
        <v>1.0</v>
      </c>
      <c r="P18" s="357">
        <v>1.0</v>
      </c>
      <c r="Q18" s="357">
        <v>1.0</v>
      </c>
      <c r="R18" s="357">
        <v>1.0</v>
      </c>
      <c r="S18" s="357">
        <v>1.0</v>
      </c>
      <c r="T18" s="357">
        <v>1.0</v>
      </c>
      <c r="U18" s="357">
        <v>1.0</v>
      </c>
      <c r="V18" s="357">
        <v>1.0</v>
      </c>
      <c r="W18" s="357">
        <v>1.0</v>
      </c>
      <c r="X18" s="357">
        <v>1.0</v>
      </c>
      <c r="Y18" s="357">
        <v>1.0</v>
      </c>
      <c r="Z18" s="357">
        <v>1.0</v>
      </c>
      <c r="AA18" s="357">
        <v>1.0</v>
      </c>
      <c r="AB18" s="357">
        <v>1.0</v>
      </c>
      <c r="AC18" s="357">
        <v>1.0</v>
      </c>
      <c r="AD18" s="357">
        <v>1.0</v>
      </c>
      <c r="AE18" s="357">
        <v>1.0</v>
      </c>
      <c r="AF18" s="357">
        <v>1.0</v>
      </c>
      <c r="AG18" s="357">
        <v>1.0</v>
      </c>
      <c r="AH18" s="357">
        <v>1.0</v>
      </c>
      <c r="AI18" s="357">
        <v>1.0</v>
      </c>
      <c r="AJ18" s="357">
        <v>1.0</v>
      </c>
      <c r="AK18" s="357">
        <v>1.0</v>
      </c>
      <c r="AL18" s="357">
        <v>1.0</v>
      </c>
      <c r="AM18" s="357">
        <v>1.0</v>
      </c>
      <c r="AN18" s="357">
        <v>1.0</v>
      </c>
      <c r="AO18" s="357">
        <v>1.0</v>
      </c>
      <c r="AP18" s="357">
        <v>1.0</v>
      </c>
      <c r="AQ18" s="357">
        <v>1.0</v>
      </c>
      <c r="AR18" s="357">
        <v>1.0</v>
      </c>
      <c r="AS18" s="357">
        <v>1.0</v>
      </c>
      <c r="AT18" s="357">
        <v>1.0</v>
      </c>
      <c r="AU18" s="357">
        <v>1.0</v>
      </c>
      <c r="AV18" s="357">
        <v>1.0</v>
      </c>
      <c r="AW18" s="357">
        <v>1.0</v>
      </c>
      <c r="AX18" s="357">
        <v>1.0</v>
      </c>
      <c r="AY18" s="357">
        <v>1.0</v>
      </c>
      <c r="AZ18" s="357">
        <v>1.0</v>
      </c>
      <c r="BA18" s="357">
        <v>1.0</v>
      </c>
      <c r="BB18" s="357">
        <v>1.0</v>
      </c>
      <c r="BC18" s="357">
        <v>1.0</v>
      </c>
      <c r="BD18" s="357">
        <v>1.0</v>
      </c>
      <c r="BE18" s="357">
        <v>1.0</v>
      </c>
      <c r="BF18" s="357">
        <v>1.0</v>
      </c>
      <c r="BG18" s="357">
        <v>1.0</v>
      </c>
      <c r="BH18" s="357">
        <v>1.0</v>
      </c>
      <c r="BI18" s="357">
        <v>1.0</v>
      </c>
      <c r="BJ18" s="357">
        <v>1.0</v>
      </c>
      <c r="BK18" s="357">
        <v>1.0</v>
      </c>
      <c r="BL18" s="357">
        <v>1.0</v>
      </c>
      <c r="BM18" s="357">
        <v>1.0</v>
      </c>
      <c r="BN18" s="357">
        <v>1.0</v>
      </c>
      <c r="BO18" s="357">
        <v>1.0</v>
      </c>
      <c r="BP18" s="357">
        <v>1.0</v>
      </c>
      <c r="BQ18" s="357">
        <v>1.0</v>
      </c>
      <c r="BR18" s="357">
        <v>1.0</v>
      </c>
      <c r="BS18" s="357">
        <v>1.0</v>
      </c>
      <c r="BT18" s="357">
        <v>1.0</v>
      </c>
      <c r="BU18" s="357">
        <v>1.0</v>
      </c>
      <c r="BV18" s="357">
        <v>1.0</v>
      </c>
      <c r="BW18" s="357">
        <v>1.0</v>
      </c>
      <c r="BX18" s="357">
        <v>1.0</v>
      </c>
      <c r="BY18" s="357">
        <v>1.0</v>
      </c>
      <c r="BZ18" s="357">
        <v>1.0</v>
      </c>
      <c r="CA18" s="357">
        <v>1.0</v>
      </c>
      <c r="CB18" s="357">
        <v>1.0</v>
      </c>
      <c r="CC18" s="357">
        <v>1.0</v>
      </c>
      <c r="CD18" s="357">
        <v>1.0</v>
      </c>
      <c r="CE18" s="357">
        <v>1.0</v>
      </c>
      <c r="CF18" s="357">
        <v>1.0</v>
      </c>
      <c r="CG18" s="357">
        <v>1.0</v>
      </c>
      <c r="CH18" s="359"/>
      <c r="CI18" s="360">
        <f t="shared" si="3"/>
        <v>17.75</v>
      </c>
      <c r="CJ18" s="361">
        <f t="shared" si="4"/>
        <v>1</v>
      </c>
      <c r="CK18" s="338"/>
      <c r="CL18" s="338"/>
    </row>
    <row r="19" ht="14.25" customHeight="1">
      <c r="A19" s="333"/>
      <c r="B19" s="333"/>
      <c r="C19" s="333"/>
      <c r="D19" s="333"/>
      <c r="E19" s="333"/>
      <c r="F19" s="333"/>
      <c r="G19" s="127"/>
      <c r="H19" s="362">
        <f>H18+1</f>
        <v>5</v>
      </c>
      <c r="I19" s="363" t="s">
        <v>203</v>
      </c>
      <c r="J19" s="363" t="s">
        <v>201</v>
      </c>
      <c r="K19" s="379"/>
      <c r="L19" s="380"/>
      <c r="M19" s="380"/>
      <c r="N19" s="380"/>
      <c r="O19" s="363">
        <v>1.0</v>
      </c>
      <c r="P19" s="363">
        <v>1.0</v>
      </c>
      <c r="Q19" s="363">
        <v>1.0</v>
      </c>
      <c r="R19" s="363">
        <v>1.0</v>
      </c>
      <c r="S19" s="363">
        <v>1.0</v>
      </c>
      <c r="T19" s="363">
        <v>1.0</v>
      </c>
      <c r="U19" s="363">
        <v>1.0</v>
      </c>
      <c r="V19" s="363">
        <v>1.0</v>
      </c>
      <c r="W19" s="363">
        <v>1.0</v>
      </c>
      <c r="X19" s="363">
        <v>1.0</v>
      </c>
      <c r="Y19" s="363">
        <v>1.0</v>
      </c>
      <c r="Z19" s="363">
        <v>1.0</v>
      </c>
      <c r="AA19" s="363">
        <v>1.0</v>
      </c>
      <c r="AB19" s="363">
        <v>1.0</v>
      </c>
      <c r="AC19" s="363">
        <v>1.0</v>
      </c>
      <c r="AD19" s="363">
        <v>1.0</v>
      </c>
      <c r="AE19" s="363">
        <v>1.0</v>
      </c>
      <c r="AF19" s="363">
        <v>1.0</v>
      </c>
      <c r="AG19" s="363">
        <v>1.0</v>
      </c>
      <c r="AH19" s="363">
        <v>1.0</v>
      </c>
      <c r="AI19" s="363">
        <v>1.0</v>
      </c>
      <c r="AJ19" s="363">
        <v>1.0</v>
      </c>
      <c r="AK19" s="363">
        <v>1.0</v>
      </c>
      <c r="AL19" s="363">
        <v>1.0</v>
      </c>
      <c r="AM19" s="363">
        <v>1.0</v>
      </c>
      <c r="AN19" s="363">
        <v>1.0</v>
      </c>
      <c r="AO19" s="363">
        <v>1.0</v>
      </c>
      <c r="AP19" s="363">
        <v>1.0</v>
      </c>
      <c r="AQ19" s="363">
        <v>1.0</v>
      </c>
      <c r="AR19" s="363">
        <v>1.0</v>
      </c>
      <c r="AS19" s="363">
        <v>1.0</v>
      </c>
      <c r="AT19" s="363">
        <v>1.0</v>
      </c>
      <c r="AU19" s="363">
        <v>1.0</v>
      </c>
      <c r="AV19" s="363">
        <v>1.0</v>
      </c>
      <c r="AW19" s="363">
        <v>1.0</v>
      </c>
      <c r="AX19" s="363">
        <v>1.0</v>
      </c>
      <c r="AY19" s="363">
        <v>1.0</v>
      </c>
      <c r="AZ19" s="363">
        <v>1.0</v>
      </c>
      <c r="BA19" s="363">
        <v>1.0</v>
      </c>
      <c r="BB19" s="363">
        <v>1.0</v>
      </c>
      <c r="BC19" s="363">
        <v>1.0</v>
      </c>
      <c r="BD19" s="363">
        <v>1.0</v>
      </c>
      <c r="BE19" s="363">
        <v>1.0</v>
      </c>
      <c r="BF19" s="363">
        <v>1.0</v>
      </c>
      <c r="BG19" s="363">
        <v>1.0</v>
      </c>
      <c r="BH19" s="363">
        <v>1.0</v>
      </c>
      <c r="BI19" s="363">
        <v>1.0</v>
      </c>
      <c r="BJ19" s="363">
        <v>1.0</v>
      </c>
      <c r="BK19" s="363">
        <v>1.0</v>
      </c>
      <c r="BL19" s="363">
        <v>1.0</v>
      </c>
      <c r="BM19" s="363">
        <v>1.0</v>
      </c>
      <c r="BN19" s="363">
        <v>1.0</v>
      </c>
      <c r="BO19" s="363">
        <v>1.0</v>
      </c>
      <c r="BP19" s="363">
        <v>1.0</v>
      </c>
      <c r="BQ19" s="363">
        <v>1.0</v>
      </c>
      <c r="BR19" s="363">
        <v>1.0</v>
      </c>
      <c r="BS19" s="363">
        <v>1.0</v>
      </c>
      <c r="BT19" s="363">
        <v>1.0</v>
      </c>
      <c r="BU19" s="363">
        <v>1.0</v>
      </c>
      <c r="BV19" s="363">
        <v>1.0</v>
      </c>
      <c r="BW19" s="363">
        <v>1.0</v>
      </c>
      <c r="BX19" s="363">
        <v>1.0</v>
      </c>
      <c r="BY19" s="363">
        <v>1.0</v>
      </c>
      <c r="BZ19" s="363">
        <v>1.0</v>
      </c>
      <c r="CA19" s="363">
        <v>1.0</v>
      </c>
      <c r="CB19" s="363">
        <v>1.0</v>
      </c>
      <c r="CC19" s="363">
        <v>1.0</v>
      </c>
      <c r="CD19" s="363">
        <v>1.0</v>
      </c>
      <c r="CE19" s="363">
        <v>1.0</v>
      </c>
      <c r="CF19" s="363">
        <v>1.0</v>
      </c>
      <c r="CG19" s="363">
        <v>1.0</v>
      </c>
      <c r="CH19" s="365"/>
      <c r="CI19" s="366">
        <f t="shared" si="3"/>
        <v>17.75</v>
      </c>
      <c r="CJ19" s="367">
        <f t="shared" si="4"/>
        <v>1</v>
      </c>
      <c r="CK19" s="338"/>
      <c r="CL19" s="338"/>
    </row>
    <row r="20" ht="14.25" customHeight="1">
      <c r="A20" s="333"/>
      <c r="B20" s="333"/>
      <c r="C20" s="333"/>
      <c r="D20" s="333"/>
      <c r="E20" s="333"/>
      <c r="F20" s="333"/>
      <c r="G20" s="156"/>
      <c r="H20" s="338"/>
      <c r="I20" s="338"/>
      <c r="J20" s="368" t="s">
        <v>204</v>
      </c>
      <c r="K20" s="369">
        <f t="shared" ref="K20:CH20" si="5">COUNT(K15:K19)</f>
        <v>0</v>
      </c>
      <c r="L20" s="369">
        <f t="shared" si="5"/>
        <v>0</v>
      </c>
      <c r="M20" s="369">
        <f t="shared" si="5"/>
        <v>0</v>
      </c>
      <c r="N20" s="369">
        <f t="shared" si="5"/>
        <v>0</v>
      </c>
      <c r="O20" s="369">
        <f t="shared" si="5"/>
        <v>3</v>
      </c>
      <c r="P20" s="369">
        <f t="shared" si="5"/>
        <v>3</v>
      </c>
      <c r="Q20" s="369">
        <f t="shared" si="5"/>
        <v>3</v>
      </c>
      <c r="R20" s="369">
        <f t="shared" si="5"/>
        <v>3</v>
      </c>
      <c r="S20" s="369">
        <f t="shared" si="5"/>
        <v>3</v>
      </c>
      <c r="T20" s="369">
        <f t="shared" si="5"/>
        <v>3</v>
      </c>
      <c r="U20" s="369">
        <f t="shared" si="5"/>
        <v>3</v>
      </c>
      <c r="V20" s="369">
        <f t="shared" si="5"/>
        <v>4</v>
      </c>
      <c r="W20" s="369">
        <f t="shared" si="5"/>
        <v>4</v>
      </c>
      <c r="X20" s="369">
        <f t="shared" si="5"/>
        <v>4</v>
      </c>
      <c r="Y20" s="369">
        <f t="shared" si="5"/>
        <v>4</v>
      </c>
      <c r="Z20" s="369">
        <f t="shared" si="5"/>
        <v>5</v>
      </c>
      <c r="AA20" s="369">
        <f t="shared" si="5"/>
        <v>5</v>
      </c>
      <c r="AB20" s="369">
        <f t="shared" si="5"/>
        <v>5</v>
      </c>
      <c r="AC20" s="369">
        <f t="shared" si="5"/>
        <v>5</v>
      </c>
      <c r="AD20" s="369">
        <f t="shared" si="5"/>
        <v>5</v>
      </c>
      <c r="AE20" s="369">
        <f t="shared" si="5"/>
        <v>5</v>
      </c>
      <c r="AF20" s="369">
        <f t="shared" si="5"/>
        <v>5</v>
      </c>
      <c r="AG20" s="369">
        <f t="shared" si="5"/>
        <v>5</v>
      </c>
      <c r="AH20" s="369">
        <f t="shared" si="5"/>
        <v>5</v>
      </c>
      <c r="AI20" s="369">
        <f t="shared" si="5"/>
        <v>5</v>
      </c>
      <c r="AJ20" s="369">
        <f t="shared" si="5"/>
        <v>5</v>
      </c>
      <c r="AK20" s="369">
        <f t="shared" si="5"/>
        <v>5</v>
      </c>
      <c r="AL20" s="369">
        <f t="shared" si="5"/>
        <v>5</v>
      </c>
      <c r="AM20" s="369">
        <f t="shared" si="5"/>
        <v>5</v>
      </c>
      <c r="AN20" s="369">
        <f t="shared" si="5"/>
        <v>5</v>
      </c>
      <c r="AO20" s="369">
        <f t="shared" si="5"/>
        <v>5</v>
      </c>
      <c r="AP20" s="369">
        <f t="shared" si="5"/>
        <v>5</v>
      </c>
      <c r="AQ20" s="369">
        <f t="shared" si="5"/>
        <v>5</v>
      </c>
      <c r="AR20" s="369">
        <f t="shared" si="5"/>
        <v>5</v>
      </c>
      <c r="AS20" s="369">
        <f t="shared" si="5"/>
        <v>5</v>
      </c>
      <c r="AT20" s="369">
        <f t="shared" si="5"/>
        <v>5</v>
      </c>
      <c r="AU20" s="369">
        <f t="shared" si="5"/>
        <v>5</v>
      </c>
      <c r="AV20" s="369">
        <f t="shared" si="5"/>
        <v>5</v>
      </c>
      <c r="AW20" s="369">
        <f t="shared" si="5"/>
        <v>5</v>
      </c>
      <c r="AX20" s="369">
        <f t="shared" si="5"/>
        <v>5</v>
      </c>
      <c r="AY20" s="369">
        <f t="shared" si="5"/>
        <v>5</v>
      </c>
      <c r="AZ20" s="369">
        <f t="shared" si="5"/>
        <v>5</v>
      </c>
      <c r="BA20" s="369">
        <f t="shared" si="5"/>
        <v>5</v>
      </c>
      <c r="BB20" s="369">
        <f t="shared" si="5"/>
        <v>5</v>
      </c>
      <c r="BC20" s="369">
        <f t="shared" si="5"/>
        <v>5</v>
      </c>
      <c r="BD20" s="369">
        <f t="shared" si="5"/>
        <v>5</v>
      </c>
      <c r="BE20" s="369">
        <f t="shared" si="5"/>
        <v>5</v>
      </c>
      <c r="BF20" s="369">
        <f t="shared" si="5"/>
        <v>4</v>
      </c>
      <c r="BG20" s="369">
        <f t="shared" si="5"/>
        <v>4</v>
      </c>
      <c r="BH20" s="369">
        <f t="shared" si="5"/>
        <v>4</v>
      </c>
      <c r="BI20" s="369">
        <f t="shared" si="5"/>
        <v>4</v>
      </c>
      <c r="BJ20" s="369">
        <f t="shared" si="5"/>
        <v>4</v>
      </c>
      <c r="BK20" s="369">
        <f t="shared" si="5"/>
        <v>4</v>
      </c>
      <c r="BL20" s="369">
        <f t="shared" si="5"/>
        <v>4</v>
      </c>
      <c r="BM20" s="369">
        <f t="shared" si="5"/>
        <v>4</v>
      </c>
      <c r="BN20" s="369">
        <f t="shared" si="5"/>
        <v>4</v>
      </c>
      <c r="BO20" s="369">
        <f t="shared" si="5"/>
        <v>4</v>
      </c>
      <c r="BP20" s="369">
        <f t="shared" si="5"/>
        <v>4</v>
      </c>
      <c r="BQ20" s="369">
        <f t="shared" si="5"/>
        <v>4</v>
      </c>
      <c r="BR20" s="369">
        <f t="shared" si="5"/>
        <v>4</v>
      </c>
      <c r="BS20" s="369">
        <f t="shared" si="5"/>
        <v>4</v>
      </c>
      <c r="BT20" s="369">
        <f t="shared" si="5"/>
        <v>4</v>
      </c>
      <c r="BU20" s="369">
        <f t="shared" si="5"/>
        <v>4</v>
      </c>
      <c r="BV20" s="369">
        <f t="shared" si="5"/>
        <v>4</v>
      </c>
      <c r="BW20" s="369">
        <f t="shared" si="5"/>
        <v>4</v>
      </c>
      <c r="BX20" s="369">
        <f t="shared" si="5"/>
        <v>4</v>
      </c>
      <c r="BY20" s="369">
        <f t="shared" si="5"/>
        <v>4</v>
      </c>
      <c r="BZ20" s="369">
        <f t="shared" si="5"/>
        <v>4</v>
      </c>
      <c r="CA20" s="369">
        <f t="shared" si="5"/>
        <v>4</v>
      </c>
      <c r="CB20" s="369">
        <f t="shared" si="5"/>
        <v>4</v>
      </c>
      <c r="CC20" s="369">
        <f t="shared" si="5"/>
        <v>4</v>
      </c>
      <c r="CD20" s="369">
        <f t="shared" si="5"/>
        <v>4</v>
      </c>
      <c r="CE20" s="369">
        <f t="shared" si="5"/>
        <v>4</v>
      </c>
      <c r="CF20" s="369">
        <f t="shared" si="5"/>
        <v>4</v>
      </c>
      <c r="CG20" s="369">
        <f t="shared" si="5"/>
        <v>4</v>
      </c>
      <c r="CH20" s="369">
        <f t="shared" si="5"/>
        <v>0</v>
      </c>
      <c r="CI20" s="370">
        <f>SUM(CI15:CI19)</f>
        <v>77.25</v>
      </c>
      <c r="CJ20" s="338"/>
      <c r="CK20" s="338"/>
      <c r="CL20" s="338"/>
    </row>
    <row r="21" ht="14.25" customHeight="1">
      <c r="A21" s="333"/>
      <c r="B21" s="333"/>
      <c r="C21" s="333"/>
      <c r="D21" s="333"/>
      <c r="E21" s="333"/>
      <c r="F21" s="333"/>
      <c r="G21" s="372"/>
      <c r="H21" s="335"/>
      <c r="I21" s="335"/>
      <c r="J21" s="335"/>
      <c r="K21" s="335"/>
      <c r="L21" s="335"/>
      <c r="M21" s="335"/>
      <c r="N21" s="335"/>
      <c r="O21" s="335"/>
      <c r="P21" s="335"/>
      <c r="Q21" s="335"/>
      <c r="R21" s="336"/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335"/>
      <c r="AN21" s="335"/>
      <c r="AO21" s="335"/>
      <c r="AP21" s="335"/>
      <c r="AQ21" s="335"/>
      <c r="AR21" s="335"/>
      <c r="AS21" s="335"/>
      <c r="AT21" s="335"/>
      <c r="AU21" s="335"/>
      <c r="AV21" s="335"/>
      <c r="AW21" s="335"/>
      <c r="AX21" s="335"/>
      <c r="AY21" s="335"/>
      <c r="AZ21" s="335"/>
      <c r="BA21" s="335"/>
      <c r="BB21" s="335"/>
      <c r="BC21" s="335"/>
      <c r="BD21" s="335"/>
      <c r="BE21" s="335"/>
      <c r="BF21" s="335"/>
      <c r="BG21" s="335"/>
      <c r="BH21" s="335"/>
      <c r="BI21" s="335"/>
      <c r="BJ21" s="335"/>
      <c r="BK21" s="335"/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35"/>
      <c r="CG21" s="335"/>
      <c r="CH21" s="335"/>
      <c r="CI21" s="335"/>
      <c r="CJ21" s="335"/>
      <c r="CK21" s="335"/>
      <c r="CL21" s="335"/>
    </row>
    <row r="22" ht="14.25" customHeight="1">
      <c r="A22" s="333"/>
      <c r="B22" s="333"/>
      <c r="C22" s="333"/>
      <c r="D22" s="333"/>
      <c r="E22" s="333"/>
      <c r="F22" s="333"/>
      <c r="G22" s="373" t="s">
        <v>99</v>
      </c>
      <c r="H22" s="338"/>
      <c r="I22" s="338"/>
      <c r="J22" s="338"/>
      <c r="K22" s="339" t="s">
        <v>191</v>
      </c>
      <c r="L22" s="339"/>
      <c r="M22" s="339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D22" s="339"/>
      <c r="BE22" s="339"/>
      <c r="BF22" s="339"/>
      <c r="BG22" s="339"/>
      <c r="BH22" s="339"/>
      <c r="BI22" s="339"/>
      <c r="BJ22" s="339"/>
      <c r="BK22" s="339"/>
      <c r="BL22" s="339"/>
      <c r="BM22" s="339"/>
      <c r="BN22" s="339"/>
      <c r="BO22" s="339"/>
      <c r="BP22" s="339"/>
      <c r="BQ22" s="339"/>
      <c r="BR22" s="339"/>
      <c r="BS22" s="339"/>
      <c r="BT22" s="339"/>
      <c r="BU22" s="339"/>
      <c r="BV22" s="339"/>
      <c r="BW22" s="339"/>
      <c r="BX22" s="339"/>
      <c r="BY22" s="339"/>
      <c r="BZ22" s="339"/>
      <c r="CA22" s="339"/>
      <c r="CB22" s="339"/>
      <c r="CC22" s="339"/>
      <c r="CD22" s="339"/>
      <c r="CE22" s="339"/>
      <c r="CF22" s="339"/>
      <c r="CG22" s="339"/>
      <c r="CH22" s="339"/>
      <c r="CI22" s="338"/>
      <c r="CJ22" s="338"/>
      <c r="CK22" s="338"/>
      <c r="CL22" s="338"/>
    </row>
    <row r="23" ht="14.25" customHeight="1">
      <c r="A23" s="333"/>
      <c r="B23" s="333"/>
      <c r="C23" s="333"/>
      <c r="D23" s="333"/>
      <c r="E23" s="333"/>
      <c r="F23" s="333"/>
      <c r="G23" s="127"/>
      <c r="H23" s="341" t="s">
        <v>193</v>
      </c>
      <c r="I23" s="341" t="s">
        <v>194</v>
      </c>
      <c r="J23" s="341" t="s">
        <v>195</v>
      </c>
      <c r="K23" s="342">
        <v>0.21875</v>
      </c>
      <c r="L23" s="342">
        <v>0.22916666666666666</v>
      </c>
      <c r="M23" s="342">
        <v>0.239583333333333</v>
      </c>
      <c r="N23" s="342">
        <v>0.25</v>
      </c>
      <c r="O23" s="342">
        <v>0.260416666666667</v>
      </c>
      <c r="P23" s="342">
        <v>0.270833333333333</v>
      </c>
      <c r="Q23" s="342">
        <v>0.28125</v>
      </c>
      <c r="R23" s="342">
        <v>0.291666666666667</v>
      </c>
      <c r="S23" s="342">
        <v>0.302083333333333</v>
      </c>
      <c r="T23" s="342">
        <v>0.3125</v>
      </c>
      <c r="U23" s="342">
        <v>0.322916666666667</v>
      </c>
      <c r="V23" s="342">
        <v>0.333333333333333</v>
      </c>
      <c r="W23" s="342">
        <v>0.34375</v>
      </c>
      <c r="X23" s="342">
        <v>0.354166666666667</v>
      </c>
      <c r="Y23" s="342">
        <v>0.364583333333333</v>
      </c>
      <c r="Z23" s="342">
        <v>0.375</v>
      </c>
      <c r="AA23" s="342">
        <v>0.385416666666667</v>
      </c>
      <c r="AB23" s="342">
        <v>0.395833333333333</v>
      </c>
      <c r="AC23" s="342">
        <v>0.40625</v>
      </c>
      <c r="AD23" s="342">
        <v>0.416666666666666</v>
      </c>
      <c r="AE23" s="342">
        <v>0.427083333333333</v>
      </c>
      <c r="AF23" s="342">
        <v>0.4375</v>
      </c>
      <c r="AG23" s="342">
        <v>0.447916666666666</v>
      </c>
      <c r="AH23" s="342">
        <v>0.458333333333333</v>
      </c>
      <c r="AI23" s="342">
        <v>0.46875</v>
      </c>
      <c r="AJ23" s="342">
        <v>0.479166666666666</v>
      </c>
      <c r="AK23" s="342">
        <v>0.489583333333333</v>
      </c>
      <c r="AL23" s="342">
        <v>0.5</v>
      </c>
      <c r="AM23" s="342">
        <v>0.510416666666666</v>
      </c>
      <c r="AN23" s="342">
        <v>0.520833333333333</v>
      </c>
      <c r="AO23" s="342">
        <v>0.53125</v>
      </c>
      <c r="AP23" s="342">
        <v>0.541666666666666</v>
      </c>
      <c r="AQ23" s="342">
        <v>0.552083333333333</v>
      </c>
      <c r="AR23" s="342">
        <v>0.5625</v>
      </c>
      <c r="AS23" s="342">
        <v>0.572916666666666</v>
      </c>
      <c r="AT23" s="342">
        <v>0.583333333333333</v>
      </c>
      <c r="AU23" s="342">
        <v>0.59375</v>
      </c>
      <c r="AV23" s="342">
        <v>0.604166666666666</v>
      </c>
      <c r="AW23" s="342">
        <v>0.614583333333333</v>
      </c>
      <c r="AX23" s="342">
        <v>0.625</v>
      </c>
      <c r="AY23" s="342">
        <v>0.635416666666666</v>
      </c>
      <c r="AZ23" s="342">
        <v>0.645833333333333</v>
      </c>
      <c r="BA23" s="342">
        <v>0.65625</v>
      </c>
      <c r="BB23" s="342">
        <v>0.666666666666666</v>
      </c>
      <c r="BC23" s="342">
        <v>0.677083333333333</v>
      </c>
      <c r="BD23" s="342">
        <v>0.6875</v>
      </c>
      <c r="BE23" s="342">
        <v>0.697916666666666</v>
      </c>
      <c r="BF23" s="342">
        <v>0.708333333333333</v>
      </c>
      <c r="BG23" s="342">
        <v>0.71875</v>
      </c>
      <c r="BH23" s="342">
        <v>0.729166666666666</v>
      </c>
      <c r="BI23" s="342">
        <v>0.739583333333333</v>
      </c>
      <c r="BJ23" s="342">
        <v>0.75</v>
      </c>
      <c r="BK23" s="342">
        <v>0.760416666666666</v>
      </c>
      <c r="BL23" s="342">
        <v>0.770833333333333</v>
      </c>
      <c r="BM23" s="342">
        <v>0.78125</v>
      </c>
      <c r="BN23" s="342">
        <v>0.791666666666666</v>
      </c>
      <c r="BO23" s="342">
        <v>0.802083333333333</v>
      </c>
      <c r="BP23" s="342">
        <v>0.812499999999999</v>
      </c>
      <c r="BQ23" s="342">
        <v>0.822916666666666</v>
      </c>
      <c r="BR23" s="342">
        <v>0.833333333333333</v>
      </c>
      <c r="BS23" s="342">
        <v>0.843749999999999</v>
      </c>
      <c r="BT23" s="342">
        <v>0.854166666666666</v>
      </c>
      <c r="BU23" s="342">
        <v>0.864583333333333</v>
      </c>
      <c r="BV23" s="342">
        <v>0.874999999999999</v>
      </c>
      <c r="BW23" s="342">
        <v>0.885416666666666</v>
      </c>
      <c r="BX23" s="342">
        <v>0.895833333333333</v>
      </c>
      <c r="BY23" s="342">
        <v>0.906249999999999</v>
      </c>
      <c r="BZ23" s="342">
        <v>0.916666666666666</v>
      </c>
      <c r="CA23" s="342">
        <v>0.927083333333333</v>
      </c>
      <c r="CB23" s="342">
        <v>0.937499999999999</v>
      </c>
      <c r="CC23" s="342">
        <v>0.947916666666666</v>
      </c>
      <c r="CD23" s="342">
        <v>0.958333333333333</v>
      </c>
      <c r="CE23" s="342">
        <v>0.968749999999999</v>
      </c>
      <c r="CF23" s="342">
        <v>0.979166666666666</v>
      </c>
      <c r="CG23" s="342">
        <v>0.989583333333333</v>
      </c>
      <c r="CH23" s="342">
        <v>0.999999999999999</v>
      </c>
      <c r="CI23" s="344" t="s">
        <v>6</v>
      </c>
      <c r="CJ23" s="344" t="s">
        <v>196</v>
      </c>
      <c r="CK23" s="338"/>
      <c r="CL23" s="345" t="s">
        <v>99</v>
      </c>
    </row>
    <row r="24" ht="14.25" customHeight="1">
      <c r="A24" s="333"/>
      <c r="B24" s="333"/>
      <c r="C24" s="333"/>
      <c r="D24" s="333"/>
      <c r="E24" s="333"/>
      <c r="F24" s="333"/>
      <c r="G24" s="127"/>
      <c r="H24" s="346">
        <v>1.0</v>
      </c>
      <c r="I24" s="346" t="s">
        <v>86</v>
      </c>
      <c r="J24" s="346" t="s">
        <v>197</v>
      </c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81"/>
      <c r="X24" s="382"/>
      <c r="Y24" s="382"/>
      <c r="Z24" s="382"/>
      <c r="AA24" s="382"/>
      <c r="AB24" s="382"/>
      <c r="AC24" s="382"/>
      <c r="AD24" s="383"/>
      <c r="AE24" s="383"/>
      <c r="AF24" s="383"/>
      <c r="AG24" s="383"/>
      <c r="AH24" s="383"/>
      <c r="AI24" s="383"/>
      <c r="AJ24" s="383"/>
      <c r="AK24" s="383"/>
      <c r="AL24" s="383"/>
      <c r="AM24" s="383"/>
      <c r="AN24" s="383"/>
      <c r="AO24" s="383"/>
      <c r="AP24" s="383"/>
      <c r="AQ24" s="383"/>
      <c r="AR24" s="383"/>
      <c r="AS24" s="383"/>
      <c r="AT24" s="383">
        <v>1.0</v>
      </c>
      <c r="AU24" s="383">
        <v>1.0</v>
      </c>
      <c r="AV24" s="383">
        <v>1.0</v>
      </c>
      <c r="AW24" s="383">
        <v>1.0</v>
      </c>
      <c r="AX24" s="383">
        <v>1.0</v>
      </c>
      <c r="AY24" s="383">
        <v>1.0</v>
      </c>
      <c r="AZ24" s="383">
        <v>1.0</v>
      </c>
      <c r="BA24" s="383">
        <v>1.0</v>
      </c>
      <c r="BB24" s="383">
        <v>1.0</v>
      </c>
      <c r="BC24" s="383">
        <v>1.0</v>
      </c>
      <c r="BD24" s="383">
        <v>1.0</v>
      </c>
      <c r="BE24" s="383">
        <v>1.0</v>
      </c>
      <c r="BF24" s="383">
        <v>1.0</v>
      </c>
      <c r="BG24" s="383">
        <v>1.0</v>
      </c>
      <c r="BH24" s="383">
        <v>1.0</v>
      </c>
      <c r="BI24" s="383">
        <v>1.0</v>
      </c>
      <c r="BJ24" s="383">
        <v>1.0</v>
      </c>
      <c r="BK24" s="383">
        <v>1.0</v>
      </c>
      <c r="BL24" s="383">
        <v>1.0</v>
      </c>
      <c r="BM24" s="383">
        <v>1.0</v>
      </c>
      <c r="BN24" s="383">
        <v>1.0</v>
      </c>
      <c r="BO24" s="383">
        <v>1.0</v>
      </c>
      <c r="BP24" s="383">
        <v>1.0</v>
      </c>
      <c r="BQ24" s="383">
        <v>1.0</v>
      </c>
      <c r="BR24" s="383">
        <v>1.0</v>
      </c>
      <c r="BS24" s="383">
        <v>1.0</v>
      </c>
      <c r="BT24" s="383">
        <v>1.0</v>
      </c>
      <c r="BU24" s="383">
        <v>1.0</v>
      </c>
      <c r="BV24" s="383">
        <v>1.0</v>
      </c>
      <c r="BW24" s="383">
        <v>1.0</v>
      </c>
      <c r="BX24" s="383">
        <v>1.0</v>
      </c>
      <c r="BY24" s="383">
        <v>1.0</v>
      </c>
      <c r="BZ24" s="304"/>
      <c r="CA24" s="304"/>
      <c r="CB24" s="304"/>
      <c r="CC24" s="304"/>
      <c r="CD24" s="304"/>
      <c r="CE24" s="304"/>
      <c r="CF24" s="304"/>
      <c r="CG24" s="304"/>
      <c r="CH24" s="304"/>
      <c r="CI24" s="348">
        <f t="shared" ref="CI24:CI28" si="6">COUNT(K24:CH24)/4</f>
        <v>8</v>
      </c>
      <c r="CJ24" s="349">
        <f t="shared" ref="CJ24:CJ28" si="7">$BY$23+TIME(,15,)</f>
        <v>0.9166666667</v>
      </c>
      <c r="CK24" s="338"/>
      <c r="CL24" s="350" t="s">
        <v>207</v>
      </c>
    </row>
    <row r="25" ht="14.25" customHeight="1">
      <c r="A25" s="333"/>
      <c r="B25" s="333"/>
      <c r="C25" s="333"/>
      <c r="D25" s="333"/>
      <c r="E25" s="333"/>
      <c r="F25" s="333"/>
      <c r="G25" s="127"/>
      <c r="H25" s="374">
        <v>2.0</v>
      </c>
      <c r="I25" s="374" t="s">
        <v>64</v>
      </c>
      <c r="J25" s="346" t="s">
        <v>197</v>
      </c>
      <c r="K25" s="384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4">
        <v>1.0</v>
      </c>
      <c r="X25" s="384">
        <v>1.0</v>
      </c>
      <c r="Y25" s="384">
        <v>1.0</v>
      </c>
      <c r="Z25" s="384">
        <v>1.0</v>
      </c>
      <c r="AA25" s="384">
        <v>1.0</v>
      </c>
      <c r="AB25" s="384">
        <v>1.0</v>
      </c>
      <c r="AC25" s="384">
        <v>1.0</v>
      </c>
      <c r="AD25" s="384">
        <v>1.0</v>
      </c>
      <c r="AE25" s="384">
        <v>1.0</v>
      </c>
      <c r="AF25" s="384">
        <v>1.0</v>
      </c>
      <c r="AG25" s="384">
        <v>1.0</v>
      </c>
      <c r="AH25" s="384">
        <v>1.0</v>
      </c>
      <c r="AI25" s="384">
        <v>1.0</v>
      </c>
      <c r="AJ25" s="384">
        <v>1.0</v>
      </c>
      <c r="AK25" s="384">
        <v>1.0</v>
      </c>
      <c r="AL25" s="384">
        <v>1.0</v>
      </c>
      <c r="AM25" s="384">
        <v>1.0</v>
      </c>
      <c r="AN25" s="384">
        <v>1.0</v>
      </c>
      <c r="AO25" s="384">
        <v>1.0</v>
      </c>
      <c r="AP25" s="384">
        <v>1.0</v>
      </c>
      <c r="AQ25" s="384">
        <v>1.0</v>
      </c>
      <c r="AR25" s="384">
        <v>1.0</v>
      </c>
      <c r="AS25" s="384">
        <v>1.0</v>
      </c>
      <c r="AT25" s="384">
        <v>1.0</v>
      </c>
      <c r="AU25" s="384">
        <v>1.0</v>
      </c>
      <c r="AV25" s="384">
        <v>1.0</v>
      </c>
      <c r="AW25" s="384">
        <v>1.0</v>
      </c>
      <c r="AX25" s="384">
        <v>1.0</v>
      </c>
      <c r="AY25" s="384">
        <v>1.0</v>
      </c>
      <c r="AZ25" s="384">
        <v>1.0</v>
      </c>
      <c r="BA25" s="384">
        <v>1.0</v>
      </c>
      <c r="BB25" s="384"/>
      <c r="BC25" s="384"/>
      <c r="BD25" s="384"/>
      <c r="BE25" s="384"/>
      <c r="BF25" s="384"/>
      <c r="BG25" s="384"/>
      <c r="BH25" s="384"/>
      <c r="BI25" s="384"/>
      <c r="BJ25" s="384"/>
      <c r="BK25" s="384"/>
      <c r="BL25" s="384"/>
      <c r="BM25" s="384"/>
      <c r="BN25" s="384"/>
      <c r="BO25" s="384"/>
      <c r="BP25" s="384"/>
      <c r="BQ25" s="384"/>
      <c r="BR25" s="384"/>
      <c r="BS25" s="384"/>
      <c r="BT25" s="384"/>
      <c r="BU25" s="384"/>
      <c r="BV25" s="384"/>
      <c r="BW25" s="384"/>
      <c r="BX25" s="384"/>
      <c r="BY25" s="384"/>
      <c r="BZ25" s="386"/>
      <c r="CA25" s="386"/>
      <c r="CB25" s="386"/>
      <c r="CC25" s="386"/>
      <c r="CD25" s="386"/>
      <c r="CE25" s="386"/>
      <c r="CF25" s="386"/>
      <c r="CG25" s="386"/>
      <c r="CH25" s="386"/>
      <c r="CI25" s="354">
        <f t="shared" si="6"/>
        <v>7.75</v>
      </c>
      <c r="CJ25" s="355">
        <f t="shared" si="7"/>
        <v>0.9166666667</v>
      </c>
      <c r="CK25" s="338"/>
      <c r="CL25" s="338"/>
    </row>
    <row r="26" ht="14.25" customHeight="1">
      <c r="A26" s="333"/>
      <c r="B26" s="333"/>
      <c r="C26" s="333"/>
      <c r="D26" s="333"/>
      <c r="E26" s="333"/>
      <c r="F26" s="333"/>
      <c r="G26" s="127"/>
      <c r="H26" s="351">
        <v>3.0</v>
      </c>
      <c r="I26" s="351" t="s">
        <v>86</v>
      </c>
      <c r="J26" s="351" t="s">
        <v>200</v>
      </c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87">
        <v>1.0</v>
      </c>
      <c r="X26" s="387">
        <v>1.0</v>
      </c>
      <c r="Y26" s="387">
        <v>1.0</v>
      </c>
      <c r="Z26" s="387">
        <v>1.0</v>
      </c>
      <c r="AA26" s="387">
        <v>1.0</v>
      </c>
      <c r="AB26" s="387">
        <v>1.0</v>
      </c>
      <c r="AC26" s="387">
        <v>1.0</v>
      </c>
      <c r="AD26" s="387">
        <v>1.0</v>
      </c>
      <c r="AE26" s="387">
        <v>1.0</v>
      </c>
      <c r="AF26" s="387">
        <v>1.0</v>
      </c>
      <c r="AG26" s="387">
        <v>1.0</v>
      </c>
      <c r="AH26" s="387">
        <v>1.0</v>
      </c>
      <c r="AI26" s="387">
        <v>1.0</v>
      </c>
      <c r="AJ26" s="387">
        <v>1.0</v>
      </c>
      <c r="AK26" s="387">
        <v>1.0</v>
      </c>
      <c r="AL26" s="387">
        <v>1.0</v>
      </c>
      <c r="AM26" s="387">
        <v>1.0</v>
      </c>
      <c r="AN26" s="387">
        <v>1.0</v>
      </c>
      <c r="AO26" s="387">
        <v>1.0</v>
      </c>
      <c r="AP26" s="387">
        <v>1.0</v>
      </c>
      <c r="AQ26" s="387">
        <v>1.0</v>
      </c>
      <c r="AR26" s="387">
        <v>1.0</v>
      </c>
      <c r="AS26" s="387">
        <v>1.0</v>
      </c>
      <c r="AT26" s="387">
        <v>1.0</v>
      </c>
      <c r="AU26" s="387">
        <v>1.0</v>
      </c>
      <c r="AV26" s="387">
        <v>1.0</v>
      </c>
      <c r="AW26" s="387">
        <v>1.0</v>
      </c>
      <c r="AX26" s="387">
        <v>1.0</v>
      </c>
      <c r="AY26" s="387">
        <v>1.0</v>
      </c>
      <c r="AZ26" s="387">
        <v>1.0</v>
      </c>
      <c r="BA26" s="387">
        <v>1.0</v>
      </c>
      <c r="BB26" s="387">
        <v>1.0</v>
      </c>
      <c r="BC26" s="387">
        <v>1.0</v>
      </c>
      <c r="BD26" s="387">
        <v>1.0</v>
      </c>
      <c r="BE26" s="387">
        <v>1.0</v>
      </c>
      <c r="BF26" s="387">
        <v>1.0</v>
      </c>
      <c r="BG26" s="387">
        <v>1.0</v>
      </c>
      <c r="BH26" s="387">
        <v>1.0</v>
      </c>
      <c r="BI26" s="387">
        <v>1.0</v>
      </c>
      <c r="BJ26" s="387">
        <v>1.0</v>
      </c>
      <c r="BK26" s="387">
        <v>1.0</v>
      </c>
      <c r="BL26" s="387">
        <v>1.0</v>
      </c>
      <c r="BM26" s="387">
        <v>1.0</v>
      </c>
      <c r="BN26" s="387">
        <v>1.0</v>
      </c>
      <c r="BO26" s="387">
        <v>1.0</v>
      </c>
      <c r="BP26" s="387">
        <v>1.0</v>
      </c>
      <c r="BQ26" s="387">
        <v>1.0</v>
      </c>
      <c r="BR26" s="387">
        <v>1.0</v>
      </c>
      <c r="BS26" s="387">
        <v>1.0</v>
      </c>
      <c r="BT26" s="387">
        <v>1.0</v>
      </c>
      <c r="BU26" s="387">
        <v>1.0</v>
      </c>
      <c r="BV26" s="387">
        <v>1.0</v>
      </c>
      <c r="BW26" s="387">
        <v>1.0</v>
      </c>
      <c r="BX26" s="387">
        <v>1.0</v>
      </c>
      <c r="BY26" s="387">
        <v>1.0</v>
      </c>
      <c r="BZ26" s="304"/>
      <c r="CA26" s="304"/>
      <c r="CB26" s="304"/>
      <c r="CC26" s="304"/>
      <c r="CD26" s="304"/>
      <c r="CE26" s="304"/>
      <c r="CF26" s="304"/>
      <c r="CG26" s="304"/>
      <c r="CH26" s="304"/>
      <c r="CI26" s="348">
        <f t="shared" si="6"/>
        <v>13.75</v>
      </c>
      <c r="CJ26" s="349">
        <f t="shared" si="7"/>
        <v>0.9166666667</v>
      </c>
      <c r="CK26" s="338"/>
      <c r="CL26" s="338"/>
    </row>
    <row r="27" ht="14.25" customHeight="1">
      <c r="A27" s="333"/>
      <c r="B27" s="333"/>
      <c r="C27" s="333"/>
      <c r="D27" s="333"/>
      <c r="E27" s="333"/>
      <c r="F27" s="333"/>
      <c r="G27" s="127"/>
      <c r="H27" s="356">
        <v>4.0</v>
      </c>
      <c r="I27" s="357" t="s">
        <v>202</v>
      </c>
      <c r="J27" s="357" t="s">
        <v>201</v>
      </c>
      <c r="K27" s="377"/>
      <c r="L27" s="378"/>
      <c r="M27" s="378"/>
      <c r="N27" s="378"/>
      <c r="O27" s="388"/>
      <c r="P27" s="388"/>
      <c r="Q27" s="388"/>
      <c r="R27" s="388"/>
      <c r="S27" s="388"/>
      <c r="T27" s="388"/>
      <c r="U27" s="388"/>
      <c r="V27" s="388"/>
      <c r="W27" s="357">
        <v>1.0</v>
      </c>
      <c r="X27" s="357">
        <v>1.0</v>
      </c>
      <c r="Y27" s="357">
        <v>1.0</v>
      </c>
      <c r="Z27" s="357">
        <v>1.0</v>
      </c>
      <c r="AA27" s="357">
        <v>1.0</v>
      </c>
      <c r="AB27" s="357">
        <v>1.0</v>
      </c>
      <c r="AC27" s="357">
        <v>1.0</v>
      </c>
      <c r="AD27" s="357">
        <v>1.0</v>
      </c>
      <c r="AE27" s="357">
        <v>1.0</v>
      </c>
      <c r="AF27" s="357">
        <v>1.0</v>
      </c>
      <c r="AG27" s="357">
        <v>1.0</v>
      </c>
      <c r="AH27" s="357">
        <v>1.0</v>
      </c>
      <c r="AI27" s="357">
        <v>1.0</v>
      </c>
      <c r="AJ27" s="357">
        <v>1.0</v>
      </c>
      <c r="AK27" s="357">
        <v>1.0</v>
      </c>
      <c r="AL27" s="357">
        <v>1.0</v>
      </c>
      <c r="AM27" s="357">
        <v>1.0</v>
      </c>
      <c r="AN27" s="357">
        <v>1.0</v>
      </c>
      <c r="AO27" s="357">
        <v>1.0</v>
      </c>
      <c r="AP27" s="357">
        <v>1.0</v>
      </c>
      <c r="AQ27" s="357">
        <v>1.0</v>
      </c>
      <c r="AR27" s="357">
        <v>1.0</v>
      </c>
      <c r="AS27" s="357">
        <v>1.0</v>
      </c>
      <c r="AT27" s="357">
        <v>1.0</v>
      </c>
      <c r="AU27" s="357">
        <v>1.0</v>
      </c>
      <c r="AV27" s="357">
        <v>1.0</v>
      </c>
      <c r="AW27" s="357">
        <v>1.0</v>
      </c>
      <c r="AX27" s="357">
        <v>1.0</v>
      </c>
      <c r="AY27" s="357">
        <v>1.0</v>
      </c>
      <c r="AZ27" s="357">
        <v>1.0</v>
      </c>
      <c r="BA27" s="357">
        <v>1.0</v>
      </c>
      <c r="BB27" s="357">
        <v>1.0</v>
      </c>
      <c r="BC27" s="357">
        <v>1.0</v>
      </c>
      <c r="BD27" s="357">
        <v>1.0</v>
      </c>
      <c r="BE27" s="357">
        <v>1.0</v>
      </c>
      <c r="BF27" s="357">
        <v>1.0</v>
      </c>
      <c r="BG27" s="357">
        <v>1.0</v>
      </c>
      <c r="BH27" s="357">
        <v>1.0</v>
      </c>
      <c r="BI27" s="357">
        <v>1.0</v>
      </c>
      <c r="BJ27" s="357">
        <v>1.0</v>
      </c>
      <c r="BK27" s="357">
        <v>1.0</v>
      </c>
      <c r="BL27" s="357">
        <v>1.0</v>
      </c>
      <c r="BM27" s="357">
        <v>1.0</v>
      </c>
      <c r="BN27" s="357">
        <v>1.0</v>
      </c>
      <c r="BO27" s="357">
        <v>1.0</v>
      </c>
      <c r="BP27" s="357">
        <v>1.0</v>
      </c>
      <c r="BQ27" s="357">
        <v>1.0</v>
      </c>
      <c r="BR27" s="357">
        <v>1.0</v>
      </c>
      <c r="BS27" s="357">
        <v>1.0</v>
      </c>
      <c r="BT27" s="357">
        <v>1.0</v>
      </c>
      <c r="BU27" s="357">
        <v>1.0</v>
      </c>
      <c r="BV27" s="357">
        <v>1.0</v>
      </c>
      <c r="BW27" s="357">
        <v>1.0</v>
      </c>
      <c r="BX27" s="357">
        <v>1.0</v>
      </c>
      <c r="BY27" s="357">
        <v>1.0</v>
      </c>
      <c r="BZ27" s="388"/>
      <c r="CA27" s="388"/>
      <c r="CB27" s="388"/>
      <c r="CC27" s="388"/>
      <c r="CD27" s="388"/>
      <c r="CE27" s="388"/>
      <c r="CF27" s="388"/>
      <c r="CG27" s="388"/>
      <c r="CH27" s="388"/>
      <c r="CI27" s="360">
        <f t="shared" si="6"/>
        <v>13.75</v>
      </c>
      <c r="CJ27" s="361">
        <f t="shared" si="7"/>
        <v>0.9166666667</v>
      </c>
      <c r="CK27" s="338"/>
      <c r="CL27" s="338"/>
    </row>
    <row r="28" ht="75.0" customHeight="1">
      <c r="A28" s="333"/>
      <c r="B28" s="333"/>
      <c r="C28" s="333"/>
      <c r="D28" s="333"/>
      <c r="E28" s="333"/>
      <c r="F28" s="333"/>
      <c r="G28" s="127"/>
      <c r="H28" s="362">
        <v>5.0</v>
      </c>
      <c r="I28" s="363" t="s">
        <v>203</v>
      </c>
      <c r="J28" s="363" t="s">
        <v>201</v>
      </c>
      <c r="K28" s="379"/>
      <c r="L28" s="380"/>
      <c r="M28" s="380"/>
      <c r="N28" s="380"/>
      <c r="O28" s="389"/>
      <c r="P28" s="389"/>
      <c r="Q28" s="389"/>
      <c r="R28" s="389"/>
      <c r="S28" s="389"/>
      <c r="T28" s="389"/>
      <c r="U28" s="389"/>
      <c r="V28" s="389"/>
      <c r="W28" s="363">
        <v>1.0</v>
      </c>
      <c r="X28" s="363">
        <v>1.0</v>
      </c>
      <c r="Y28" s="363">
        <v>1.0</v>
      </c>
      <c r="Z28" s="363">
        <v>1.0</v>
      </c>
      <c r="AA28" s="363">
        <v>1.0</v>
      </c>
      <c r="AB28" s="363">
        <v>1.0</v>
      </c>
      <c r="AC28" s="363">
        <v>1.0</v>
      </c>
      <c r="AD28" s="363">
        <v>1.0</v>
      </c>
      <c r="AE28" s="363">
        <v>1.0</v>
      </c>
      <c r="AF28" s="363">
        <v>1.0</v>
      </c>
      <c r="AG28" s="363">
        <v>1.0</v>
      </c>
      <c r="AH28" s="363">
        <v>1.0</v>
      </c>
      <c r="AI28" s="363">
        <v>1.0</v>
      </c>
      <c r="AJ28" s="363">
        <v>1.0</v>
      </c>
      <c r="AK28" s="363">
        <v>1.0</v>
      </c>
      <c r="AL28" s="363">
        <v>1.0</v>
      </c>
      <c r="AM28" s="363">
        <v>1.0</v>
      </c>
      <c r="AN28" s="363">
        <v>1.0</v>
      </c>
      <c r="AO28" s="363">
        <v>1.0</v>
      </c>
      <c r="AP28" s="363">
        <v>1.0</v>
      </c>
      <c r="AQ28" s="363">
        <v>1.0</v>
      </c>
      <c r="AR28" s="363">
        <v>1.0</v>
      </c>
      <c r="AS28" s="363">
        <v>1.0</v>
      </c>
      <c r="AT28" s="363">
        <v>1.0</v>
      </c>
      <c r="AU28" s="363">
        <v>1.0</v>
      </c>
      <c r="AV28" s="363">
        <v>1.0</v>
      </c>
      <c r="AW28" s="363">
        <v>1.0</v>
      </c>
      <c r="AX28" s="363">
        <v>1.0</v>
      </c>
      <c r="AY28" s="363">
        <v>1.0</v>
      </c>
      <c r="AZ28" s="363">
        <v>1.0</v>
      </c>
      <c r="BA28" s="363">
        <v>1.0</v>
      </c>
      <c r="BB28" s="363">
        <v>1.0</v>
      </c>
      <c r="BC28" s="363">
        <v>1.0</v>
      </c>
      <c r="BD28" s="363">
        <v>1.0</v>
      </c>
      <c r="BE28" s="363">
        <v>1.0</v>
      </c>
      <c r="BF28" s="363">
        <v>1.0</v>
      </c>
      <c r="BG28" s="363">
        <v>1.0</v>
      </c>
      <c r="BH28" s="363">
        <v>1.0</v>
      </c>
      <c r="BI28" s="363">
        <v>1.0</v>
      </c>
      <c r="BJ28" s="363">
        <v>1.0</v>
      </c>
      <c r="BK28" s="363">
        <v>1.0</v>
      </c>
      <c r="BL28" s="363">
        <v>1.0</v>
      </c>
      <c r="BM28" s="363">
        <v>1.0</v>
      </c>
      <c r="BN28" s="363">
        <v>1.0</v>
      </c>
      <c r="BO28" s="363">
        <v>1.0</v>
      </c>
      <c r="BP28" s="363">
        <v>1.0</v>
      </c>
      <c r="BQ28" s="363">
        <v>1.0</v>
      </c>
      <c r="BR28" s="363">
        <v>1.0</v>
      </c>
      <c r="BS28" s="363">
        <v>1.0</v>
      </c>
      <c r="BT28" s="363">
        <v>1.0</v>
      </c>
      <c r="BU28" s="363">
        <v>1.0</v>
      </c>
      <c r="BV28" s="363">
        <v>1.0</v>
      </c>
      <c r="BW28" s="363">
        <v>1.0</v>
      </c>
      <c r="BX28" s="363">
        <v>1.0</v>
      </c>
      <c r="BY28" s="363">
        <v>1.0</v>
      </c>
      <c r="BZ28" s="389"/>
      <c r="CA28" s="389"/>
      <c r="CB28" s="389"/>
      <c r="CC28" s="389"/>
      <c r="CD28" s="389"/>
      <c r="CE28" s="389"/>
      <c r="CF28" s="389"/>
      <c r="CG28" s="389"/>
      <c r="CH28" s="389"/>
      <c r="CI28" s="366">
        <f t="shared" si="6"/>
        <v>13.75</v>
      </c>
      <c r="CJ28" s="367">
        <f t="shared" si="7"/>
        <v>0.9166666667</v>
      </c>
      <c r="CK28" s="338"/>
      <c r="CL28" s="338"/>
    </row>
    <row r="29" ht="14.25" customHeight="1">
      <c r="A29" s="333"/>
      <c r="B29" s="333"/>
      <c r="C29" s="333"/>
      <c r="D29" s="333"/>
      <c r="E29" s="333"/>
      <c r="F29" s="333"/>
      <c r="G29" s="156"/>
      <c r="H29" s="338"/>
      <c r="I29" s="338"/>
      <c r="J29" s="368" t="s">
        <v>204</v>
      </c>
      <c r="K29" s="369">
        <f t="shared" ref="K29:CH29" si="8">COUNT(K24:K28)</f>
        <v>0</v>
      </c>
      <c r="L29" s="369">
        <f t="shared" si="8"/>
        <v>0</v>
      </c>
      <c r="M29" s="369">
        <f t="shared" si="8"/>
        <v>0</v>
      </c>
      <c r="N29" s="369">
        <f t="shared" si="8"/>
        <v>0</v>
      </c>
      <c r="O29" s="369">
        <f t="shared" si="8"/>
        <v>0</v>
      </c>
      <c r="P29" s="369">
        <f t="shared" si="8"/>
        <v>0</v>
      </c>
      <c r="Q29" s="369">
        <f t="shared" si="8"/>
        <v>0</v>
      </c>
      <c r="R29" s="369">
        <f t="shared" si="8"/>
        <v>0</v>
      </c>
      <c r="S29" s="369">
        <f t="shared" si="8"/>
        <v>0</v>
      </c>
      <c r="T29" s="369">
        <f t="shared" si="8"/>
        <v>0</v>
      </c>
      <c r="U29" s="369">
        <f t="shared" si="8"/>
        <v>0</v>
      </c>
      <c r="V29" s="369">
        <f t="shared" si="8"/>
        <v>0</v>
      </c>
      <c r="W29" s="369">
        <f t="shared" si="8"/>
        <v>4</v>
      </c>
      <c r="X29" s="369">
        <f t="shared" si="8"/>
        <v>4</v>
      </c>
      <c r="Y29" s="369">
        <f t="shared" si="8"/>
        <v>4</v>
      </c>
      <c r="Z29" s="369">
        <f t="shared" si="8"/>
        <v>4</v>
      </c>
      <c r="AA29" s="369">
        <f t="shared" si="8"/>
        <v>4</v>
      </c>
      <c r="AB29" s="369">
        <f t="shared" si="8"/>
        <v>4</v>
      </c>
      <c r="AC29" s="369">
        <f t="shared" si="8"/>
        <v>4</v>
      </c>
      <c r="AD29" s="369">
        <f t="shared" si="8"/>
        <v>4</v>
      </c>
      <c r="AE29" s="369">
        <f t="shared" si="8"/>
        <v>4</v>
      </c>
      <c r="AF29" s="369">
        <f t="shared" si="8"/>
        <v>4</v>
      </c>
      <c r="AG29" s="369">
        <f t="shared" si="8"/>
        <v>4</v>
      </c>
      <c r="AH29" s="369">
        <f t="shared" si="8"/>
        <v>4</v>
      </c>
      <c r="AI29" s="369">
        <f t="shared" si="8"/>
        <v>4</v>
      </c>
      <c r="AJ29" s="369">
        <f t="shared" si="8"/>
        <v>4</v>
      </c>
      <c r="AK29" s="369">
        <f t="shared" si="8"/>
        <v>4</v>
      </c>
      <c r="AL29" s="369">
        <f t="shared" si="8"/>
        <v>4</v>
      </c>
      <c r="AM29" s="369">
        <f t="shared" si="8"/>
        <v>4</v>
      </c>
      <c r="AN29" s="369">
        <f t="shared" si="8"/>
        <v>4</v>
      </c>
      <c r="AO29" s="369">
        <f t="shared" si="8"/>
        <v>4</v>
      </c>
      <c r="AP29" s="369">
        <f t="shared" si="8"/>
        <v>4</v>
      </c>
      <c r="AQ29" s="369">
        <f t="shared" si="8"/>
        <v>4</v>
      </c>
      <c r="AR29" s="369">
        <f t="shared" si="8"/>
        <v>4</v>
      </c>
      <c r="AS29" s="369">
        <f t="shared" si="8"/>
        <v>4</v>
      </c>
      <c r="AT29" s="369">
        <f t="shared" si="8"/>
        <v>5</v>
      </c>
      <c r="AU29" s="369">
        <f t="shared" si="8"/>
        <v>5</v>
      </c>
      <c r="AV29" s="369">
        <f t="shared" si="8"/>
        <v>5</v>
      </c>
      <c r="AW29" s="369">
        <f t="shared" si="8"/>
        <v>5</v>
      </c>
      <c r="AX29" s="369">
        <f t="shared" si="8"/>
        <v>5</v>
      </c>
      <c r="AY29" s="369">
        <f t="shared" si="8"/>
        <v>5</v>
      </c>
      <c r="AZ29" s="369">
        <f t="shared" si="8"/>
        <v>5</v>
      </c>
      <c r="BA29" s="369">
        <f t="shared" si="8"/>
        <v>5</v>
      </c>
      <c r="BB29" s="369">
        <f t="shared" si="8"/>
        <v>4</v>
      </c>
      <c r="BC29" s="369">
        <f t="shared" si="8"/>
        <v>4</v>
      </c>
      <c r="BD29" s="369">
        <f t="shared" si="8"/>
        <v>4</v>
      </c>
      <c r="BE29" s="369">
        <f t="shared" si="8"/>
        <v>4</v>
      </c>
      <c r="BF29" s="369">
        <f t="shared" si="8"/>
        <v>4</v>
      </c>
      <c r="BG29" s="369">
        <f t="shared" si="8"/>
        <v>4</v>
      </c>
      <c r="BH29" s="369">
        <f t="shared" si="8"/>
        <v>4</v>
      </c>
      <c r="BI29" s="369">
        <f t="shared" si="8"/>
        <v>4</v>
      </c>
      <c r="BJ29" s="369">
        <f t="shared" si="8"/>
        <v>4</v>
      </c>
      <c r="BK29" s="369">
        <f t="shared" si="8"/>
        <v>4</v>
      </c>
      <c r="BL29" s="369">
        <f t="shared" si="8"/>
        <v>4</v>
      </c>
      <c r="BM29" s="369">
        <f t="shared" si="8"/>
        <v>4</v>
      </c>
      <c r="BN29" s="369">
        <f t="shared" si="8"/>
        <v>4</v>
      </c>
      <c r="BO29" s="369">
        <f t="shared" si="8"/>
        <v>4</v>
      </c>
      <c r="BP29" s="369">
        <f t="shared" si="8"/>
        <v>4</v>
      </c>
      <c r="BQ29" s="369">
        <f t="shared" si="8"/>
        <v>4</v>
      </c>
      <c r="BR29" s="369">
        <f t="shared" si="8"/>
        <v>4</v>
      </c>
      <c r="BS29" s="369">
        <f t="shared" si="8"/>
        <v>4</v>
      </c>
      <c r="BT29" s="369">
        <f t="shared" si="8"/>
        <v>4</v>
      </c>
      <c r="BU29" s="369">
        <f t="shared" si="8"/>
        <v>4</v>
      </c>
      <c r="BV29" s="369">
        <f t="shared" si="8"/>
        <v>4</v>
      </c>
      <c r="BW29" s="369">
        <f t="shared" si="8"/>
        <v>4</v>
      </c>
      <c r="BX29" s="369">
        <f t="shared" si="8"/>
        <v>4</v>
      </c>
      <c r="BY29" s="369">
        <f t="shared" si="8"/>
        <v>4</v>
      </c>
      <c r="BZ29" s="369">
        <f t="shared" si="8"/>
        <v>0</v>
      </c>
      <c r="CA29" s="369">
        <f t="shared" si="8"/>
        <v>0</v>
      </c>
      <c r="CB29" s="369">
        <f t="shared" si="8"/>
        <v>0</v>
      </c>
      <c r="CC29" s="369">
        <f t="shared" si="8"/>
        <v>0</v>
      </c>
      <c r="CD29" s="369">
        <f t="shared" si="8"/>
        <v>0</v>
      </c>
      <c r="CE29" s="369">
        <f t="shared" si="8"/>
        <v>0</v>
      </c>
      <c r="CF29" s="369">
        <f t="shared" si="8"/>
        <v>0</v>
      </c>
      <c r="CG29" s="369">
        <f t="shared" si="8"/>
        <v>0</v>
      </c>
      <c r="CH29" s="369">
        <f t="shared" si="8"/>
        <v>0</v>
      </c>
      <c r="CI29" s="370">
        <f>SUM(CI24:CI28)</f>
        <v>57</v>
      </c>
      <c r="CJ29" s="338"/>
      <c r="CK29" s="338"/>
      <c r="CL29" s="338"/>
    </row>
    <row r="30" ht="14.25" customHeight="1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40"/>
      <c r="N30" s="338"/>
      <c r="O30" s="338"/>
      <c r="P30" s="338"/>
      <c r="Q30" s="338"/>
      <c r="R30" s="338"/>
      <c r="S30" s="338"/>
      <c r="T30" s="338"/>
      <c r="U30" s="338"/>
      <c r="V30" s="338"/>
      <c r="W30" s="338"/>
      <c r="X30" s="338"/>
      <c r="Y30" s="338"/>
      <c r="Z30" s="338"/>
      <c r="AA30" s="338"/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338"/>
      <c r="AU30" s="338"/>
      <c r="AV30" s="338"/>
      <c r="AW30" s="338"/>
      <c r="AX30" s="338"/>
      <c r="AY30" s="338"/>
      <c r="AZ30" s="338"/>
      <c r="BA30" s="338"/>
      <c r="BB30" s="338"/>
      <c r="BC30" s="338"/>
      <c r="BD30" s="338"/>
      <c r="BE30" s="338"/>
      <c r="BF30" s="338"/>
      <c r="BG30" s="338"/>
      <c r="BH30" s="338"/>
      <c r="BI30" s="338"/>
      <c r="BJ30" s="338"/>
      <c r="BK30" s="338"/>
      <c r="BL30" s="338"/>
      <c r="BM30" s="338"/>
      <c r="BN30" s="338"/>
      <c r="BO30" s="338"/>
      <c r="BP30" s="338"/>
      <c r="BQ30" s="338"/>
      <c r="BR30" s="338"/>
      <c r="BS30" s="338"/>
      <c r="BT30" s="338"/>
      <c r="BU30" s="338"/>
      <c r="BV30" s="338"/>
      <c r="BW30" s="338"/>
      <c r="BX30" s="338"/>
      <c r="BY30" s="338"/>
      <c r="BZ30" s="338"/>
      <c r="CA30" s="338"/>
      <c r="CB30" s="338"/>
      <c r="CC30" s="338"/>
      <c r="CD30" s="338"/>
      <c r="CE30" s="338"/>
      <c r="CF30" s="338"/>
      <c r="CG30" s="338"/>
      <c r="CH30" s="338"/>
      <c r="CI30" s="338"/>
      <c r="CJ30" s="338"/>
      <c r="CK30" s="338"/>
      <c r="CL30" s="338"/>
    </row>
    <row r="31" ht="14.25" customHeight="1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40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38"/>
      <c r="AY31" s="338"/>
      <c r="AZ31" s="338"/>
      <c r="BA31" s="338"/>
      <c r="BB31" s="338"/>
      <c r="BC31" s="338"/>
      <c r="BD31" s="338"/>
      <c r="BE31" s="338"/>
      <c r="BF31" s="338"/>
      <c r="BG31" s="338"/>
      <c r="BH31" s="338"/>
      <c r="BI31" s="338"/>
      <c r="BJ31" s="338"/>
      <c r="BK31" s="338"/>
      <c r="BL31" s="338"/>
      <c r="BM31" s="338"/>
      <c r="BN31" s="338"/>
      <c r="BO31" s="338"/>
      <c r="BP31" s="338"/>
      <c r="BQ31" s="338"/>
      <c r="BR31" s="338"/>
      <c r="BS31" s="338"/>
      <c r="BT31" s="338"/>
      <c r="BU31" s="338"/>
      <c r="BV31" s="338"/>
      <c r="BW31" s="338"/>
      <c r="BX31" s="338"/>
      <c r="BY31" s="338"/>
      <c r="BZ31" s="338"/>
      <c r="CA31" s="338"/>
      <c r="CB31" s="338"/>
      <c r="CC31" s="338"/>
      <c r="CD31" s="338"/>
      <c r="CE31" s="338"/>
      <c r="CF31" s="338"/>
      <c r="CG31" s="338"/>
      <c r="CH31" s="338"/>
      <c r="CI31" s="338"/>
      <c r="CJ31" s="338"/>
      <c r="CK31" s="338"/>
      <c r="CL31" s="338"/>
    </row>
    <row r="32" ht="14.25" customHeight="1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40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  <c r="Z32" s="338"/>
      <c r="AA32" s="338"/>
      <c r="AB32" s="338"/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8"/>
      <c r="AN32" s="338"/>
      <c r="AO32" s="338"/>
      <c r="AP32" s="338"/>
      <c r="AQ32" s="338"/>
      <c r="AR32" s="338"/>
      <c r="AS32" s="338"/>
      <c r="AT32" s="338"/>
      <c r="AU32" s="338"/>
      <c r="AV32" s="338"/>
      <c r="AW32" s="338"/>
      <c r="AX32" s="338"/>
      <c r="AY32" s="338"/>
      <c r="AZ32" s="338"/>
      <c r="BA32" s="338"/>
      <c r="BB32" s="338"/>
      <c r="BC32" s="338"/>
      <c r="BD32" s="338"/>
      <c r="BE32" s="338"/>
      <c r="BF32" s="338"/>
      <c r="BG32" s="338"/>
      <c r="BH32" s="338"/>
      <c r="BI32" s="338"/>
      <c r="BJ32" s="338"/>
      <c r="BK32" s="338"/>
      <c r="BL32" s="338"/>
      <c r="BM32" s="338"/>
      <c r="BN32" s="338"/>
      <c r="BO32" s="338"/>
      <c r="BP32" s="338"/>
      <c r="BQ32" s="338"/>
      <c r="BR32" s="338"/>
      <c r="BS32" s="338"/>
      <c r="BT32" s="338"/>
      <c r="BU32" s="338"/>
      <c r="BV32" s="338"/>
      <c r="BW32" s="338"/>
      <c r="BX32" s="338"/>
      <c r="BY32" s="338"/>
      <c r="BZ32" s="338"/>
      <c r="CA32" s="338"/>
      <c r="CB32" s="338"/>
      <c r="CC32" s="338"/>
      <c r="CD32" s="338"/>
      <c r="CE32" s="338"/>
      <c r="CF32" s="338"/>
      <c r="CG32" s="338"/>
      <c r="CH32" s="338"/>
      <c r="CI32" s="338"/>
      <c r="CJ32" s="338"/>
      <c r="CK32" s="338"/>
      <c r="CL32" s="338"/>
    </row>
    <row r="33" ht="14.25" customHeight="1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40"/>
      <c r="N33" s="338"/>
      <c r="O33" s="338"/>
      <c r="P33" s="338"/>
      <c r="Q33" s="338"/>
      <c r="R33" s="338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8"/>
      <c r="AN33" s="338"/>
      <c r="AO33" s="338"/>
      <c r="AP33" s="338"/>
      <c r="AQ33" s="338"/>
      <c r="AR33" s="338"/>
      <c r="AS33" s="338"/>
      <c r="AT33" s="338"/>
      <c r="AU33" s="338"/>
      <c r="AV33" s="338"/>
      <c r="AW33" s="338"/>
      <c r="AX33" s="338"/>
      <c r="AY33" s="338"/>
      <c r="AZ33" s="338"/>
      <c r="BA33" s="338"/>
      <c r="BB33" s="338"/>
      <c r="BC33" s="338"/>
      <c r="BD33" s="338"/>
      <c r="BE33" s="338"/>
      <c r="BF33" s="338"/>
      <c r="BG33" s="338"/>
      <c r="BH33" s="338"/>
      <c r="BI33" s="338"/>
      <c r="BJ33" s="338"/>
      <c r="BK33" s="338"/>
      <c r="BL33" s="338"/>
      <c r="BM33" s="338"/>
      <c r="BN33" s="338"/>
      <c r="BO33" s="338"/>
      <c r="BP33" s="338"/>
      <c r="BQ33" s="338"/>
      <c r="BR33" s="338"/>
      <c r="BS33" s="338"/>
      <c r="BT33" s="338"/>
      <c r="BU33" s="338"/>
      <c r="BV33" s="338"/>
      <c r="BW33" s="338"/>
      <c r="BX33" s="338"/>
      <c r="BY33" s="338"/>
      <c r="BZ33" s="338"/>
      <c r="CA33" s="338"/>
      <c r="CB33" s="338"/>
      <c r="CC33" s="338"/>
      <c r="CD33" s="338"/>
      <c r="CE33" s="338"/>
      <c r="CF33" s="338"/>
      <c r="CG33" s="338"/>
      <c r="CH33" s="338"/>
      <c r="CI33" s="338"/>
      <c r="CJ33" s="338"/>
      <c r="CK33" s="338"/>
      <c r="CL33" s="338"/>
    </row>
    <row r="34" ht="14.25" customHeight="1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40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38"/>
      <c r="AY34" s="338"/>
      <c r="AZ34" s="338"/>
      <c r="BA34" s="338"/>
      <c r="BB34" s="338"/>
      <c r="BC34" s="338"/>
      <c r="BD34" s="338"/>
      <c r="BE34" s="338"/>
      <c r="BF34" s="338"/>
      <c r="BG34" s="338"/>
      <c r="BH34" s="338"/>
      <c r="BI34" s="338"/>
      <c r="BJ34" s="338"/>
      <c r="BK34" s="338"/>
      <c r="BL34" s="338"/>
      <c r="BM34" s="338"/>
      <c r="BN34" s="338"/>
      <c r="BO34" s="338"/>
      <c r="BP34" s="338"/>
      <c r="BQ34" s="338"/>
      <c r="BR34" s="338"/>
      <c r="BS34" s="338"/>
      <c r="BT34" s="338"/>
      <c r="BU34" s="338"/>
      <c r="BV34" s="338"/>
      <c r="BW34" s="338"/>
      <c r="BX34" s="338"/>
      <c r="BY34" s="338"/>
      <c r="BZ34" s="338"/>
      <c r="CA34" s="338"/>
      <c r="CB34" s="338"/>
      <c r="CC34" s="338"/>
      <c r="CD34" s="338"/>
      <c r="CE34" s="338"/>
      <c r="CF34" s="338"/>
      <c r="CG34" s="338"/>
      <c r="CH34" s="338"/>
      <c r="CI34" s="338"/>
      <c r="CJ34" s="338"/>
      <c r="CK34" s="338"/>
      <c r="CL34" s="338"/>
    </row>
    <row r="35" ht="14.25" customHeight="1">
      <c r="A35" s="338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40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8"/>
      <c r="Y35" s="338"/>
      <c r="Z35" s="338"/>
      <c r="AA35" s="338"/>
      <c r="AB35" s="338"/>
      <c r="AC35" s="338"/>
      <c r="AD35" s="338"/>
      <c r="AE35" s="338"/>
      <c r="AF35" s="338"/>
      <c r="AG35" s="338"/>
      <c r="AH35" s="338"/>
      <c r="AI35" s="338"/>
      <c r="AJ35" s="338"/>
      <c r="AK35" s="338"/>
      <c r="AL35" s="338"/>
      <c r="AM35" s="338"/>
      <c r="AN35" s="338"/>
      <c r="AO35" s="338"/>
      <c r="AP35" s="338"/>
      <c r="AQ35" s="338"/>
      <c r="AR35" s="338"/>
      <c r="AS35" s="338"/>
      <c r="AT35" s="338"/>
      <c r="AU35" s="338"/>
      <c r="AV35" s="338"/>
      <c r="AW35" s="338"/>
      <c r="AX35" s="338"/>
      <c r="AY35" s="338"/>
      <c r="AZ35" s="338"/>
      <c r="BA35" s="338"/>
      <c r="BB35" s="338"/>
      <c r="BC35" s="338"/>
      <c r="BD35" s="338"/>
      <c r="BE35" s="338"/>
      <c r="BF35" s="338"/>
      <c r="BG35" s="338"/>
      <c r="BH35" s="338"/>
      <c r="BI35" s="338"/>
      <c r="BJ35" s="338"/>
      <c r="BK35" s="338"/>
      <c r="BL35" s="338"/>
      <c r="BM35" s="338"/>
      <c r="BN35" s="338"/>
      <c r="BO35" s="338"/>
      <c r="BP35" s="338"/>
      <c r="BQ35" s="338"/>
      <c r="BR35" s="338"/>
      <c r="BS35" s="338"/>
      <c r="BT35" s="338"/>
      <c r="BU35" s="338"/>
      <c r="BV35" s="338"/>
      <c r="BW35" s="338"/>
      <c r="BX35" s="338"/>
      <c r="BY35" s="338"/>
      <c r="BZ35" s="338"/>
      <c r="CA35" s="338"/>
      <c r="CB35" s="338"/>
      <c r="CC35" s="338"/>
      <c r="CD35" s="338"/>
      <c r="CE35" s="338"/>
      <c r="CF35" s="338"/>
      <c r="CG35" s="338"/>
      <c r="CH35" s="338"/>
      <c r="CI35" s="338"/>
      <c r="CJ35" s="338"/>
      <c r="CK35" s="338"/>
      <c r="CL35" s="338"/>
    </row>
    <row r="36" ht="14.25" customHeight="1">
      <c r="A36" s="338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40"/>
      <c r="N36" s="338"/>
      <c r="O36" s="338"/>
      <c r="P36" s="338"/>
      <c r="Q36" s="338"/>
      <c r="R36" s="338"/>
      <c r="S36" s="338"/>
      <c r="T36" s="338"/>
      <c r="U36" s="338"/>
      <c r="V36" s="338"/>
      <c r="W36" s="338"/>
      <c r="X36" s="338"/>
      <c r="Y36" s="338"/>
      <c r="Z36" s="338"/>
      <c r="AA36" s="338"/>
      <c r="AB36" s="338"/>
      <c r="AC36" s="338"/>
      <c r="AD36" s="338"/>
      <c r="AE36" s="338"/>
      <c r="AF36" s="338"/>
      <c r="AG36" s="338"/>
      <c r="AH36" s="338"/>
      <c r="AI36" s="338"/>
      <c r="AJ36" s="338"/>
      <c r="AK36" s="338"/>
      <c r="AL36" s="338"/>
      <c r="AM36" s="338"/>
      <c r="AN36" s="338"/>
      <c r="AO36" s="338"/>
      <c r="AP36" s="338"/>
      <c r="AQ36" s="338"/>
      <c r="AR36" s="338"/>
      <c r="AS36" s="338"/>
      <c r="AT36" s="338"/>
      <c r="AU36" s="338"/>
      <c r="AV36" s="338"/>
      <c r="AW36" s="338"/>
      <c r="AX36" s="338"/>
      <c r="AY36" s="338"/>
      <c r="AZ36" s="338"/>
      <c r="BA36" s="338"/>
      <c r="BB36" s="338"/>
      <c r="BC36" s="338"/>
      <c r="BD36" s="338"/>
      <c r="BE36" s="338"/>
      <c r="BF36" s="338"/>
      <c r="BG36" s="338"/>
      <c r="BH36" s="338"/>
      <c r="BI36" s="338"/>
      <c r="BJ36" s="338"/>
      <c r="BK36" s="338"/>
      <c r="BL36" s="338"/>
      <c r="BM36" s="338"/>
      <c r="BN36" s="338"/>
      <c r="BO36" s="338"/>
      <c r="BP36" s="338"/>
      <c r="BQ36" s="338"/>
      <c r="BR36" s="338"/>
      <c r="BS36" s="338"/>
      <c r="BT36" s="338"/>
      <c r="BU36" s="338"/>
      <c r="BV36" s="338"/>
      <c r="BW36" s="338"/>
      <c r="BX36" s="338"/>
      <c r="BY36" s="338"/>
      <c r="BZ36" s="338"/>
      <c r="CA36" s="338"/>
      <c r="CB36" s="338"/>
      <c r="CC36" s="338"/>
      <c r="CD36" s="338"/>
      <c r="CE36" s="338"/>
      <c r="CF36" s="338"/>
      <c r="CG36" s="338"/>
      <c r="CH36" s="338"/>
      <c r="CI36" s="338"/>
      <c r="CJ36" s="338"/>
      <c r="CK36" s="338"/>
      <c r="CL36" s="338"/>
    </row>
    <row r="37" ht="14.25" customHeight="1">
      <c r="A37" s="338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40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38"/>
      <c r="AY37" s="338"/>
      <c r="AZ37" s="338"/>
      <c r="BA37" s="338"/>
      <c r="BB37" s="338"/>
      <c r="BC37" s="338"/>
      <c r="BD37" s="338"/>
      <c r="BE37" s="338"/>
      <c r="BF37" s="338"/>
      <c r="BG37" s="338"/>
      <c r="BH37" s="338"/>
      <c r="BI37" s="338"/>
      <c r="BJ37" s="338"/>
      <c r="BK37" s="338"/>
      <c r="BL37" s="338"/>
      <c r="BM37" s="338"/>
      <c r="BN37" s="338"/>
      <c r="BO37" s="338"/>
      <c r="BP37" s="338"/>
      <c r="BQ37" s="338"/>
      <c r="BR37" s="338"/>
      <c r="BS37" s="338"/>
      <c r="BT37" s="338"/>
      <c r="BU37" s="338"/>
      <c r="BV37" s="338"/>
      <c r="BW37" s="338"/>
      <c r="BX37" s="338"/>
      <c r="BY37" s="338"/>
      <c r="BZ37" s="338"/>
      <c r="CA37" s="338"/>
      <c r="CB37" s="338"/>
      <c r="CC37" s="338"/>
      <c r="CD37" s="338"/>
      <c r="CE37" s="338"/>
      <c r="CF37" s="338"/>
      <c r="CG37" s="338"/>
      <c r="CH37" s="338"/>
      <c r="CI37" s="338"/>
      <c r="CJ37" s="338"/>
      <c r="CK37" s="338"/>
      <c r="CL37" s="338"/>
    </row>
    <row r="38" ht="14.25" customHeight="1">
      <c r="A38" s="338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40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/>
      <c r="AA38" s="338"/>
      <c r="AB38" s="338"/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/>
      <c r="AY38" s="338"/>
      <c r="AZ38" s="338"/>
      <c r="BA38" s="338"/>
      <c r="BB38" s="338"/>
      <c r="BC38" s="338"/>
      <c r="BD38" s="338"/>
      <c r="BE38" s="338"/>
      <c r="BF38" s="338"/>
      <c r="BG38" s="338"/>
      <c r="BH38" s="338"/>
      <c r="BI38" s="338"/>
      <c r="BJ38" s="338"/>
      <c r="BK38" s="338"/>
      <c r="BL38" s="338"/>
      <c r="BM38" s="338"/>
      <c r="BN38" s="338"/>
      <c r="BO38" s="338"/>
      <c r="BP38" s="338"/>
      <c r="BQ38" s="338"/>
      <c r="BR38" s="338"/>
      <c r="BS38" s="338"/>
      <c r="BT38" s="338"/>
      <c r="BU38" s="338"/>
      <c r="BV38" s="338"/>
      <c r="BW38" s="338"/>
      <c r="BX38" s="338"/>
      <c r="BY38" s="338"/>
      <c r="BZ38" s="338"/>
      <c r="CA38" s="338"/>
      <c r="CB38" s="338"/>
      <c r="CC38" s="338"/>
      <c r="CD38" s="338"/>
      <c r="CE38" s="338"/>
      <c r="CF38" s="338"/>
      <c r="CG38" s="338"/>
      <c r="CH38" s="338"/>
      <c r="CI38" s="338"/>
      <c r="CJ38" s="338"/>
      <c r="CK38" s="338"/>
      <c r="CL38" s="338"/>
    </row>
    <row r="39" ht="14.25" customHeight="1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40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8"/>
      <c r="Z39" s="338"/>
      <c r="AA39" s="338"/>
      <c r="AB39" s="338"/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38"/>
      <c r="AV39" s="338"/>
      <c r="AW39" s="338"/>
      <c r="AX39" s="338"/>
      <c r="AY39" s="338"/>
      <c r="AZ39" s="338"/>
      <c r="BA39" s="338"/>
      <c r="BB39" s="338"/>
      <c r="BC39" s="338"/>
      <c r="BD39" s="338"/>
      <c r="BE39" s="338"/>
      <c r="BF39" s="338"/>
      <c r="BG39" s="338"/>
      <c r="BH39" s="338"/>
      <c r="BI39" s="338"/>
      <c r="BJ39" s="338"/>
      <c r="BK39" s="338"/>
      <c r="BL39" s="338"/>
      <c r="BM39" s="338"/>
      <c r="BN39" s="338"/>
      <c r="BO39" s="338"/>
      <c r="BP39" s="338"/>
      <c r="BQ39" s="338"/>
      <c r="BR39" s="338"/>
      <c r="BS39" s="338"/>
      <c r="BT39" s="338"/>
      <c r="BU39" s="338"/>
      <c r="BV39" s="338"/>
      <c r="BW39" s="338"/>
      <c r="BX39" s="338"/>
      <c r="BY39" s="338"/>
      <c r="BZ39" s="338"/>
      <c r="CA39" s="338"/>
      <c r="CB39" s="338"/>
      <c r="CC39" s="338"/>
      <c r="CD39" s="338"/>
      <c r="CE39" s="338"/>
      <c r="CF39" s="338"/>
      <c r="CG39" s="338"/>
      <c r="CH39" s="338"/>
      <c r="CI39" s="338"/>
      <c r="CJ39" s="338"/>
      <c r="CK39" s="338"/>
      <c r="CL39" s="338"/>
    </row>
    <row r="40" ht="14.25" customHeight="1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40"/>
      <c r="N40" s="338"/>
      <c r="O40" s="338"/>
      <c r="P40" s="338"/>
      <c r="Q40" s="338"/>
      <c r="R40" s="338"/>
      <c r="S40" s="338"/>
      <c r="T40" s="338"/>
      <c r="U40" s="338"/>
      <c r="V40" s="338"/>
      <c r="W40" s="338"/>
      <c r="X40" s="338"/>
      <c r="Y40" s="338"/>
      <c r="Z40" s="338"/>
      <c r="AA40" s="338"/>
      <c r="AB40" s="338"/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38"/>
      <c r="AV40" s="338"/>
      <c r="AW40" s="338"/>
      <c r="AX40" s="338"/>
      <c r="AY40" s="338"/>
      <c r="AZ40" s="338"/>
      <c r="BA40" s="338"/>
      <c r="BB40" s="338"/>
      <c r="BC40" s="338"/>
      <c r="BD40" s="338"/>
      <c r="BE40" s="338"/>
      <c r="BF40" s="338"/>
      <c r="BG40" s="338"/>
      <c r="BH40" s="338"/>
      <c r="BI40" s="338"/>
      <c r="BJ40" s="338"/>
      <c r="BK40" s="338"/>
      <c r="BL40" s="338"/>
      <c r="BM40" s="338"/>
      <c r="BN40" s="338"/>
      <c r="BO40" s="338"/>
      <c r="BP40" s="338"/>
      <c r="BQ40" s="338"/>
      <c r="BR40" s="338"/>
      <c r="BS40" s="338"/>
      <c r="BT40" s="338"/>
      <c r="BU40" s="338"/>
      <c r="BV40" s="338"/>
      <c r="BW40" s="338"/>
      <c r="BX40" s="338"/>
      <c r="BY40" s="338"/>
      <c r="BZ40" s="338"/>
      <c r="CA40" s="338"/>
      <c r="CB40" s="338"/>
      <c r="CC40" s="338"/>
      <c r="CD40" s="338"/>
      <c r="CE40" s="338"/>
      <c r="CF40" s="338"/>
      <c r="CG40" s="338"/>
      <c r="CH40" s="338"/>
      <c r="CI40" s="338"/>
      <c r="CJ40" s="338"/>
      <c r="CK40" s="338"/>
      <c r="CL40" s="338"/>
    </row>
    <row r="41" ht="14.25" customHeight="1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40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8"/>
      <c r="Y41" s="338"/>
      <c r="Z41" s="338"/>
      <c r="AA41" s="338"/>
      <c r="AB41" s="338"/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/>
      <c r="AU41" s="338"/>
      <c r="AV41" s="338"/>
      <c r="AW41" s="338"/>
      <c r="AX41" s="338"/>
      <c r="AY41" s="338"/>
      <c r="AZ41" s="338"/>
      <c r="BA41" s="338"/>
      <c r="BB41" s="338"/>
      <c r="BC41" s="338"/>
      <c r="BD41" s="338"/>
      <c r="BE41" s="338"/>
      <c r="BF41" s="338"/>
      <c r="BG41" s="338"/>
      <c r="BH41" s="338"/>
      <c r="BI41" s="338"/>
      <c r="BJ41" s="338"/>
      <c r="BK41" s="338"/>
      <c r="BL41" s="338"/>
      <c r="BM41" s="338"/>
      <c r="BN41" s="338"/>
      <c r="BO41" s="338"/>
      <c r="BP41" s="338"/>
      <c r="BQ41" s="338"/>
      <c r="BR41" s="338"/>
      <c r="BS41" s="338"/>
      <c r="BT41" s="338"/>
      <c r="BU41" s="338"/>
      <c r="BV41" s="338"/>
      <c r="BW41" s="338"/>
      <c r="BX41" s="338"/>
      <c r="BY41" s="338"/>
      <c r="BZ41" s="338"/>
      <c r="CA41" s="338"/>
      <c r="CB41" s="338"/>
      <c r="CC41" s="338"/>
      <c r="CD41" s="338"/>
      <c r="CE41" s="338"/>
      <c r="CF41" s="338"/>
      <c r="CG41" s="338"/>
      <c r="CH41" s="338"/>
      <c r="CI41" s="338"/>
      <c r="CJ41" s="338"/>
      <c r="CK41" s="338"/>
      <c r="CL41" s="338"/>
    </row>
    <row r="42" ht="14.25" customHeight="1">
      <c r="A42" s="338"/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40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  <c r="Z42" s="338"/>
      <c r="AA42" s="338"/>
      <c r="AB42" s="338"/>
      <c r="AC42" s="338"/>
      <c r="AD42" s="338"/>
      <c r="AE42" s="338"/>
      <c r="AF42" s="338"/>
      <c r="AG42" s="338"/>
      <c r="AH42" s="338"/>
      <c r="AI42" s="338"/>
      <c r="AJ42" s="338"/>
      <c r="AK42" s="338"/>
      <c r="AL42" s="338"/>
      <c r="AM42" s="338"/>
      <c r="AN42" s="338"/>
      <c r="AO42" s="338"/>
      <c r="AP42" s="338"/>
      <c r="AQ42" s="338"/>
      <c r="AR42" s="338"/>
      <c r="AS42" s="338"/>
      <c r="AT42" s="338"/>
      <c r="AU42" s="338"/>
      <c r="AV42" s="338"/>
      <c r="AW42" s="338"/>
      <c r="AX42" s="338"/>
      <c r="AY42" s="338"/>
      <c r="AZ42" s="338"/>
      <c r="BA42" s="338"/>
      <c r="BB42" s="338"/>
      <c r="BC42" s="338"/>
      <c r="BD42" s="338"/>
      <c r="BE42" s="338"/>
      <c r="BF42" s="338"/>
      <c r="BG42" s="338"/>
      <c r="BH42" s="338"/>
      <c r="BI42" s="338"/>
      <c r="BJ42" s="338"/>
      <c r="BK42" s="338"/>
      <c r="BL42" s="338"/>
      <c r="BM42" s="338"/>
      <c r="BN42" s="338"/>
      <c r="BO42" s="338"/>
      <c r="BP42" s="338"/>
      <c r="BQ42" s="338"/>
      <c r="BR42" s="338"/>
      <c r="BS42" s="338"/>
      <c r="BT42" s="338"/>
      <c r="BU42" s="338"/>
      <c r="BV42" s="338"/>
      <c r="BW42" s="338"/>
      <c r="BX42" s="338"/>
      <c r="BY42" s="338"/>
      <c r="BZ42" s="338"/>
      <c r="CA42" s="338"/>
      <c r="CB42" s="338"/>
      <c r="CC42" s="338"/>
      <c r="CD42" s="338"/>
      <c r="CE42" s="338"/>
      <c r="CF42" s="338"/>
      <c r="CG42" s="338"/>
      <c r="CH42" s="338"/>
      <c r="CI42" s="338"/>
      <c r="CJ42" s="338"/>
      <c r="CK42" s="338"/>
      <c r="CL42" s="338"/>
    </row>
    <row r="43" ht="14.25" customHeight="1">
      <c r="A43" s="338"/>
      <c r="B43" s="338"/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40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  <c r="AA43" s="338"/>
      <c r="AB43" s="338"/>
      <c r="AC43" s="338"/>
      <c r="AD43" s="338"/>
      <c r="AE43" s="338"/>
      <c r="AF43" s="338"/>
      <c r="AG43" s="338"/>
      <c r="AH43" s="338"/>
      <c r="AI43" s="338"/>
      <c r="AJ43" s="338"/>
      <c r="AK43" s="338"/>
      <c r="AL43" s="338"/>
      <c r="AM43" s="338"/>
      <c r="AN43" s="338"/>
      <c r="AO43" s="338"/>
      <c r="AP43" s="338"/>
      <c r="AQ43" s="338"/>
      <c r="AR43" s="338"/>
      <c r="AS43" s="338"/>
      <c r="AT43" s="338"/>
      <c r="AU43" s="338"/>
      <c r="AV43" s="338"/>
      <c r="AW43" s="338"/>
      <c r="AX43" s="338"/>
      <c r="AY43" s="338"/>
      <c r="AZ43" s="338"/>
      <c r="BA43" s="338"/>
      <c r="BB43" s="338"/>
      <c r="BC43" s="338"/>
      <c r="BD43" s="338"/>
      <c r="BE43" s="338"/>
      <c r="BF43" s="338"/>
      <c r="BG43" s="338"/>
      <c r="BH43" s="338"/>
      <c r="BI43" s="338"/>
      <c r="BJ43" s="338"/>
      <c r="BK43" s="338"/>
      <c r="BL43" s="338"/>
      <c r="BM43" s="338"/>
      <c r="BN43" s="338"/>
      <c r="BO43" s="338"/>
      <c r="BP43" s="338"/>
      <c r="BQ43" s="338"/>
      <c r="BR43" s="338"/>
      <c r="BS43" s="338"/>
      <c r="BT43" s="338"/>
      <c r="BU43" s="338"/>
      <c r="BV43" s="338"/>
      <c r="BW43" s="338"/>
      <c r="BX43" s="338"/>
      <c r="BY43" s="338"/>
      <c r="BZ43" s="338"/>
      <c r="CA43" s="338"/>
      <c r="CB43" s="338"/>
      <c r="CC43" s="338"/>
      <c r="CD43" s="338"/>
      <c r="CE43" s="338"/>
      <c r="CF43" s="338"/>
      <c r="CG43" s="338"/>
      <c r="CH43" s="338"/>
      <c r="CI43" s="338"/>
      <c r="CJ43" s="338"/>
      <c r="CK43" s="338"/>
      <c r="CL43" s="338"/>
    </row>
    <row r="44" ht="14.25" customHeight="1">
      <c r="A44" s="338"/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40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  <c r="AA44" s="338"/>
      <c r="AB44" s="338"/>
      <c r="AC44" s="338"/>
      <c r="AD44" s="338"/>
      <c r="AE44" s="338"/>
      <c r="AF44" s="338"/>
      <c r="AG44" s="338"/>
      <c r="AH44" s="338"/>
      <c r="AI44" s="338"/>
      <c r="AJ44" s="338"/>
      <c r="AK44" s="338"/>
      <c r="AL44" s="338"/>
      <c r="AM44" s="338"/>
      <c r="AN44" s="338"/>
      <c r="AO44" s="338"/>
      <c r="AP44" s="338"/>
      <c r="AQ44" s="338"/>
      <c r="AR44" s="338"/>
      <c r="AS44" s="338"/>
      <c r="AT44" s="338"/>
      <c r="AU44" s="338"/>
      <c r="AV44" s="338"/>
      <c r="AW44" s="338"/>
      <c r="AX44" s="338"/>
      <c r="AY44" s="338"/>
      <c r="AZ44" s="338"/>
      <c r="BA44" s="338"/>
      <c r="BB44" s="338"/>
      <c r="BC44" s="338"/>
      <c r="BD44" s="338"/>
      <c r="BE44" s="338"/>
      <c r="BF44" s="338"/>
      <c r="BG44" s="338"/>
      <c r="BH44" s="338"/>
      <c r="BI44" s="338"/>
      <c r="BJ44" s="338"/>
      <c r="BK44" s="338"/>
      <c r="BL44" s="338"/>
      <c r="BM44" s="338"/>
      <c r="BN44" s="338"/>
      <c r="BO44" s="338"/>
      <c r="BP44" s="338"/>
      <c r="BQ44" s="338"/>
      <c r="BR44" s="338"/>
      <c r="BS44" s="338"/>
      <c r="BT44" s="338"/>
      <c r="BU44" s="338"/>
      <c r="BV44" s="338"/>
      <c r="BW44" s="338"/>
      <c r="BX44" s="338"/>
      <c r="BY44" s="338"/>
      <c r="BZ44" s="338"/>
      <c r="CA44" s="338"/>
      <c r="CB44" s="338"/>
      <c r="CC44" s="338"/>
      <c r="CD44" s="338"/>
      <c r="CE44" s="338"/>
      <c r="CF44" s="338"/>
      <c r="CG44" s="338"/>
      <c r="CH44" s="338"/>
      <c r="CI44" s="338"/>
      <c r="CJ44" s="338"/>
      <c r="CK44" s="338"/>
      <c r="CL44" s="338"/>
    </row>
    <row r="45" ht="14.25" customHeight="1">
      <c r="A45" s="338"/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40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  <c r="AA45" s="338"/>
      <c r="AB45" s="338"/>
      <c r="AC45" s="338"/>
      <c r="AD45" s="338"/>
      <c r="AE45" s="338"/>
      <c r="AF45" s="338"/>
      <c r="AG45" s="338"/>
      <c r="AH45" s="338"/>
      <c r="AI45" s="338"/>
      <c r="AJ45" s="338"/>
      <c r="AK45" s="338"/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  <c r="AV45" s="338"/>
      <c r="AW45" s="338"/>
      <c r="AX45" s="338"/>
      <c r="AY45" s="338"/>
      <c r="AZ45" s="338"/>
      <c r="BA45" s="338"/>
      <c r="BB45" s="338"/>
      <c r="BC45" s="338"/>
      <c r="BD45" s="338"/>
      <c r="BE45" s="338"/>
      <c r="BF45" s="338"/>
      <c r="BG45" s="338"/>
      <c r="BH45" s="338"/>
      <c r="BI45" s="338"/>
      <c r="BJ45" s="338"/>
      <c r="BK45" s="338"/>
      <c r="BL45" s="338"/>
      <c r="BM45" s="338"/>
      <c r="BN45" s="338"/>
      <c r="BO45" s="338"/>
      <c r="BP45" s="338"/>
      <c r="BQ45" s="338"/>
      <c r="BR45" s="338"/>
      <c r="BS45" s="338"/>
      <c r="BT45" s="338"/>
      <c r="BU45" s="338"/>
      <c r="BV45" s="338"/>
      <c r="BW45" s="338"/>
      <c r="BX45" s="338"/>
      <c r="BY45" s="338"/>
      <c r="BZ45" s="338"/>
      <c r="CA45" s="338"/>
      <c r="CB45" s="338"/>
      <c r="CC45" s="338"/>
      <c r="CD45" s="338"/>
      <c r="CE45" s="338"/>
      <c r="CF45" s="338"/>
      <c r="CG45" s="338"/>
      <c r="CH45" s="338"/>
      <c r="CI45" s="338"/>
      <c r="CJ45" s="338"/>
      <c r="CK45" s="338"/>
      <c r="CL45" s="338"/>
    </row>
    <row r="46" ht="14.2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40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  <c r="AA46" s="338"/>
      <c r="AB46" s="338"/>
      <c r="AC46" s="338"/>
      <c r="AD46" s="338"/>
      <c r="AE46" s="338"/>
      <c r="AF46" s="338"/>
      <c r="AG46" s="338"/>
      <c r="AH46" s="338"/>
      <c r="AI46" s="338"/>
      <c r="AJ46" s="338"/>
      <c r="AK46" s="338"/>
      <c r="AL46" s="338"/>
      <c r="AM46" s="338"/>
      <c r="AN46" s="338"/>
      <c r="AO46" s="338"/>
      <c r="AP46" s="338"/>
      <c r="AQ46" s="338"/>
      <c r="AR46" s="338"/>
      <c r="AS46" s="338"/>
      <c r="AT46" s="338"/>
      <c r="AU46" s="338"/>
      <c r="AV46" s="338"/>
      <c r="AW46" s="338"/>
      <c r="AX46" s="338"/>
      <c r="AY46" s="338"/>
      <c r="AZ46" s="338"/>
      <c r="BA46" s="338"/>
      <c r="BB46" s="338"/>
      <c r="BC46" s="338"/>
      <c r="BD46" s="338"/>
      <c r="BE46" s="338"/>
      <c r="BF46" s="338"/>
      <c r="BG46" s="338"/>
      <c r="BH46" s="338"/>
      <c r="BI46" s="338"/>
      <c r="BJ46" s="338"/>
      <c r="BK46" s="338"/>
      <c r="BL46" s="338"/>
      <c r="BM46" s="338"/>
      <c r="BN46" s="338"/>
      <c r="BO46" s="338"/>
      <c r="BP46" s="338"/>
      <c r="BQ46" s="338"/>
      <c r="BR46" s="338"/>
      <c r="BS46" s="338"/>
      <c r="BT46" s="338"/>
      <c r="BU46" s="338"/>
      <c r="BV46" s="338"/>
      <c r="BW46" s="338"/>
      <c r="BX46" s="338"/>
      <c r="BY46" s="338"/>
      <c r="BZ46" s="338"/>
      <c r="CA46" s="338"/>
      <c r="CB46" s="338"/>
      <c r="CC46" s="338"/>
      <c r="CD46" s="338"/>
      <c r="CE46" s="338"/>
      <c r="CF46" s="338"/>
      <c r="CG46" s="338"/>
      <c r="CH46" s="338"/>
      <c r="CI46" s="338"/>
      <c r="CJ46" s="338"/>
      <c r="CK46" s="338"/>
      <c r="CL46" s="338"/>
    </row>
    <row r="47" ht="14.2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40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  <c r="AA47" s="338"/>
      <c r="AB47" s="338"/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8"/>
      <c r="AQ47" s="338"/>
      <c r="AR47" s="338"/>
      <c r="AS47" s="338"/>
      <c r="AT47" s="338"/>
      <c r="AU47" s="338"/>
      <c r="AV47" s="338"/>
      <c r="AW47" s="338"/>
      <c r="AX47" s="338"/>
      <c r="AY47" s="338"/>
      <c r="AZ47" s="338"/>
      <c r="BA47" s="338"/>
      <c r="BB47" s="338"/>
      <c r="BC47" s="338"/>
      <c r="BD47" s="338"/>
      <c r="BE47" s="338"/>
      <c r="BF47" s="338"/>
      <c r="BG47" s="338"/>
      <c r="BH47" s="338"/>
      <c r="BI47" s="338"/>
      <c r="BJ47" s="338"/>
      <c r="BK47" s="338"/>
      <c r="BL47" s="338"/>
      <c r="BM47" s="338"/>
      <c r="BN47" s="338"/>
      <c r="BO47" s="338"/>
      <c r="BP47" s="338"/>
      <c r="BQ47" s="338"/>
      <c r="BR47" s="338"/>
      <c r="BS47" s="338"/>
      <c r="BT47" s="338"/>
      <c r="BU47" s="338"/>
      <c r="BV47" s="338"/>
      <c r="BW47" s="338"/>
      <c r="BX47" s="338"/>
      <c r="BY47" s="338"/>
      <c r="BZ47" s="338"/>
      <c r="CA47" s="338"/>
      <c r="CB47" s="338"/>
      <c r="CC47" s="338"/>
      <c r="CD47" s="338"/>
      <c r="CE47" s="338"/>
      <c r="CF47" s="338"/>
      <c r="CG47" s="338"/>
      <c r="CH47" s="338"/>
      <c r="CI47" s="338"/>
      <c r="CJ47" s="338"/>
      <c r="CK47" s="338"/>
      <c r="CL47" s="338"/>
    </row>
    <row r="48" ht="14.2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40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  <c r="AA48" s="338"/>
      <c r="AB48" s="338"/>
      <c r="AC48" s="338"/>
      <c r="AD48" s="338"/>
      <c r="AE48" s="338"/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  <c r="AV48" s="338"/>
      <c r="AW48" s="338"/>
      <c r="AX48" s="338"/>
      <c r="AY48" s="338"/>
      <c r="AZ48" s="338"/>
      <c r="BA48" s="338"/>
      <c r="BB48" s="338"/>
      <c r="BC48" s="338"/>
      <c r="BD48" s="338"/>
      <c r="BE48" s="338"/>
      <c r="BF48" s="338"/>
      <c r="BG48" s="338"/>
      <c r="BH48" s="338"/>
      <c r="BI48" s="338"/>
      <c r="BJ48" s="338"/>
      <c r="BK48" s="338"/>
      <c r="BL48" s="338"/>
      <c r="BM48" s="338"/>
      <c r="BN48" s="338"/>
      <c r="BO48" s="338"/>
      <c r="BP48" s="338"/>
      <c r="BQ48" s="338"/>
      <c r="BR48" s="338"/>
      <c r="BS48" s="338"/>
      <c r="BT48" s="338"/>
      <c r="BU48" s="338"/>
      <c r="BV48" s="338"/>
      <c r="BW48" s="338"/>
      <c r="BX48" s="338"/>
      <c r="BY48" s="338"/>
      <c r="BZ48" s="338"/>
      <c r="CA48" s="338"/>
      <c r="CB48" s="338"/>
      <c r="CC48" s="338"/>
      <c r="CD48" s="338"/>
      <c r="CE48" s="338"/>
      <c r="CF48" s="338"/>
      <c r="CG48" s="338"/>
      <c r="CH48" s="338"/>
      <c r="CI48" s="338"/>
      <c r="CJ48" s="338"/>
      <c r="CK48" s="338"/>
      <c r="CL48" s="338"/>
    </row>
    <row r="49" ht="14.2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40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  <c r="AA49" s="338"/>
      <c r="AB49" s="338"/>
      <c r="AC49" s="338"/>
      <c r="AD49" s="338"/>
      <c r="AE49" s="338"/>
      <c r="AF49" s="338"/>
      <c r="AG49" s="338"/>
      <c r="AH49" s="338"/>
      <c r="AI49" s="338"/>
      <c r="AJ49" s="338"/>
      <c r="AK49" s="338"/>
      <c r="AL49" s="338"/>
      <c r="AM49" s="338"/>
      <c r="AN49" s="338"/>
      <c r="AO49" s="338"/>
      <c r="AP49" s="338"/>
      <c r="AQ49" s="338"/>
      <c r="AR49" s="338"/>
      <c r="AS49" s="338"/>
      <c r="AT49" s="338"/>
      <c r="AU49" s="338"/>
      <c r="AV49" s="338"/>
      <c r="AW49" s="338"/>
      <c r="AX49" s="338"/>
      <c r="AY49" s="338"/>
      <c r="AZ49" s="338"/>
      <c r="BA49" s="338"/>
      <c r="BB49" s="338"/>
      <c r="BC49" s="338"/>
      <c r="BD49" s="338"/>
      <c r="BE49" s="338"/>
      <c r="BF49" s="338"/>
      <c r="BG49" s="338"/>
      <c r="BH49" s="338"/>
      <c r="BI49" s="338"/>
      <c r="BJ49" s="338"/>
      <c r="BK49" s="338"/>
      <c r="BL49" s="338"/>
      <c r="BM49" s="338"/>
      <c r="BN49" s="338"/>
      <c r="BO49" s="338"/>
      <c r="BP49" s="338"/>
      <c r="BQ49" s="338"/>
      <c r="BR49" s="338"/>
      <c r="BS49" s="338"/>
      <c r="BT49" s="338"/>
      <c r="BU49" s="338"/>
      <c r="BV49" s="338"/>
      <c r="BW49" s="338"/>
      <c r="BX49" s="338"/>
      <c r="BY49" s="338"/>
      <c r="BZ49" s="338"/>
      <c r="CA49" s="338"/>
      <c r="CB49" s="338"/>
      <c r="CC49" s="338"/>
      <c r="CD49" s="338"/>
      <c r="CE49" s="338"/>
      <c r="CF49" s="338"/>
      <c r="CG49" s="338"/>
      <c r="CH49" s="338"/>
      <c r="CI49" s="338"/>
      <c r="CJ49" s="338"/>
      <c r="CK49" s="338"/>
      <c r="CL49" s="338"/>
    </row>
    <row r="50" ht="14.2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40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  <c r="AA50" s="338"/>
      <c r="AB50" s="338"/>
      <c r="AC50" s="338"/>
      <c r="AD50" s="338"/>
      <c r="AE50" s="338"/>
      <c r="AF50" s="338"/>
      <c r="AG50" s="338"/>
      <c r="AH50" s="338"/>
      <c r="AI50" s="338"/>
      <c r="AJ50" s="338"/>
      <c r="AK50" s="338"/>
      <c r="AL50" s="338"/>
      <c r="AM50" s="338"/>
      <c r="AN50" s="338"/>
      <c r="AO50" s="338"/>
      <c r="AP50" s="338"/>
      <c r="AQ50" s="338"/>
      <c r="AR50" s="338"/>
      <c r="AS50" s="338"/>
      <c r="AT50" s="338"/>
      <c r="AU50" s="338"/>
      <c r="AV50" s="338"/>
      <c r="AW50" s="338"/>
      <c r="AX50" s="338"/>
      <c r="AY50" s="338"/>
      <c r="AZ50" s="338"/>
      <c r="BA50" s="338"/>
      <c r="BB50" s="338"/>
      <c r="BC50" s="338"/>
      <c r="BD50" s="338"/>
      <c r="BE50" s="338"/>
      <c r="BF50" s="338"/>
      <c r="BG50" s="338"/>
      <c r="BH50" s="338"/>
      <c r="BI50" s="338"/>
      <c r="BJ50" s="338"/>
      <c r="BK50" s="338"/>
      <c r="BL50" s="338"/>
      <c r="BM50" s="338"/>
      <c r="BN50" s="338"/>
      <c r="BO50" s="338"/>
      <c r="BP50" s="338"/>
      <c r="BQ50" s="338"/>
      <c r="BR50" s="338"/>
      <c r="BS50" s="338"/>
      <c r="BT50" s="338"/>
      <c r="BU50" s="338"/>
      <c r="BV50" s="338"/>
      <c r="BW50" s="338"/>
      <c r="BX50" s="338"/>
      <c r="BY50" s="338"/>
      <c r="BZ50" s="338"/>
      <c r="CA50" s="338"/>
      <c r="CB50" s="338"/>
      <c r="CC50" s="338"/>
      <c r="CD50" s="338"/>
      <c r="CE50" s="338"/>
      <c r="CF50" s="338"/>
      <c r="CG50" s="338"/>
      <c r="CH50" s="338"/>
      <c r="CI50" s="338"/>
      <c r="CJ50" s="338"/>
      <c r="CK50" s="338"/>
      <c r="CL50" s="338"/>
    </row>
    <row r="51" ht="14.25" customHeight="1">
      <c r="A51" s="338"/>
      <c r="B51" s="338"/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40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  <c r="AA51" s="338"/>
      <c r="AB51" s="338"/>
      <c r="AC51" s="338"/>
      <c r="AD51" s="338"/>
      <c r="AE51" s="338"/>
      <c r="AF51" s="338"/>
      <c r="AG51" s="338"/>
      <c r="AH51" s="338"/>
      <c r="AI51" s="338"/>
      <c r="AJ51" s="338"/>
      <c r="AK51" s="338"/>
      <c r="AL51" s="338"/>
      <c r="AM51" s="338"/>
      <c r="AN51" s="338"/>
      <c r="AO51" s="338"/>
      <c r="AP51" s="338"/>
      <c r="AQ51" s="338"/>
      <c r="AR51" s="338"/>
      <c r="AS51" s="338"/>
      <c r="AT51" s="338"/>
      <c r="AU51" s="338"/>
      <c r="AV51" s="338"/>
      <c r="AW51" s="338"/>
      <c r="AX51" s="338"/>
      <c r="AY51" s="338"/>
      <c r="AZ51" s="338"/>
      <c r="BA51" s="338"/>
      <c r="BB51" s="338"/>
      <c r="BC51" s="338"/>
      <c r="BD51" s="338"/>
      <c r="BE51" s="338"/>
      <c r="BF51" s="338"/>
      <c r="BG51" s="338"/>
      <c r="BH51" s="338"/>
      <c r="BI51" s="338"/>
      <c r="BJ51" s="338"/>
      <c r="BK51" s="338"/>
      <c r="BL51" s="338"/>
      <c r="BM51" s="338"/>
      <c r="BN51" s="338"/>
      <c r="BO51" s="338"/>
      <c r="BP51" s="338"/>
      <c r="BQ51" s="338"/>
      <c r="BR51" s="338"/>
      <c r="BS51" s="338"/>
      <c r="BT51" s="338"/>
      <c r="BU51" s="338"/>
      <c r="BV51" s="338"/>
      <c r="BW51" s="338"/>
      <c r="BX51" s="338"/>
      <c r="BY51" s="338"/>
      <c r="BZ51" s="338"/>
      <c r="CA51" s="338"/>
      <c r="CB51" s="338"/>
      <c r="CC51" s="338"/>
      <c r="CD51" s="338"/>
      <c r="CE51" s="338"/>
      <c r="CF51" s="338"/>
      <c r="CG51" s="338"/>
      <c r="CH51" s="338"/>
      <c r="CI51" s="338"/>
      <c r="CJ51" s="338"/>
      <c r="CK51" s="338"/>
      <c r="CL51" s="338"/>
    </row>
    <row r="52" ht="14.25" customHeight="1">
      <c r="A52" s="338"/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40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  <c r="AV52" s="338"/>
      <c r="AW52" s="338"/>
      <c r="AX52" s="338"/>
      <c r="AY52" s="338"/>
      <c r="AZ52" s="338"/>
      <c r="BA52" s="338"/>
      <c r="BB52" s="338"/>
      <c r="BC52" s="338"/>
      <c r="BD52" s="338"/>
      <c r="BE52" s="338"/>
      <c r="BF52" s="338"/>
      <c r="BG52" s="338"/>
      <c r="BH52" s="338"/>
      <c r="BI52" s="338"/>
      <c r="BJ52" s="338"/>
      <c r="BK52" s="338"/>
      <c r="BL52" s="338"/>
      <c r="BM52" s="338"/>
      <c r="BN52" s="338"/>
      <c r="BO52" s="338"/>
      <c r="BP52" s="338"/>
      <c r="BQ52" s="338"/>
      <c r="BR52" s="338"/>
      <c r="BS52" s="338"/>
      <c r="BT52" s="338"/>
      <c r="BU52" s="338"/>
      <c r="BV52" s="338"/>
      <c r="BW52" s="338"/>
      <c r="BX52" s="338"/>
      <c r="BY52" s="338"/>
      <c r="BZ52" s="338"/>
      <c r="CA52" s="338"/>
      <c r="CB52" s="338"/>
      <c r="CC52" s="338"/>
      <c r="CD52" s="338"/>
      <c r="CE52" s="338"/>
      <c r="CF52" s="338"/>
      <c r="CG52" s="338"/>
      <c r="CH52" s="338"/>
      <c r="CI52" s="338"/>
      <c r="CJ52" s="338"/>
      <c r="CK52" s="338"/>
      <c r="CL52" s="338"/>
    </row>
    <row r="53" ht="14.25" customHeight="1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40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8"/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38"/>
      <c r="AQ53" s="338"/>
      <c r="AR53" s="338"/>
      <c r="AS53" s="338"/>
      <c r="AT53" s="338"/>
      <c r="AU53" s="338"/>
      <c r="AV53" s="338"/>
      <c r="AW53" s="338"/>
      <c r="AX53" s="338"/>
      <c r="AY53" s="338"/>
      <c r="AZ53" s="338"/>
      <c r="BA53" s="338"/>
      <c r="BB53" s="338"/>
      <c r="BC53" s="338"/>
      <c r="BD53" s="338"/>
      <c r="BE53" s="338"/>
      <c r="BF53" s="338"/>
      <c r="BG53" s="338"/>
      <c r="BH53" s="338"/>
      <c r="BI53" s="338"/>
      <c r="BJ53" s="338"/>
      <c r="BK53" s="338"/>
      <c r="BL53" s="338"/>
      <c r="BM53" s="338"/>
      <c r="BN53" s="338"/>
      <c r="BO53" s="338"/>
      <c r="BP53" s="338"/>
      <c r="BQ53" s="338"/>
      <c r="BR53" s="338"/>
      <c r="BS53" s="338"/>
      <c r="BT53" s="338"/>
      <c r="BU53" s="338"/>
      <c r="BV53" s="338"/>
      <c r="BW53" s="338"/>
      <c r="BX53" s="338"/>
      <c r="BY53" s="338"/>
      <c r="BZ53" s="338"/>
      <c r="CA53" s="338"/>
      <c r="CB53" s="338"/>
      <c r="CC53" s="338"/>
      <c r="CD53" s="338"/>
      <c r="CE53" s="338"/>
      <c r="CF53" s="338"/>
      <c r="CG53" s="338"/>
      <c r="CH53" s="338"/>
      <c r="CI53" s="338"/>
      <c r="CJ53" s="338"/>
      <c r="CK53" s="338"/>
      <c r="CL53" s="338"/>
    </row>
    <row r="54" ht="14.25" customHeight="1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40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8"/>
      <c r="Y54" s="338"/>
      <c r="Z54" s="338"/>
      <c r="AA54" s="338"/>
      <c r="AB54" s="338"/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38"/>
      <c r="AQ54" s="338"/>
      <c r="AR54" s="338"/>
      <c r="AS54" s="338"/>
      <c r="AT54" s="338"/>
      <c r="AU54" s="338"/>
      <c r="AV54" s="338"/>
      <c r="AW54" s="338"/>
      <c r="AX54" s="338"/>
      <c r="AY54" s="338"/>
      <c r="AZ54" s="338"/>
      <c r="BA54" s="338"/>
      <c r="BB54" s="338"/>
      <c r="BC54" s="338"/>
      <c r="BD54" s="338"/>
      <c r="BE54" s="338"/>
      <c r="BF54" s="338"/>
      <c r="BG54" s="338"/>
      <c r="BH54" s="338"/>
      <c r="BI54" s="338"/>
      <c r="BJ54" s="338"/>
      <c r="BK54" s="338"/>
      <c r="BL54" s="338"/>
      <c r="BM54" s="338"/>
      <c r="BN54" s="338"/>
      <c r="BO54" s="338"/>
      <c r="BP54" s="338"/>
      <c r="BQ54" s="338"/>
      <c r="BR54" s="338"/>
      <c r="BS54" s="338"/>
      <c r="BT54" s="338"/>
      <c r="BU54" s="338"/>
      <c r="BV54" s="338"/>
      <c r="BW54" s="338"/>
      <c r="BX54" s="338"/>
      <c r="BY54" s="338"/>
      <c r="BZ54" s="338"/>
      <c r="CA54" s="338"/>
      <c r="CB54" s="338"/>
      <c r="CC54" s="338"/>
      <c r="CD54" s="338"/>
      <c r="CE54" s="338"/>
      <c r="CF54" s="338"/>
      <c r="CG54" s="338"/>
      <c r="CH54" s="338"/>
      <c r="CI54" s="338"/>
      <c r="CJ54" s="338"/>
      <c r="CK54" s="338"/>
      <c r="CL54" s="338"/>
    </row>
    <row r="55" ht="14.25" customHeight="1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40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  <c r="AV55" s="338"/>
      <c r="AW55" s="338"/>
      <c r="AX55" s="338"/>
      <c r="AY55" s="338"/>
      <c r="AZ55" s="338"/>
      <c r="BA55" s="338"/>
      <c r="BB55" s="338"/>
      <c r="BC55" s="338"/>
      <c r="BD55" s="338"/>
      <c r="BE55" s="338"/>
      <c r="BF55" s="338"/>
      <c r="BG55" s="338"/>
      <c r="BH55" s="338"/>
      <c r="BI55" s="338"/>
      <c r="BJ55" s="338"/>
      <c r="BK55" s="338"/>
      <c r="BL55" s="338"/>
      <c r="BM55" s="338"/>
      <c r="BN55" s="338"/>
      <c r="BO55" s="338"/>
      <c r="BP55" s="338"/>
      <c r="BQ55" s="338"/>
      <c r="BR55" s="338"/>
      <c r="BS55" s="338"/>
      <c r="BT55" s="338"/>
      <c r="BU55" s="338"/>
      <c r="BV55" s="338"/>
      <c r="BW55" s="338"/>
      <c r="BX55" s="338"/>
      <c r="BY55" s="338"/>
      <c r="BZ55" s="338"/>
      <c r="CA55" s="338"/>
      <c r="CB55" s="338"/>
      <c r="CC55" s="338"/>
      <c r="CD55" s="338"/>
      <c r="CE55" s="338"/>
      <c r="CF55" s="338"/>
      <c r="CG55" s="338"/>
      <c r="CH55" s="338"/>
      <c r="CI55" s="338"/>
      <c r="CJ55" s="338"/>
      <c r="CK55" s="338"/>
      <c r="CL55" s="338"/>
    </row>
    <row r="56" ht="14.25" customHeight="1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40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  <c r="AA56" s="338"/>
      <c r="AB56" s="338"/>
      <c r="AC56" s="338"/>
      <c r="AD56" s="338"/>
      <c r="AE56" s="338"/>
      <c r="AF56" s="338"/>
      <c r="AG56" s="338"/>
      <c r="AH56" s="338"/>
      <c r="AI56" s="338"/>
      <c r="AJ56" s="338"/>
      <c r="AK56" s="338"/>
      <c r="AL56" s="338"/>
      <c r="AM56" s="338"/>
      <c r="AN56" s="338"/>
      <c r="AO56" s="338"/>
      <c r="AP56" s="338"/>
      <c r="AQ56" s="338"/>
      <c r="AR56" s="338"/>
      <c r="AS56" s="338"/>
      <c r="AT56" s="338"/>
      <c r="AU56" s="338"/>
      <c r="AV56" s="338"/>
      <c r="AW56" s="338"/>
      <c r="AX56" s="338"/>
      <c r="AY56" s="338"/>
      <c r="AZ56" s="338"/>
      <c r="BA56" s="338"/>
      <c r="BB56" s="338"/>
      <c r="BC56" s="338"/>
      <c r="BD56" s="338"/>
      <c r="BE56" s="338"/>
      <c r="BF56" s="338"/>
      <c r="BG56" s="338"/>
      <c r="BH56" s="338"/>
      <c r="BI56" s="338"/>
      <c r="BJ56" s="338"/>
      <c r="BK56" s="338"/>
      <c r="BL56" s="338"/>
      <c r="BM56" s="338"/>
      <c r="BN56" s="338"/>
      <c r="BO56" s="338"/>
      <c r="BP56" s="338"/>
      <c r="BQ56" s="338"/>
      <c r="BR56" s="338"/>
      <c r="BS56" s="338"/>
      <c r="BT56" s="338"/>
      <c r="BU56" s="338"/>
      <c r="BV56" s="338"/>
      <c r="BW56" s="338"/>
      <c r="BX56" s="338"/>
      <c r="BY56" s="338"/>
      <c r="BZ56" s="338"/>
      <c r="CA56" s="338"/>
      <c r="CB56" s="338"/>
      <c r="CC56" s="338"/>
      <c r="CD56" s="338"/>
      <c r="CE56" s="338"/>
      <c r="CF56" s="338"/>
      <c r="CG56" s="338"/>
      <c r="CH56" s="338"/>
      <c r="CI56" s="338"/>
      <c r="CJ56" s="338"/>
      <c r="CK56" s="338"/>
      <c r="CL56" s="338"/>
    </row>
    <row r="57" ht="14.25" customHeight="1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40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8"/>
      <c r="Y57" s="338"/>
      <c r="Z57" s="338"/>
      <c r="AA57" s="338"/>
      <c r="AB57" s="338"/>
      <c r="AC57" s="338"/>
      <c r="AD57" s="338"/>
      <c r="AE57" s="338"/>
      <c r="AF57" s="338"/>
      <c r="AG57" s="338"/>
      <c r="AH57" s="338"/>
      <c r="AI57" s="338"/>
      <c r="AJ57" s="338"/>
      <c r="AK57" s="338"/>
      <c r="AL57" s="338"/>
      <c r="AM57" s="338"/>
      <c r="AN57" s="338"/>
      <c r="AO57" s="338"/>
      <c r="AP57" s="338"/>
      <c r="AQ57" s="338"/>
      <c r="AR57" s="338"/>
      <c r="AS57" s="338"/>
      <c r="AT57" s="338"/>
      <c r="AU57" s="338"/>
      <c r="AV57" s="338"/>
      <c r="AW57" s="338"/>
      <c r="AX57" s="338"/>
      <c r="AY57" s="338"/>
      <c r="AZ57" s="338"/>
      <c r="BA57" s="338"/>
      <c r="BB57" s="338"/>
      <c r="BC57" s="338"/>
      <c r="BD57" s="338"/>
      <c r="BE57" s="338"/>
      <c r="BF57" s="338"/>
      <c r="BG57" s="338"/>
      <c r="BH57" s="338"/>
      <c r="BI57" s="338"/>
      <c r="BJ57" s="338"/>
      <c r="BK57" s="338"/>
      <c r="BL57" s="338"/>
      <c r="BM57" s="338"/>
      <c r="BN57" s="338"/>
      <c r="BO57" s="338"/>
      <c r="BP57" s="338"/>
      <c r="BQ57" s="338"/>
      <c r="BR57" s="338"/>
      <c r="BS57" s="338"/>
      <c r="BT57" s="338"/>
      <c r="BU57" s="338"/>
      <c r="BV57" s="338"/>
      <c r="BW57" s="338"/>
      <c r="BX57" s="338"/>
      <c r="BY57" s="338"/>
      <c r="BZ57" s="338"/>
      <c r="CA57" s="338"/>
      <c r="CB57" s="338"/>
      <c r="CC57" s="338"/>
      <c r="CD57" s="338"/>
      <c r="CE57" s="338"/>
      <c r="CF57" s="338"/>
      <c r="CG57" s="338"/>
      <c r="CH57" s="338"/>
      <c r="CI57" s="338"/>
      <c r="CJ57" s="338"/>
      <c r="CK57" s="338"/>
      <c r="CL57" s="338"/>
    </row>
    <row r="58" ht="14.25" customHeight="1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40"/>
      <c r="N58" s="338"/>
      <c r="O58" s="338"/>
      <c r="P58" s="338"/>
      <c r="Q58" s="338"/>
      <c r="R58" s="338"/>
      <c r="S58" s="338"/>
      <c r="T58" s="338"/>
      <c r="U58" s="338"/>
      <c r="V58" s="338"/>
      <c r="W58" s="338"/>
      <c r="X58" s="338"/>
      <c r="Y58" s="338"/>
      <c r="Z58" s="338"/>
      <c r="AA58" s="338"/>
      <c r="AB58" s="338"/>
      <c r="AC58" s="338"/>
      <c r="AD58" s="338"/>
      <c r="AE58" s="338"/>
      <c r="AF58" s="338"/>
      <c r="AG58" s="338"/>
      <c r="AH58" s="338"/>
      <c r="AI58" s="338"/>
      <c r="AJ58" s="338"/>
      <c r="AK58" s="338"/>
      <c r="AL58" s="338"/>
      <c r="AM58" s="338"/>
      <c r="AN58" s="338"/>
      <c r="AO58" s="338"/>
      <c r="AP58" s="338"/>
      <c r="AQ58" s="338"/>
      <c r="AR58" s="338"/>
      <c r="AS58" s="338"/>
      <c r="AT58" s="338"/>
      <c r="AU58" s="338"/>
      <c r="AV58" s="338"/>
      <c r="AW58" s="338"/>
      <c r="AX58" s="338"/>
      <c r="AY58" s="338"/>
      <c r="AZ58" s="338"/>
      <c r="BA58" s="338"/>
      <c r="BB58" s="338"/>
      <c r="BC58" s="338"/>
      <c r="BD58" s="338"/>
      <c r="BE58" s="338"/>
      <c r="BF58" s="338"/>
      <c r="BG58" s="338"/>
      <c r="BH58" s="338"/>
      <c r="BI58" s="338"/>
      <c r="BJ58" s="338"/>
      <c r="BK58" s="338"/>
      <c r="BL58" s="338"/>
      <c r="BM58" s="338"/>
      <c r="BN58" s="338"/>
      <c r="BO58" s="338"/>
      <c r="BP58" s="338"/>
      <c r="BQ58" s="338"/>
      <c r="BR58" s="338"/>
      <c r="BS58" s="338"/>
      <c r="BT58" s="338"/>
      <c r="BU58" s="338"/>
      <c r="BV58" s="338"/>
      <c r="BW58" s="338"/>
      <c r="BX58" s="338"/>
      <c r="BY58" s="338"/>
      <c r="BZ58" s="338"/>
      <c r="CA58" s="338"/>
      <c r="CB58" s="338"/>
      <c r="CC58" s="338"/>
      <c r="CD58" s="338"/>
      <c r="CE58" s="338"/>
      <c r="CF58" s="338"/>
      <c r="CG58" s="338"/>
      <c r="CH58" s="338"/>
      <c r="CI58" s="338"/>
      <c r="CJ58" s="338"/>
      <c r="CK58" s="338"/>
      <c r="CL58" s="338"/>
    </row>
    <row r="59" ht="14.25" customHeight="1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40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/>
      <c r="AY59" s="338"/>
      <c r="AZ59" s="338"/>
      <c r="BA59" s="338"/>
      <c r="BB59" s="338"/>
      <c r="BC59" s="338"/>
      <c r="BD59" s="338"/>
      <c r="BE59" s="338"/>
      <c r="BF59" s="338"/>
      <c r="BG59" s="338"/>
      <c r="BH59" s="338"/>
      <c r="BI59" s="338"/>
      <c r="BJ59" s="338"/>
      <c r="BK59" s="338"/>
      <c r="BL59" s="338"/>
      <c r="BM59" s="338"/>
      <c r="BN59" s="338"/>
      <c r="BO59" s="338"/>
      <c r="BP59" s="338"/>
      <c r="BQ59" s="338"/>
      <c r="BR59" s="338"/>
      <c r="BS59" s="338"/>
      <c r="BT59" s="338"/>
      <c r="BU59" s="338"/>
      <c r="BV59" s="338"/>
      <c r="BW59" s="338"/>
      <c r="BX59" s="338"/>
      <c r="BY59" s="338"/>
      <c r="BZ59" s="338"/>
      <c r="CA59" s="338"/>
      <c r="CB59" s="338"/>
      <c r="CC59" s="338"/>
      <c r="CD59" s="338"/>
      <c r="CE59" s="338"/>
      <c r="CF59" s="338"/>
      <c r="CG59" s="338"/>
      <c r="CH59" s="338"/>
      <c r="CI59" s="338"/>
      <c r="CJ59" s="338"/>
      <c r="CK59" s="338"/>
      <c r="CL59" s="338"/>
    </row>
    <row r="60" ht="14.25" customHeight="1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40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338"/>
      <c r="AB60" s="338"/>
      <c r="AC60" s="338"/>
      <c r="AD60" s="338"/>
      <c r="AE60" s="338"/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/>
      <c r="AY60" s="338"/>
      <c r="AZ60" s="338"/>
      <c r="BA60" s="338"/>
      <c r="BB60" s="338"/>
      <c r="BC60" s="338"/>
      <c r="BD60" s="338"/>
      <c r="BE60" s="338"/>
      <c r="BF60" s="338"/>
      <c r="BG60" s="338"/>
      <c r="BH60" s="338"/>
      <c r="BI60" s="338"/>
      <c r="BJ60" s="338"/>
      <c r="BK60" s="338"/>
      <c r="BL60" s="338"/>
      <c r="BM60" s="338"/>
      <c r="BN60" s="338"/>
      <c r="BO60" s="338"/>
      <c r="BP60" s="338"/>
      <c r="BQ60" s="338"/>
      <c r="BR60" s="338"/>
      <c r="BS60" s="338"/>
      <c r="BT60" s="338"/>
      <c r="BU60" s="338"/>
      <c r="BV60" s="338"/>
      <c r="BW60" s="338"/>
      <c r="BX60" s="338"/>
      <c r="BY60" s="338"/>
      <c r="BZ60" s="338"/>
      <c r="CA60" s="338"/>
      <c r="CB60" s="338"/>
      <c r="CC60" s="338"/>
      <c r="CD60" s="338"/>
      <c r="CE60" s="338"/>
      <c r="CF60" s="338"/>
      <c r="CG60" s="338"/>
      <c r="CH60" s="338"/>
      <c r="CI60" s="338"/>
      <c r="CJ60" s="338"/>
      <c r="CK60" s="338"/>
      <c r="CL60" s="338"/>
    </row>
    <row r="61" ht="14.25" customHeight="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40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8"/>
      <c r="AH61" s="338"/>
      <c r="AI61" s="338"/>
      <c r="AJ61" s="338"/>
      <c r="AK61" s="338"/>
      <c r="AL61" s="338"/>
      <c r="AM61" s="338"/>
      <c r="AN61" s="338"/>
      <c r="AO61" s="338"/>
      <c r="AP61" s="338"/>
      <c r="AQ61" s="338"/>
      <c r="AR61" s="338"/>
      <c r="AS61" s="338"/>
      <c r="AT61" s="338"/>
      <c r="AU61" s="338"/>
      <c r="AV61" s="338"/>
      <c r="AW61" s="338"/>
      <c r="AX61" s="338"/>
      <c r="AY61" s="338"/>
      <c r="AZ61" s="338"/>
      <c r="BA61" s="338"/>
      <c r="BB61" s="338"/>
      <c r="BC61" s="338"/>
      <c r="BD61" s="338"/>
      <c r="BE61" s="338"/>
      <c r="BF61" s="338"/>
      <c r="BG61" s="338"/>
      <c r="BH61" s="338"/>
      <c r="BI61" s="338"/>
      <c r="BJ61" s="338"/>
      <c r="BK61" s="338"/>
      <c r="BL61" s="338"/>
      <c r="BM61" s="338"/>
      <c r="BN61" s="338"/>
      <c r="BO61" s="338"/>
      <c r="BP61" s="338"/>
      <c r="BQ61" s="338"/>
      <c r="BR61" s="338"/>
      <c r="BS61" s="338"/>
      <c r="BT61" s="338"/>
      <c r="BU61" s="338"/>
      <c r="BV61" s="338"/>
      <c r="BW61" s="338"/>
      <c r="BX61" s="338"/>
      <c r="BY61" s="338"/>
      <c r="BZ61" s="338"/>
      <c r="CA61" s="338"/>
      <c r="CB61" s="338"/>
      <c r="CC61" s="338"/>
      <c r="CD61" s="338"/>
      <c r="CE61" s="338"/>
      <c r="CF61" s="338"/>
      <c r="CG61" s="338"/>
      <c r="CH61" s="338"/>
      <c r="CI61" s="338"/>
      <c r="CJ61" s="338"/>
      <c r="CK61" s="338"/>
      <c r="CL61" s="338"/>
    </row>
    <row r="62" ht="14.25" customHeight="1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40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/>
      <c r="AU62" s="338"/>
      <c r="AV62" s="338"/>
      <c r="AW62" s="338"/>
      <c r="AX62" s="338"/>
      <c r="AY62" s="338"/>
      <c r="AZ62" s="338"/>
      <c r="BA62" s="338"/>
      <c r="BB62" s="338"/>
      <c r="BC62" s="338"/>
      <c r="BD62" s="338"/>
      <c r="BE62" s="338"/>
      <c r="BF62" s="338"/>
      <c r="BG62" s="338"/>
      <c r="BH62" s="338"/>
      <c r="BI62" s="338"/>
      <c r="BJ62" s="338"/>
      <c r="BK62" s="338"/>
      <c r="BL62" s="338"/>
      <c r="BM62" s="338"/>
      <c r="BN62" s="338"/>
      <c r="BO62" s="338"/>
      <c r="BP62" s="338"/>
      <c r="BQ62" s="338"/>
      <c r="BR62" s="338"/>
      <c r="BS62" s="338"/>
      <c r="BT62" s="338"/>
      <c r="BU62" s="338"/>
      <c r="BV62" s="338"/>
      <c r="BW62" s="338"/>
      <c r="BX62" s="338"/>
      <c r="BY62" s="338"/>
      <c r="BZ62" s="338"/>
      <c r="CA62" s="338"/>
      <c r="CB62" s="338"/>
      <c r="CC62" s="338"/>
      <c r="CD62" s="338"/>
      <c r="CE62" s="338"/>
      <c r="CF62" s="338"/>
      <c r="CG62" s="338"/>
      <c r="CH62" s="338"/>
      <c r="CI62" s="338"/>
      <c r="CJ62" s="338"/>
      <c r="CK62" s="338"/>
      <c r="CL62" s="338"/>
    </row>
    <row r="63" ht="14.25" customHeight="1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40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8"/>
      <c r="AQ63" s="338"/>
      <c r="AR63" s="338"/>
      <c r="AS63" s="338"/>
      <c r="AT63" s="338"/>
      <c r="AU63" s="338"/>
      <c r="AV63" s="338"/>
      <c r="AW63" s="338"/>
      <c r="AX63" s="338"/>
      <c r="AY63" s="338"/>
      <c r="AZ63" s="338"/>
      <c r="BA63" s="338"/>
      <c r="BB63" s="338"/>
      <c r="BC63" s="338"/>
      <c r="BD63" s="338"/>
      <c r="BE63" s="338"/>
      <c r="BF63" s="338"/>
      <c r="BG63" s="338"/>
      <c r="BH63" s="338"/>
      <c r="BI63" s="338"/>
      <c r="BJ63" s="338"/>
      <c r="BK63" s="338"/>
      <c r="BL63" s="338"/>
      <c r="BM63" s="338"/>
      <c r="BN63" s="338"/>
      <c r="BO63" s="338"/>
      <c r="BP63" s="338"/>
      <c r="BQ63" s="338"/>
      <c r="BR63" s="338"/>
      <c r="BS63" s="338"/>
      <c r="BT63" s="338"/>
      <c r="BU63" s="338"/>
      <c r="BV63" s="338"/>
      <c r="BW63" s="338"/>
      <c r="BX63" s="338"/>
      <c r="BY63" s="338"/>
      <c r="BZ63" s="338"/>
      <c r="CA63" s="338"/>
      <c r="CB63" s="338"/>
      <c r="CC63" s="338"/>
      <c r="CD63" s="338"/>
      <c r="CE63" s="338"/>
      <c r="CF63" s="338"/>
      <c r="CG63" s="338"/>
      <c r="CH63" s="338"/>
      <c r="CI63" s="338"/>
      <c r="CJ63" s="338"/>
      <c r="CK63" s="338"/>
      <c r="CL63" s="338"/>
    </row>
    <row r="64" ht="14.25" customHeight="1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40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338"/>
      <c r="AB64" s="338"/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  <c r="AP64" s="338"/>
      <c r="AQ64" s="338"/>
      <c r="AR64" s="338"/>
      <c r="AS64" s="338"/>
      <c r="AT64" s="338"/>
      <c r="AU64" s="338"/>
      <c r="AV64" s="338"/>
      <c r="AW64" s="338"/>
      <c r="AX64" s="338"/>
      <c r="AY64" s="338"/>
      <c r="AZ64" s="338"/>
      <c r="BA64" s="338"/>
      <c r="BB64" s="338"/>
      <c r="BC64" s="338"/>
      <c r="BD64" s="338"/>
      <c r="BE64" s="338"/>
      <c r="BF64" s="338"/>
      <c r="BG64" s="338"/>
      <c r="BH64" s="338"/>
      <c r="BI64" s="338"/>
      <c r="BJ64" s="338"/>
      <c r="BK64" s="338"/>
      <c r="BL64" s="338"/>
      <c r="BM64" s="338"/>
      <c r="BN64" s="338"/>
      <c r="BO64" s="338"/>
      <c r="BP64" s="338"/>
      <c r="BQ64" s="338"/>
      <c r="BR64" s="338"/>
      <c r="BS64" s="338"/>
      <c r="BT64" s="338"/>
      <c r="BU64" s="338"/>
      <c r="BV64" s="338"/>
      <c r="BW64" s="338"/>
      <c r="BX64" s="338"/>
      <c r="BY64" s="338"/>
      <c r="BZ64" s="338"/>
      <c r="CA64" s="338"/>
      <c r="CB64" s="338"/>
      <c r="CC64" s="338"/>
      <c r="CD64" s="338"/>
      <c r="CE64" s="338"/>
      <c r="CF64" s="338"/>
      <c r="CG64" s="338"/>
      <c r="CH64" s="338"/>
      <c r="CI64" s="338"/>
      <c r="CJ64" s="338"/>
      <c r="CK64" s="338"/>
      <c r="CL64" s="338"/>
    </row>
    <row r="65" ht="14.25" customHeight="1">
      <c r="A65" s="338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40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  <c r="AA65" s="338"/>
      <c r="AB65" s="338"/>
      <c r="AC65" s="338"/>
      <c r="AD65" s="338"/>
      <c r="AE65" s="338"/>
      <c r="AF65" s="338"/>
      <c r="AG65" s="338"/>
      <c r="AH65" s="338"/>
      <c r="AI65" s="338"/>
      <c r="AJ65" s="338"/>
      <c r="AK65" s="338"/>
      <c r="AL65" s="338"/>
      <c r="AM65" s="338"/>
      <c r="AN65" s="338"/>
      <c r="AO65" s="338"/>
      <c r="AP65" s="338"/>
      <c r="AQ65" s="338"/>
      <c r="AR65" s="338"/>
      <c r="AS65" s="338"/>
      <c r="AT65" s="338"/>
      <c r="AU65" s="338"/>
      <c r="AV65" s="338"/>
      <c r="AW65" s="338"/>
      <c r="AX65" s="338"/>
      <c r="AY65" s="338"/>
      <c r="AZ65" s="338"/>
      <c r="BA65" s="338"/>
      <c r="BB65" s="338"/>
      <c r="BC65" s="338"/>
      <c r="BD65" s="338"/>
      <c r="BE65" s="338"/>
      <c r="BF65" s="338"/>
      <c r="BG65" s="338"/>
      <c r="BH65" s="338"/>
      <c r="BI65" s="338"/>
      <c r="BJ65" s="338"/>
      <c r="BK65" s="338"/>
      <c r="BL65" s="338"/>
      <c r="BM65" s="338"/>
      <c r="BN65" s="338"/>
      <c r="BO65" s="338"/>
      <c r="BP65" s="338"/>
      <c r="BQ65" s="338"/>
      <c r="BR65" s="338"/>
      <c r="BS65" s="338"/>
      <c r="BT65" s="338"/>
      <c r="BU65" s="338"/>
      <c r="BV65" s="338"/>
      <c r="BW65" s="338"/>
      <c r="BX65" s="338"/>
      <c r="BY65" s="338"/>
      <c r="BZ65" s="338"/>
      <c r="CA65" s="338"/>
      <c r="CB65" s="338"/>
      <c r="CC65" s="338"/>
      <c r="CD65" s="338"/>
      <c r="CE65" s="338"/>
      <c r="CF65" s="338"/>
      <c r="CG65" s="338"/>
      <c r="CH65" s="338"/>
      <c r="CI65" s="338"/>
      <c r="CJ65" s="338"/>
      <c r="CK65" s="338"/>
      <c r="CL65" s="338"/>
    </row>
    <row r="66" ht="14.25" customHeight="1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40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  <c r="AA66" s="338"/>
      <c r="AB66" s="338"/>
      <c r="AC66" s="338"/>
      <c r="AD66" s="338"/>
      <c r="AE66" s="338"/>
      <c r="AF66" s="338"/>
      <c r="AG66" s="338"/>
      <c r="AH66" s="338"/>
      <c r="AI66" s="338"/>
      <c r="AJ66" s="338"/>
      <c r="AK66" s="338"/>
      <c r="AL66" s="338"/>
      <c r="AM66" s="338"/>
      <c r="AN66" s="338"/>
      <c r="AO66" s="338"/>
      <c r="AP66" s="338"/>
      <c r="AQ66" s="338"/>
      <c r="AR66" s="338"/>
      <c r="AS66" s="338"/>
      <c r="AT66" s="338"/>
      <c r="AU66" s="338"/>
      <c r="AV66" s="338"/>
      <c r="AW66" s="338"/>
      <c r="AX66" s="338"/>
      <c r="AY66" s="338"/>
      <c r="AZ66" s="338"/>
      <c r="BA66" s="338"/>
      <c r="BB66" s="338"/>
      <c r="BC66" s="338"/>
      <c r="BD66" s="338"/>
      <c r="BE66" s="338"/>
      <c r="BF66" s="338"/>
      <c r="BG66" s="338"/>
      <c r="BH66" s="338"/>
      <c r="BI66" s="338"/>
      <c r="BJ66" s="338"/>
      <c r="BK66" s="338"/>
      <c r="BL66" s="338"/>
      <c r="BM66" s="338"/>
      <c r="BN66" s="338"/>
      <c r="BO66" s="338"/>
      <c r="BP66" s="338"/>
      <c r="BQ66" s="338"/>
      <c r="BR66" s="338"/>
      <c r="BS66" s="338"/>
      <c r="BT66" s="338"/>
      <c r="BU66" s="338"/>
      <c r="BV66" s="338"/>
      <c r="BW66" s="338"/>
      <c r="BX66" s="338"/>
      <c r="BY66" s="338"/>
      <c r="BZ66" s="338"/>
      <c r="CA66" s="338"/>
      <c r="CB66" s="338"/>
      <c r="CC66" s="338"/>
      <c r="CD66" s="338"/>
      <c r="CE66" s="338"/>
      <c r="CF66" s="338"/>
      <c r="CG66" s="338"/>
      <c r="CH66" s="338"/>
      <c r="CI66" s="338"/>
      <c r="CJ66" s="338"/>
      <c r="CK66" s="338"/>
      <c r="CL66" s="338"/>
    </row>
    <row r="67" ht="14.25" customHeight="1">
      <c r="A67" s="338"/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40"/>
      <c r="N67" s="338"/>
      <c r="O67" s="338"/>
      <c r="P67" s="338"/>
      <c r="Q67" s="338"/>
      <c r="R67" s="338"/>
      <c r="S67" s="338"/>
      <c r="T67" s="338"/>
      <c r="U67" s="338"/>
      <c r="V67" s="338"/>
      <c r="W67" s="338"/>
      <c r="X67" s="338"/>
      <c r="Y67" s="338"/>
      <c r="Z67" s="338"/>
      <c r="AA67" s="338"/>
      <c r="AB67" s="338"/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338"/>
      <c r="AP67" s="338"/>
      <c r="AQ67" s="338"/>
      <c r="AR67" s="338"/>
      <c r="AS67" s="338"/>
      <c r="AT67" s="338"/>
      <c r="AU67" s="338"/>
      <c r="AV67" s="338"/>
      <c r="AW67" s="338"/>
      <c r="AX67" s="338"/>
      <c r="AY67" s="338"/>
      <c r="AZ67" s="338"/>
      <c r="BA67" s="338"/>
      <c r="BB67" s="338"/>
      <c r="BC67" s="338"/>
      <c r="BD67" s="338"/>
      <c r="BE67" s="338"/>
      <c r="BF67" s="338"/>
      <c r="BG67" s="338"/>
      <c r="BH67" s="338"/>
      <c r="BI67" s="338"/>
      <c r="BJ67" s="338"/>
      <c r="BK67" s="338"/>
      <c r="BL67" s="338"/>
      <c r="BM67" s="338"/>
      <c r="BN67" s="338"/>
      <c r="BO67" s="338"/>
      <c r="BP67" s="338"/>
      <c r="BQ67" s="338"/>
      <c r="BR67" s="338"/>
      <c r="BS67" s="338"/>
      <c r="BT67" s="338"/>
      <c r="BU67" s="338"/>
      <c r="BV67" s="338"/>
      <c r="BW67" s="338"/>
      <c r="BX67" s="338"/>
      <c r="BY67" s="338"/>
      <c r="BZ67" s="338"/>
      <c r="CA67" s="338"/>
      <c r="CB67" s="338"/>
      <c r="CC67" s="338"/>
      <c r="CD67" s="338"/>
      <c r="CE67" s="338"/>
      <c r="CF67" s="338"/>
      <c r="CG67" s="338"/>
      <c r="CH67" s="338"/>
      <c r="CI67" s="338"/>
      <c r="CJ67" s="338"/>
      <c r="CK67" s="338"/>
      <c r="CL67" s="338"/>
    </row>
    <row r="68" ht="14.25" customHeight="1">
      <c r="A68" s="338"/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  <c r="M68" s="340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  <c r="AA68" s="338"/>
      <c r="AB68" s="338"/>
      <c r="AC68" s="338"/>
      <c r="AD68" s="338"/>
      <c r="AE68" s="338"/>
      <c r="AF68" s="338"/>
      <c r="AG68" s="338"/>
      <c r="AH68" s="338"/>
      <c r="AI68" s="338"/>
      <c r="AJ68" s="338"/>
      <c r="AK68" s="338"/>
      <c r="AL68" s="338"/>
      <c r="AM68" s="338"/>
      <c r="AN68" s="338"/>
      <c r="AO68" s="338"/>
      <c r="AP68" s="338"/>
      <c r="AQ68" s="338"/>
      <c r="AR68" s="338"/>
      <c r="AS68" s="338"/>
      <c r="AT68" s="338"/>
      <c r="AU68" s="338"/>
      <c r="AV68" s="338"/>
      <c r="AW68" s="338"/>
      <c r="AX68" s="338"/>
      <c r="AY68" s="338"/>
      <c r="AZ68" s="338"/>
      <c r="BA68" s="338"/>
      <c r="BB68" s="338"/>
      <c r="BC68" s="338"/>
      <c r="BD68" s="338"/>
      <c r="BE68" s="338"/>
      <c r="BF68" s="338"/>
      <c r="BG68" s="338"/>
      <c r="BH68" s="338"/>
      <c r="BI68" s="338"/>
      <c r="BJ68" s="338"/>
      <c r="BK68" s="338"/>
      <c r="BL68" s="338"/>
      <c r="BM68" s="338"/>
      <c r="BN68" s="338"/>
      <c r="BO68" s="338"/>
      <c r="BP68" s="338"/>
      <c r="BQ68" s="338"/>
      <c r="BR68" s="338"/>
      <c r="BS68" s="338"/>
      <c r="BT68" s="338"/>
      <c r="BU68" s="338"/>
      <c r="BV68" s="338"/>
      <c r="BW68" s="338"/>
      <c r="BX68" s="338"/>
      <c r="BY68" s="338"/>
      <c r="BZ68" s="338"/>
      <c r="CA68" s="338"/>
      <c r="CB68" s="338"/>
      <c r="CC68" s="338"/>
      <c r="CD68" s="338"/>
      <c r="CE68" s="338"/>
      <c r="CF68" s="338"/>
      <c r="CG68" s="338"/>
      <c r="CH68" s="338"/>
      <c r="CI68" s="338"/>
      <c r="CJ68" s="338"/>
      <c r="CK68" s="338"/>
      <c r="CL68" s="338"/>
    </row>
    <row r="69" ht="14.25" customHeight="1">
      <c r="A69" s="338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40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  <c r="AV69" s="338"/>
      <c r="AW69" s="338"/>
      <c r="AX69" s="338"/>
      <c r="AY69" s="338"/>
      <c r="AZ69" s="338"/>
      <c r="BA69" s="338"/>
      <c r="BB69" s="338"/>
      <c r="BC69" s="338"/>
      <c r="BD69" s="338"/>
      <c r="BE69" s="338"/>
      <c r="BF69" s="338"/>
      <c r="BG69" s="338"/>
      <c r="BH69" s="338"/>
      <c r="BI69" s="338"/>
      <c r="BJ69" s="338"/>
      <c r="BK69" s="338"/>
      <c r="BL69" s="338"/>
      <c r="BM69" s="338"/>
      <c r="BN69" s="338"/>
      <c r="BO69" s="338"/>
      <c r="BP69" s="338"/>
      <c r="BQ69" s="338"/>
      <c r="BR69" s="338"/>
      <c r="BS69" s="338"/>
      <c r="BT69" s="338"/>
      <c r="BU69" s="338"/>
      <c r="BV69" s="338"/>
      <c r="BW69" s="338"/>
      <c r="BX69" s="338"/>
      <c r="BY69" s="338"/>
      <c r="BZ69" s="338"/>
      <c r="CA69" s="338"/>
      <c r="CB69" s="338"/>
      <c r="CC69" s="338"/>
      <c r="CD69" s="338"/>
      <c r="CE69" s="338"/>
      <c r="CF69" s="338"/>
      <c r="CG69" s="338"/>
      <c r="CH69" s="338"/>
      <c r="CI69" s="338"/>
      <c r="CJ69" s="338"/>
      <c r="CK69" s="338"/>
      <c r="CL69" s="338"/>
    </row>
    <row r="70" ht="14.25" customHeight="1">
      <c r="A70" s="338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40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/>
      <c r="AA70" s="338"/>
      <c r="AB70" s="338"/>
      <c r="AC70" s="338"/>
      <c r="AD70" s="338"/>
      <c r="AE70" s="338"/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8"/>
      <c r="AQ70" s="338"/>
      <c r="AR70" s="338"/>
      <c r="AS70" s="338"/>
      <c r="AT70" s="338"/>
      <c r="AU70" s="338"/>
      <c r="AV70" s="338"/>
      <c r="AW70" s="338"/>
      <c r="AX70" s="338"/>
      <c r="AY70" s="338"/>
      <c r="AZ70" s="338"/>
      <c r="BA70" s="338"/>
      <c r="BB70" s="338"/>
      <c r="BC70" s="338"/>
      <c r="BD70" s="338"/>
      <c r="BE70" s="338"/>
      <c r="BF70" s="338"/>
      <c r="BG70" s="338"/>
      <c r="BH70" s="338"/>
      <c r="BI70" s="338"/>
      <c r="BJ70" s="338"/>
      <c r="BK70" s="338"/>
      <c r="BL70" s="338"/>
      <c r="BM70" s="338"/>
      <c r="BN70" s="338"/>
      <c r="BO70" s="338"/>
      <c r="BP70" s="338"/>
      <c r="BQ70" s="338"/>
      <c r="BR70" s="338"/>
      <c r="BS70" s="338"/>
      <c r="BT70" s="338"/>
      <c r="BU70" s="338"/>
      <c r="BV70" s="338"/>
      <c r="BW70" s="338"/>
      <c r="BX70" s="338"/>
      <c r="BY70" s="338"/>
      <c r="BZ70" s="338"/>
      <c r="CA70" s="338"/>
      <c r="CB70" s="338"/>
      <c r="CC70" s="338"/>
      <c r="CD70" s="338"/>
      <c r="CE70" s="338"/>
      <c r="CF70" s="338"/>
      <c r="CG70" s="338"/>
      <c r="CH70" s="338"/>
      <c r="CI70" s="338"/>
      <c r="CJ70" s="338"/>
      <c r="CK70" s="338"/>
      <c r="CL70" s="338"/>
    </row>
    <row r="71" ht="14.25" customHeight="1">
      <c r="A71" s="338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40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338"/>
      <c r="AB71" s="338"/>
      <c r="AC71" s="338"/>
      <c r="AD71" s="338"/>
      <c r="AE71" s="338"/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  <c r="AV71" s="338"/>
      <c r="AW71" s="338"/>
      <c r="AX71" s="338"/>
      <c r="AY71" s="338"/>
      <c r="AZ71" s="338"/>
      <c r="BA71" s="338"/>
      <c r="BB71" s="338"/>
      <c r="BC71" s="338"/>
      <c r="BD71" s="338"/>
      <c r="BE71" s="338"/>
      <c r="BF71" s="338"/>
      <c r="BG71" s="338"/>
      <c r="BH71" s="338"/>
      <c r="BI71" s="338"/>
      <c r="BJ71" s="338"/>
      <c r="BK71" s="338"/>
      <c r="BL71" s="338"/>
      <c r="BM71" s="338"/>
      <c r="BN71" s="338"/>
      <c r="BO71" s="338"/>
      <c r="BP71" s="338"/>
      <c r="BQ71" s="338"/>
      <c r="BR71" s="338"/>
      <c r="BS71" s="338"/>
      <c r="BT71" s="338"/>
      <c r="BU71" s="338"/>
      <c r="BV71" s="338"/>
      <c r="BW71" s="338"/>
      <c r="BX71" s="338"/>
      <c r="BY71" s="338"/>
      <c r="BZ71" s="338"/>
      <c r="CA71" s="338"/>
      <c r="CB71" s="338"/>
      <c r="CC71" s="338"/>
      <c r="CD71" s="338"/>
      <c r="CE71" s="338"/>
      <c r="CF71" s="338"/>
      <c r="CG71" s="338"/>
      <c r="CH71" s="338"/>
      <c r="CI71" s="338"/>
      <c r="CJ71" s="338"/>
      <c r="CK71" s="338"/>
      <c r="CL71" s="338"/>
    </row>
    <row r="72" ht="14.25" customHeight="1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40"/>
      <c r="N72" s="338"/>
      <c r="O72" s="338"/>
      <c r="P72" s="338"/>
      <c r="Q72" s="338"/>
      <c r="R72" s="338"/>
      <c r="S72" s="338"/>
      <c r="T72" s="338"/>
      <c r="U72" s="338"/>
      <c r="V72" s="338"/>
      <c r="W72" s="338"/>
      <c r="X72" s="338"/>
      <c r="Y72" s="338"/>
      <c r="Z72" s="338"/>
      <c r="AA72" s="338"/>
      <c r="AB72" s="338"/>
      <c r="AC72" s="338"/>
      <c r="AD72" s="338"/>
      <c r="AE72" s="338"/>
      <c r="AF72" s="338"/>
      <c r="AG72" s="338"/>
      <c r="AH72" s="338"/>
      <c r="AI72" s="338"/>
      <c r="AJ72" s="338"/>
      <c r="AK72" s="338"/>
      <c r="AL72" s="338"/>
      <c r="AM72" s="338"/>
      <c r="AN72" s="338"/>
      <c r="AO72" s="338"/>
      <c r="AP72" s="338"/>
      <c r="AQ72" s="338"/>
      <c r="AR72" s="338"/>
      <c r="AS72" s="338"/>
      <c r="AT72" s="338"/>
      <c r="AU72" s="338"/>
      <c r="AV72" s="338"/>
      <c r="AW72" s="338"/>
      <c r="AX72" s="338"/>
      <c r="AY72" s="338"/>
      <c r="AZ72" s="338"/>
      <c r="BA72" s="338"/>
      <c r="BB72" s="338"/>
      <c r="BC72" s="338"/>
      <c r="BD72" s="338"/>
      <c r="BE72" s="338"/>
      <c r="BF72" s="338"/>
      <c r="BG72" s="338"/>
      <c r="BH72" s="338"/>
      <c r="BI72" s="338"/>
      <c r="BJ72" s="338"/>
      <c r="BK72" s="338"/>
      <c r="BL72" s="338"/>
      <c r="BM72" s="338"/>
      <c r="BN72" s="338"/>
      <c r="BO72" s="338"/>
      <c r="BP72" s="338"/>
      <c r="BQ72" s="338"/>
      <c r="BR72" s="338"/>
      <c r="BS72" s="338"/>
      <c r="BT72" s="338"/>
      <c r="BU72" s="338"/>
      <c r="BV72" s="338"/>
      <c r="BW72" s="338"/>
      <c r="BX72" s="338"/>
      <c r="BY72" s="338"/>
      <c r="BZ72" s="338"/>
      <c r="CA72" s="338"/>
      <c r="CB72" s="338"/>
      <c r="CC72" s="338"/>
      <c r="CD72" s="338"/>
      <c r="CE72" s="338"/>
      <c r="CF72" s="338"/>
      <c r="CG72" s="338"/>
      <c r="CH72" s="338"/>
      <c r="CI72" s="338"/>
      <c r="CJ72" s="338"/>
      <c r="CK72" s="338"/>
      <c r="CL72" s="338"/>
    </row>
    <row r="73" ht="14.25" customHeight="1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40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8"/>
      <c r="AJ73" s="338"/>
      <c r="AK73" s="338"/>
      <c r="AL73" s="338"/>
      <c r="AM73" s="338"/>
      <c r="AN73" s="338"/>
      <c r="AO73" s="338"/>
      <c r="AP73" s="338"/>
      <c r="AQ73" s="338"/>
      <c r="AR73" s="338"/>
      <c r="AS73" s="338"/>
      <c r="AT73" s="338"/>
      <c r="AU73" s="338"/>
      <c r="AV73" s="338"/>
      <c r="AW73" s="338"/>
      <c r="AX73" s="338"/>
      <c r="AY73" s="338"/>
      <c r="AZ73" s="338"/>
      <c r="BA73" s="338"/>
      <c r="BB73" s="338"/>
      <c r="BC73" s="338"/>
      <c r="BD73" s="338"/>
      <c r="BE73" s="338"/>
      <c r="BF73" s="338"/>
      <c r="BG73" s="338"/>
      <c r="BH73" s="338"/>
      <c r="BI73" s="338"/>
      <c r="BJ73" s="338"/>
      <c r="BK73" s="338"/>
      <c r="BL73" s="338"/>
      <c r="BM73" s="338"/>
      <c r="BN73" s="338"/>
      <c r="BO73" s="338"/>
      <c r="BP73" s="338"/>
      <c r="BQ73" s="338"/>
      <c r="BR73" s="338"/>
      <c r="BS73" s="338"/>
      <c r="BT73" s="338"/>
      <c r="BU73" s="338"/>
      <c r="BV73" s="338"/>
      <c r="BW73" s="338"/>
      <c r="BX73" s="338"/>
      <c r="BY73" s="338"/>
      <c r="BZ73" s="338"/>
      <c r="CA73" s="338"/>
      <c r="CB73" s="338"/>
      <c r="CC73" s="338"/>
      <c r="CD73" s="338"/>
      <c r="CE73" s="338"/>
      <c r="CF73" s="338"/>
      <c r="CG73" s="338"/>
      <c r="CH73" s="338"/>
      <c r="CI73" s="338"/>
      <c r="CJ73" s="338"/>
      <c r="CK73" s="338"/>
      <c r="CL73" s="338"/>
    </row>
    <row r="74" ht="14.25" customHeight="1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40"/>
      <c r="N74" s="338"/>
      <c r="O74" s="338"/>
      <c r="P74" s="338"/>
      <c r="Q74" s="338"/>
      <c r="R74" s="338"/>
      <c r="S74" s="338"/>
      <c r="T74" s="338"/>
      <c r="U74" s="338"/>
      <c r="V74" s="338"/>
      <c r="W74" s="338"/>
      <c r="X74" s="338"/>
      <c r="Y74" s="338"/>
      <c r="Z74" s="338"/>
      <c r="AA74" s="338"/>
      <c r="AB74" s="338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8"/>
      <c r="AQ74" s="338"/>
      <c r="AR74" s="338"/>
      <c r="AS74" s="338"/>
      <c r="AT74" s="338"/>
      <c r="AU74" s="338"/>
      <c r="AV74" s="338"/>
      <c r="AW74" s="338"/>
      <c r="AX74" s="338"/>
      <c r="AY74" s="338"/>
      <c r="AZ74" s="338"/>
      <c r="BA74" s="338"/>
      <c r="BB74" s="338"/>
      <c r="BC74" s="338"/>
      <c r="BD74" s="338"/>
      <c r="BE74" s="338"/>
      <c r="BF74" s="338"/>
      <c r="BG74" s="338"/>
      <c r="BH74" s="338"/>
      <c r="BI74" s="338"/>
      <c r="BJ74" s="338"/>
      <c r="BK74" s="338"/>
      <c r="BL74" s="338"/>
      <c r="BM74" s="338"/>
      <c r="BN74" s="338"/>
      <c r="BO74" s="338"/>
      <c r="BP74" s="338"/>
      <c r="BQ74" s="338"/>
      <c r="BR74" s="338"/>
      <c r="BS74" s="338"/>
      <c r="BT74" s="338"/>
      <c r="BU74" s="338"/>
      <c r="BV74" s="338"/>
      <c r="BW74" s="338"/>
      <c r="BX74" s="338"/>
      <c r="BY74" s="338"/>
      <c r="BZ74" s="338"/>
      <c r="CA74" s="338"/>
      <c r="CB74" s="338"/>
      <c r="CC74" s="338"/>
      <c r="CD74" s="338"/>
      <c r="CE74" s="338"/>
      <c r="CF74" s="338"/>
      <c r="CG74" s="338"/>
      <c r="CH74" s="338"/>
      <c r="CI74" s="338"/>
      <c r="CJ74" s="338"/>
      <c r="CK74" s="338"/>
      <c r="CL74" s="338"/>
    </row>
    <row r="75" ht="14.25" customHeight="1">
      <c r="A75" s="338"/>
      <c r="B75" s="338"/>
      <c r="C75" s="338"/>
      <c r="D75" s="338"/>
      <c r="E75" s="338"/>
      <c r="F75" s="338"/>
      <c r="G75" s="338"/>
      <c r="H75" s="338"/>
      <c r="I75" s="338"/>
      <c r="J75" s="338"/>
      <c r="K75" s="338"/>
      <c r="L75" s="338"/>
      <c r="M75" s="340"/>
      <c r="N75" s="338"/>
      <c r="O75" s="338"/>
      <c r="P75" s="338"/>
      <c r="Q75" s="338"/>
      <c r="R75" s="338"/>
      <c r="S75" s="338"/>
      <c r="T75" s="338"/>
      <c r="U75" s="338"/>
      <c r="V75" s="338"/>
      <c r="W75" s="338"/>
      <c r="X75" s="338"/>
      <c r="Y75" s="338"/>
      <c r="Z75" s="338"/>
      <c r="AA75" s="338"/>
      <c r="AB75" s="338"/>
      <c r="AC75" s="338"/>
      <c r="AD75" s="338"/>
      <c r="AE75" s="338"/>
      <c r="AF75" s="338"/>
      <c r="AG75" s="338"/>
      <c r="AH75" s="338"/>
      <c r="AI75" s="338"/>
      <c r="AJ75" s="338"/>
      <c r="AK75" s="338"/>
      <c r="AL75" s="338"/>
      <c r="AM75" s="338"/>
      <c r="AN75" s="338"/>
      <c r="AO75" s="338"/>
      <c r="AP75" s="338"/>
      <c r="AQ75" s="338"/>
      <c r="AR75" s="338"/>
      <c r="AS75" s="338"/>
      <c r="AT75" s="338"/>
      <c r="AU75" s="338"/>
      <c r="AV75" s="338"/>
      <c r="AW75" s="338"/>
      <c r="AX75" s="338"/>
      <c r="AY75" s="338"/>
      <c r="AZ75" s="338"/>
      <c r="BA75" s="338"/>
      <c r="BB75" s="338"/>
      <c r="BC75" s="338"/>
      <c r="BD75" s="338"/>
      <c r="BE75" s="338"/>
      <c r="BF75" s="338"/>
      <c r="BG75" s="338"/>
      <c r="BH75" s="338"/>
      <c r="BI75" s="338"/>
      <c r="BJ75" s="338"/>
      <c r="BK75" s="338"/>
      <c r="BL75" s="338"/>
      <c r="BM75" s="338"/>
      <c r="BN75" s="338"/>
      <c r="BO75" s="338"/>
      <c r="BP75" s="338"/>
      <c r="BQ75" s="338"/>
      <c r="BR75" s="338"/>
      <c r="BS75" s="338"/>
      <c r="BT75" s="338"/>
      <c r="BU75" s="338"/>
      <c r="BV75" s="338"/>
      <c r="BW75" s="338"/>
      <c r="BX75" s="338"/>
      <c r="BY75" s="338"/>
      <c r="BZ75" s="338"/>
      <c r="CA75" s="338"/>
      <c r="CB75" s="338"/>
      <c r="CC75" s="338"/>
      <c r="CD75" s="338"/>
      <c r="CE75" s="338"/>
      <c r="CF75" s="338"/>
      <c r="CG75" s="338"/>
      <c r="CH75" s="338"/>
      <c r="CI75" s="338"/>
      <c r="CJ75" s="338"/>
      <c r="CK75" s="338"/>
      <c r="CL75" s="338"/>
    </row>
    <row r="76" ht="14.25" customHeight="1">
      <c r="A76" s="338"/>
      <c r="B76" s="338"/>
      <c r="C76" s="338"/>
      <c r="D76" s="338"/>
      <c r="E76" s="338"/>
      <c r="F76" s="338"/>
      <c r="G76" s="338"/>
      <c r="H76" s="338"/>
      <c r="I76" s="338"/>
      <c r="J76" s="338"/>
      <c r="K76" s="338"/>
      <c r="L76" s="338"/>
      <c r="M76" s="340"/>
      <c r="N76" s="338"/>
      <c r="O76" s="338"/>
      <c r="P76" s="338"/>
      <c r="Q76" s="338"/>
      <c r="R76" s="338"/>
      <c r="S76" s="338"/>
      <c r="T76" s="338"/>
      <c r="U76" s="338"/>
      <c r="V76" s="338"/>
      <c r="W76" s="338"/>
      <c r="X76" s="338"/>
      <c r="Y76" s="338"/>
      <c r="Z76" s="338"/>
      <c r="AA76" s="338"/>
      <c r="AB76" s="338"/>
      <c r="AC76" s="338"/>
      <c r="AD76" s="338"/>
      <c r="AE76" s="338"/>
      <c r="AF76" s="338"/>
      <c r="AG76" s="338"/>
      <c r="AH76" s="338"/>
      <c r="AI76" s="338"/>
      <c r="AJ76" s="338"/>
      <c r="AK76" s="338"/>
      <c r="AL76" s="338"/>
      <c r="AM76" s="338"/>
      <c r="AN76" s="338"/>
      <c r="AO76" s="338"/>
      <c r="AP76" s="338"/>
      <c r="AQ76" s="338"/>
      <c r="AR76" s="338"/>
      <c r="AS76" s="338"/>
      <c r="AT76" s="338"/>
      <c r="AU76" s="338"/>
      <c r="AV76" s="338"/>
      <c r="AW76" s="338"/>
      <c r="AX76" s="338"/>
      <c r="AY76" s="338"/>
      <c r="AZ76" s="338"/>
      <c r="BA76" s="338"/>
      <c r="BB76" s="338"/>
      <c r="BC76" s="338"/>
      <c r="BD76" s="338"/>
      <c r="BE76" s="338"/>
      <c r="BF76" s="338"/>
      <c r="BG76" s="338"/>
      <c r="BH76" s="338"/>
      <c r="BI76" s="338"/>
      <c r="BJ76" s="338"/>
      <c r="BK76" s="338"/>
      <c r="BL76" s="338"/>
      <c r="BM76" s="338"/>
      <c r="BN76" s="338"/>
      <c r="BO76" s="338"/>
      <c r="BP76" s="338"/>
      <c r="BQ76" s="338"/>
      <c r="BR76" s="338"/>
      <c r="BS76" s="338"/>
      <c r="BT76" s="338"/>
      <c r="BU76" s="338"/>
      <c r="BV76" s="338"/>
      <c r="BW76" s="338"/>
      <c r="BX76" s="338"/>
      <c r="BY76" s="338"/>
      <c r="BZ76" s="338"/>
      <c r="CA76" s="338"/>
      <c r="CB76" s="338"/>
      <c r="CC76" s="338"/>
      <c r="CD76" s="338"/>
      <c r="CE76" s="338"/>
      <c r="CF76" s="338"/>
      <c r="CG76" s="338"/>
      <c r="CH76" s="338"/>
      <c r="CI76" s="338"/>
      <c r="CJ76" s="338"/>
      <c r="CK76" s="338"/>
      <c r="CL76" s="338"/>
    </row>
    <row r="77" ht="14.25" customHeight="1">
      <c r="A77" s="338"/>
      <c r="B77" s="338"/>
      <c r="C77" s="338"/>
      <c r="D77" s="338"/>
      <c r="E77" s="338"/>
      <c r="F77" s="338"/>
      <c r="G77" s="338"/>
      <c r="H77" s="338"/>
      <c r="I77" s="338"/>
      <c r="J77" s="338"/>
      <c r="K77" s="338"/>
      <c r="L77" s="338"/>
      <c r="M77" s="340"/>
      <c r="N77" s="338"/>
      <c r="O77" s="338"/>
      <c r="P77" s="338"/>
      <c r="Q77" s="338"/>
      <c r="R77" s="338"/>
      <c r="S77" s="338"/>
      <c r="T77" s="338"/>
      <c r="U77" s="338"/>
      <c r="V77" s="338"/>
      <c r="W77" s="338"/>
      <c r="X77" s="338"/>
      <c r="Y77" s="338"/>
      <c r="Z77" s="338"/>
      <c r="AA77" s="338"/>
      <c r="AB77" s="338"/>
      <c r="AC77" s="338"/>
      <c r="AD77" s="338"/>
      <c r="AE77" s="338"/>
      <c r="AF77" s="338"/>
      <c r="AG77" s="338"/>
      <c r="AH77" s="338"/>
      <c r="AI77" s="338"/>
      <c r="AJ77" s="338"/>
      <c r="AK77" s="338"/>
      <c r="AL77" s="338"/>
      <c r="AM77" s="338"/>
      <c r="AN77" s="338"/>
      <c r="AO77" s="338"/>
      <c r="AP77" s="338"/>
      <c r="AQ77" s="338"/>
      <c r="AR77" s="338"/>
      <c r="AS77" s="338"/>
      <c r="AT77" s="338"/>
      <c r="AU77" s="338"/>
      <c r="AV77" s="338"/>
      <c r="AW77" s="338"/>
      <c r="AX77" s="338"/>
      <c r="AY77" s="338"/>
      <c r="AZ77" s="338"/>
      <c r="BA77" s="338"/>
      <c r="BB77" s="338"/>
      <c r="BC77" s="338"/>
      <c r="BD77" s="338"/>
      <c r="BE77" s="338"/>
      <c r="BF77" s="338"/>
      <c r="BG77" s="338"/>
      <c r="BH77" s="338"/>
      <c r="BI77" s="338"/>
      <c r="BJ77" s="338"/>
      <c r="BK77" s="338"/>
      <c r="BL77" s="338"/>
      <c r="BM77" s="338"/>
      <c r="BN77" s="338"/>
      <c r="BO77" s="338"/>
      <c r="BP77" s="338"/>
      <c r="BQ77" s="338"/>
      <c r="BR77" s="338"/>
      <c r="BS77" s="338"/>
      <c r="BT77" s="338"/>
      <c r="BU77" s="338"/>
      <c r="BV77" s="338"/>
      <c r="BW77" s="338"/>
      <c r="BX77" s="338"/>
      <c r="BY77" s="338"/>
      <c r="BZ77" s="338"/>
      <c r="CA77" s="338"/>
      <c r="CB77" s="338"/>
      <c r="CC77" s="338"/>
      <c r="CD77" s="338"/>
      <c r="CE77" s="338"/>
      <c r="CF77" s="338"/>
      <c r="CG77" s="338"/>
      <c r="CH77" s="338"/>
      <c r="CI77" s="338"/>
      <c r="CJ77" s="338"/>
      <c r="CK77" s="338"/>
      <c r="CL77" s="338"/>
    </row>
    <row r="78" ht="14.25" customHeight="1">
      <c r="A78" s="338"/>
      <c r="B78" s="338"/>
      <c r="C78" s="338"/>
      <c r="D78" s="338"/>
      <c r="E78" s="338"/>
      <c r="F78" s="338"/>
      <c r="G78" s="338"/>
      <c r="H78" s="338"/>
      <c r="I78" s="338"/>
      <c r="J78" s="338"/>
      <c r="K78" s="338"/>
      <c r="L78" s="338"/>
      <c r="M78" s="340"/>
      <c r="N78" s="338"/>
      <c r="O78" s="338"/>
      <c r="P78" s="338"/>
      <c r="Q78" s="338"/>
      <c r="R78" s="338"/>
      <c r="S78" s="338"/>
      <c r="T78" s="338"/>
      <c r="U78" s="338"/>
      <c r="V78" s="338"/>
      <c r="W78" s="338"/>
      <c r="X78" s="338"/>
      <c r="Y78" s="338"/>
      <c r="Z78" s="338"/>
      <c r="AA78" s="338"/>
      <c r="AB78" s="338"/>
      <c r="AC78" s="338"/>
      <c r="AD78" s="338"/>
      <c r="AE78" s="338"/>
      <c r="AF78" s="338"/>
      <c r="AG78" s="338"/>
      <c r="AH78" s="338"/>
      <c r="AI78" s="338"/>
      <c r="AJ78" s="338"/>
      <c r="AK78" s="338"/>
      <c r="AL78" s="338"/>
      <c r="AM78" s="338"/>
      <c r="AN78" s="338"/>
      <c r="AO78" s="338"/>
      <c r="AP78" s="338"/>
      <c r="AQ78" s="338"/>
      <c r="AR78" s="338"/>
      <c r="AS78" s="338"/>
      <c r="AT78" s="338"/>
      <c r="AU78" s="338"/>
      <c r="AV78" s="338"/>
      <c r="AW78" s="338"/>
      <c r="AX78" s="338"/>
      <c r="AY78" s="338"/>
      <c r="AZ78" s="338"/>
      <c r="BA78" s="338"/>
      <c r="BB78" s="338"/>
      <c r="BC78" s="338"/>
      <c r="BD78" s="338"/>
      <c r="BE78" s="338"/>
      <c r="BF78" s="338"/>
      <c r="BG78" s="338"/>
      <c r="BH78" s="338"/>
      <c r="BI78" s="338"/>
      <c r="BJ78" s="338"/>
      <c r="BK78" s="338"/>
      <c r="BL78" s="338"/>
      <c r="BM78" s="338"/>
      <c r="BN78" s="338"/>
      <c r="BO78" s="338"/>
      <c r="BP78" s="338"/>
      <c r="BQ78" s="338"/>
      <c r="BR78" s="338"/>
      <c r="BS78" s="338"/>
      <c r="BT78" s="338"/>
      <c r="BU78" s="338"/>
      <c r="BV78" s="338"/>
      <c r="BW78" s="338"/>
      <c r="BX78" s="338"/>
      <c r="BY78" s="338"/>
      <c r="BZ78" s="338"/>
      <c r="CA78" s="338"/>
      <c r="CB78" s="338"/>
      <c r="CC78" s="338"/>
      <c r="CD78" s="338"/>
      <c r="CE78" s="338"/>
      <c r="CF78" s="338"/>
      <c r="CG78" s="338"/>
      <c r="CH78" s="338"/>
      <c r="CI78" s="338"/>
      <c r="CJ78" s="338"/>
      <c r="CK78" s="338"/>
      <c r="CL78" s="338"/>
    </row>
    <row r="79" ht="14.25" customHeight="1">
      <c r="A79" s="338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40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A79" s="338"/>
      <c r="AB79" s="338"/>
      <c r="AC79" s="338"/>
      <c r="AD79" s="338"/>
      <c r="AE79" s="338"/>
      <c r="AF79" s="338"/>
      <c r="AG79" s="338"/>
      <c r="AH79" s="338"/>
      <c r="AI79" s="338"/>
      <c r="AJ79" s="338"/>
      <c r="AK79" s="338"/>
      <c r="AL79" s="338"/>
      <c r="AM79" s="338"/>
      <c r="AN79" s="338"/>
      <c r="AO79" s="338"/>
      <c r="AP79" s="338"/>
      <c r="AQ79" s="338"/>
      <c r="AR79" s="338"/>
      <c r="AS79" s="338"/>
      <c r="AT79" s="338"/>
      <c r="AU79" s="338"/>
      <c r="AV79" s="338"/>
      <c r="AW79" s="338"/>
      <c r="AX79" s="338"/>
      <c r="AY79" s="338"/>
      <c r="AZ79" s="338"/>
      <c r="BA79" s="338"/>
      <c r="BB79" s="338"/>
      <c r="BC79" s="338"/>
      <c r="BD79" s="338"/>
      <c r="BE79" s="338"/>
      <c r="BF79" s="338"/>
      <c r="BG79" s="338"/>
      <c r="BH79" s="338"/>
      <c r="BI79" s="338"/>
      <c r="BJ79" s="338"/>
      <c r="BK79" s="338"/>
      <c r="BL79" s="338"/>
      <c r="BM79" s="338"/>
      <c r="BN79" s="338"/>
      <c r="BO79" s="338"/>
      <c r="BP79" s="338"/>
      <c r="BQ79" s="338"/>
      <c r="BR79" s="338"/>
      <c r="BS79" s="338"/>
      <c r="BT79" s="338"/>
      <c r="BU79" s="338"/>
      <c r="BV79" s="338"/>
      <c r="BW79" s="338"/>
      <c r="BX79" s="338"/>
      <c r="BY79" s="338"/>
      <c r="BZ79" s="338"/>
      <c r="CA79" s="338"/>
      <c r="CB79" s="338"/>
      <c r="CC79" s="338"/>
      <c r="CD79" s="338"/>
      <c r="CE79" s="338"/>
      <c r="CF79" s="338"/>
      <c r="CG79" s="338"/>
      <c r="CH79" s="338"/>
      <c r="CI79" s="338"/>
      <c r="CJ79" s="338"/>
      <c r="CK79" s="338"/>
      <c r="CL79" s="338"/>
    </row>
    <row r="80" ht="14.25" customHeight="1">
      <c r="A80" s="338"/>
      <c r="B80" s="338"/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40"/>
      <c r="N80" s="338"/>
      <c r="O80" s="338"/>
      <c r="P80" s="338"/>
      <c r="Q80" s="338"/>
      <c r="R80" s="338"/>
      <c r="S80" s="338"/>
      <c r="T80" s="338"/>
      <c r="U80" s="338"/>
      <c r="V80" s="338"/>
      <c r="W80" s="338"/>
      <c r="X80" s="338"/>
      <c r="Y80" s="338"/>
      <c r="Z80" s="338"/>
      <c r="AA80" s="338"/>
      <c r="AB80" s="338"/>
      <c r="AC80" s="338"/>
      <c r="AD80" s="338"/>
      <c r="AE80" s="338"/>
      <c r="AF80" s="338"/>
      <c r="AG80" s="338"/>
      <c r="AH80" s="338"/>
      <c r="AI80" s="338"/>
      <c r="AJ80" s="338"/>
      <c r="AK80" s="338"/>
      <c r="AL80" s="338"/>
      <c r="AM80" s="338"/>
      <c r="AN80" s="338"/>
      <c r="AO80" s="338"/>
      <c r="AP80" s="338"/>
      <c r="AQ80" s="338"/>
      <c r="AR80" s="338"/>
      <c r="AS80" s="338"/>
      <c r="AT80" s="338"/>
      <c r="AU80" s="338"/>
      <c r="AV80" s="338"/>
      <c r="AW80" s="338"/>
      <c r="AX80" s="338"/>
      <c r="AY80" s="338"/>
      <c r="AZ80" s="338"/>
      <c r="BA80" s="338"/>
      <c r="BB80" s="338"/>
      <c r="BC80" s="338"/>
      <c r="BD80" s="338"/>
      <c r="BE80" s="338"/>
      <c r="BF80" s="338"/>
      <c r="BG80" s="338"/>
      <c r="BH80" s="338"/>
      <c r="BI80" s="338"/>
      <c r="BJ80" s="338"/>
      <c r="BK80" s="338"/>
      <c r="BL80" s="338"/>
      <c r="BM80" s="338"/>
      <c r="BN80" s="338"/>
      <c r="BO80" s="338"/>
      <c r="BP80" s="338"/>
      <c r="BQ80" s="338"/>
      <c r="BR80" s="338"/>
      <c r="BS80" s="338"/>
      <c r="BT80" s="338"/>
      <c r="BU80" s="338"/>
      <c r="BV80" s="338"/>
      <c r="BW80" s="338"/>
      <c r="BX80" s="338"/>
      <c r="BY80" s="338"/>
      <c r="BZ80" s="338"/>
      <c r="CA80" s="338"/>
      <c r="CB80" s="338"/>
      <c r="CC80" s="338"/>
      <c r="CD80" s="338"/>
      <c r="CE80" s="338"/>
      <c r="CF80" s="338"/>
      <c r="CG80" s="338"/>
      <c r="CH80" s="338"/>
      <c r="CI80" s="338"/>
      <c r="CJ80" s="338"/>
      <c r="CK80" s="338"/>
      <c r="CL80" s="338"/>
    </row>
    <row r="81" ht="14.25" customHeight="1">
      <c r="A81" s="338"/>
      <c r="B81" s="338"/>
      <c r="C81" s="338"/>
      <c r="D81" s="338"/>
      <c r="E81" s="338"/>
      <c r="F81" s="338"/>
      <c r="G81" s="338"/>
      <c r="H81" s="338"/>
      <c r="I81" s="338"/>
      <c r="J81" s="338"/>
      <c r="K81" s="338"/>
      <c r="L81" s="338"/>
      <c r="M81" s="340"/>
      <c r="N81" s="338"/>
      <c r="O81" s="338"/>
      <c r="P81" s="338"/>
      <c r="Q81" s="338"/>
      <c r="R81" s="338"/>
      <c r="S81" s="338"/>
      <c r="T81" s="338"/>
      <c r="U81" s="338"/>
      <c r="V81" s="338"/>
      <c r="W81" s="338"/>
      <c r="X81" s="338"/>
      <c r="Y81" s="338"/>
      <c r="Z81" s="338"/>
      <c r="AA81" s="338"/>
      <c r="AB81" s="338"/>
      <c r="AC81" s="338"/>
      <c r="AD81" s="338"/>
      <c r="AE81" s="338"/>
      <c r="AF81" s="338"/>
      <c r="AG81" s="338"/>
      <c r="AH81" s="338"/>
      <c r="AI81" s="338"/>
      <c r="AJ81" s="338"/>
      <c r="AK81" s="338"/>
      <c r="AL81" s="338"/>
      <c r="AM81" s="338"/>
      <c r="AN81" s="338"/>
      <c r="AO81" s="338"/>
      <c r="AP81" s="338"/>
      <c r="AQ81" s="338"/>
      <c r="AR81" s="338"/>
      <c r="AS81" s="338"/>
      <c r="AT81" s="338"/>
      <c r="AU81" s="338"/>
      <c r="AV81" s="338"/>
      <c r="AW81" s="338"/>
      <c r="AX81" s="338"/>
      <c r="AY81" s="338"/>
      <c r="AZ81" s="338"/>
      <c r="BA81" s="338"/>
      <c r="BB81" s="338"/>
      <c r="BC81" s="338"/>
      <c r="BD81" s="338"/>
      <c r="BE81" s="338"/>
      <c r="BF81" s="338"/>
      <c r="BG81" s="338"/>
      <c r="BH81" s="338"/>
      <c r="BI81" s="338"/>
      <c r="BJ81" s="338"/>
      <c r="BK81" s="338"/>
      <c r="BL81" s="338"/>
      <c r="BM81" s="338"/>
      <c r="BN81" s="338"/>
      <c r="BO81" s="338"/>
      <c r="BP81" s="338"/>
      <c r="BQ81" s="338"/>
      <c r="BR81" s="338"/>
      <c r="BS81" s="338"/>
      <c r="BT81" s="338"/>
      <c r="BU81" s="338"/>
      <c r="BV81" s="338"/>
      <c r="BW81" s="338"/>
      <c r="BX81" s="338"/>
      <c r="BY81" s="338"/>
      <c r="BZ81" s="338"/>
      <c r="CA81" s="338"/>
      <c r="CB81" s="338"/>
      <c r="CC81" s="338"/>
      <c r="CD81" s="338"/>
      <c r="CE81" s="338"/>
      <c r="CF81" s="338"/>
      <c r="CG81" s="338"/>
      <c r="CH81" s="338"/>
      <c r="CI81" s="338"/>
      <c r="CJ81" s="338"/>
      <c r="CK81" s="338"/>
      <c r="CL81" s="338"/>
    </row>
    <row r="82" ht="14.25" customHeight="1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40"/>
      <c r="N82" s="338"/>
      <c r="O82" s="338"/>
      <c r="P82" s="338"/>
      <c r="Q82" s="338"/>
      <c r="R82" s="338"/>
      <c r="S82" s="338"/>
      <c r="T82" s="338"/>
      <c r="U82" s="338"/>
      <c r="V82" s="338"/>
      <c r="W82" s="338"/>
      <c r="X82" s="338"/>
      <c r="Y82" s="338"/>
      <c r="Z82" s="338"/>
      <c r="AA82" s="338"/>
      <c r="AB82" s="338"/>
      <c r="AC82" s="338"/>
      <c r="AD82" s="338"/>
      <c r="AE82" s="338"/>
      <c r="AF82" s="338"/>
      <c r="AG82" s="338"/>
      <c r="AH82" s="338"/>
      <c r="AI82" s="338"/>
      <c r="AJ82" s="338"/>
      <c r="AK82" s="338"/>
      <c r="AL82" s="338"/>
      <c r="AM82" s="338"/>
      <c r="AN82" s="338"/>
      <c r="AO82" s="338"/>
      <c r="AP82" s="338"/>
      <c r="AQ82" s="338"/>
      <c r="AR82" s="338"/>
      <c r="AS82" s="338"/>
      <c r="AT82" s="338"/>
      <c r="AU82" s="338"/>
      <c r="AV82" s="338"/>
      <c r="AW82" s="338"/>
      <c r="AX82" s="338"/>
      <c r="AY82" s="338"/>
      <c r="AZ82" s="338"/>
      <c r="BA82" s="338"/>
      <c r="BB82" s="338"/>
      <c r="BC82" s="338"/>
      <c r="BD82" s="338"/>
      <c r="BE82" s="338"/>
      <c r="BF82" s="338"/>
      <c r="BG82" s="338"/>
      <c r="BH82" s="338"/>
      <c r="BI82" s="338"/>
      <c r="BJ82" s="338"/>
      <c r="BK82" s="338"/>
      <c r="BL82" s="338"/>
      <c r="BM82" s="338"/>
      <c r="BN82" s="338"/>
      <c r="BO82" s="338"/>
      <c r="BP82" s="338"/>
      <c r="BQ82" s="338"/>
      <c r="BR82" s="338"/>
      <c r="BS82" s="338"/>
      <c r="BT82" s="338"/>
      <c r="BU82" s="338"/>
      <c r="BV82" s="338"/>
      <c r="BW82" s="338"/>
      <c r="BX82" s="338"/>
      <c r="BY82" s="338"/>
      <c r="BZ82" s="338"/>
      <c r="CA82" s="338"/>
      <c r="CB82" s="338"/>
      <c r="CC82" s="338"/>
      <c r="CD82" s="338"/>
      <c r="CE82" s="338"/>
      <c r="CF82" s="338"/>
      <c r="CG82" s="338"/>
      <c r="CH82" s="338"/>
      <c r="CI82" s="338"/>
      <c r="CJ82" s="338"/>
      <c r="CK82" s="338"/>
      <c r="CL82" s="338"/>
    </row>
    <row r="83" ht="14.25" customHeight="1">
      <c r="A83" s="338"/>
      <c r="B83" s="338"/>
      <c r="C83" s="338"/>
      <c r="D83" s="338"/>
      <c r="E83" s="338"/>
      <c r="F83" s="338"/>
      <c r="G83" s="338"/>
      <c r="H83" s="338"/>
      <c r="I83" s="338"/>
      <c r="J83" s="338"/>
      <c r="K83" s="338"/>
      <c r="L83" s="338"/>
      <c r="M83" s="340"/>
      <c r="N83" s="338"/>
      <c r="O83" s="338"/>
      <c r="P83" s="338"/>
      <c r="Q83" s="338"/>
      <c r="R83" s="338"/>
      <c r="S83" s="338"/>
      <c r="T83" s="338"/>
      <c r="U83" s="338"/>
      <c r="V83" s="338"/>
      <c r="W83" s="338"/>
      <c r="X83" s="338"/>
      <c r="Y83" s="338"/>
      <c r="Z83" s="338"/>
      <c r="AA83" s="338"/>
      <c r="AB83" s="338"/>
      <c r="AC83" s="338"/>
      <c r="AD83" s="338"/>
      <c r="AE83" s="338"/>
      <c r="AF83" s="338"/>
      <c r="AG83" s="338"/>
      <c r="AH83" s="338"/>
      <c r="AI83" s="338"/>
      <c r="AJ83" s="338"/>
      <c r="AK83" s="338"/>
      <c r="AL83" s="338"/>
      <c r="AM83" s="338"/>
      <c r="AN83" s="338"/>
      <c r="AO83" s="338"/>
      <c r="AP83" s="338"/>
      <c r="AQ83" s="338"/>
      <c r="AR83" s="338"/>
      <c r="AS83" s="338"/>
      <c r="AT83" s="338"/>
      <c r="AU83" s="338"/>
      <c r="AV83" s="338"/>
      <c r="AW83" s="338"/>
      <c r="AX83" s="338"/>
      <c r="AY83" s="338"/>
      <c r="AZ83" s="338"/>
      <c r="BA83" s="338"/>
      <c r="BB83" s="338"/>
      <c r="BC83" s="338"/>
      <c r="BD83" s="338"/>
      <c r="BE83" s="338"/>
      <c r="BF83" s="338"/>
      <c r="BG83" s="338"/>
      <c r="BH83" s="338"/>
      <c r="BI83" s="338"/>
      <c r="BJ83" s="338"/>
      <c r="BK83" s="338"/>
      <c r="BL83" s="338"/>
      <c r="BM83" s="338"/>
      <c r="BN83" s="338"/>
      <c r="BO83" s="338"/>
      <c r="BP83" s="338"/>
      <c r="BQ83" s="338"/>
      <c r="BR83" s="338"/>
      <c r="BS83" s="338"/>
      <c r="BT83" s="338"/>
      <c r="BU83" s="338"/>
      <c r="BV83" s="338"/>
      <c r="BW83" s="338"/>
      <c r="BX83" s="338"/>
      <c r="BY83" s="338"/>
      <c r="BZ83" s="338"/>
      <c r="CA83" s="338"/>
      <c r="CB83" s="338"/>
      <c r="CC83" s="338"/>
      <c r="CD83" s="338"/>
      <c r="CE83" s="338"/>
      <c r="CF83" s="338"/>
      <c r="CG83" s="338"/>
      <c r="CH83" s="338"/>
      <c r="CI83" s="338"/>
      <c r="CJ83" s="338"/>
      <c r="CK83" s="338"/>
      <c r="CL83" s="338"/>
    </row>
    <row r="84" ht="14.25" customHeight="1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40"/>
      <c r="N84" s="338"/>
      <c r="O84" s="338"/>
      <c r="P84" s="338"/>
      <c r="Q84" s="338"/>
      <c r="R84" s="338"/>
      <c r="S84" s="338"/>
      <c r="T84" s="338"/>
      <c r="U84" s="338"/>
      <c r="V84" s="338"/>
      <c r="W84" s="338"/>
      <c r="X84" s="338"/>
      <c r="Y84" s="338"/>
      <c r="Z84" s="338"/>
      <c r="AA84" s="338"/>
      <c r="AB84" s="338"/>
      <c r="AC84" s="338"/>
      <c r="AD84" s="338"/>
      <c r="AE84" s="338"/>
      <c r="AF84" s="338"/>
      <c r="AG84" s="338"/>
      <c r="AH84" s="338"/>
      <c r="AI84" s="338"/>
      <c r="AJ84" s="338"/>
      <c r="AK84" s="338"/>
      <c r="AL84" s="338"/>
      <c r="AM84" s="338"/>
      <c r="AN84" s="338"/>
      <c r="AO84" s="338"/>
      <c r="AP84" s="338"/>
      <c r="AQ84" s="338"/>
      <c r="AR84" s="338"/>
      <c r="AS84" s="338"/>
      <c r="AT84" s="338"/>
      <c r="AU84" s="338"/>
      <c r="AV84" s="338"/>
      <c r="AW84" s="338"/>
      <c r="AX84" s="338"/>
      <c r="AY84" s="338"/>
      <c r="AZ84" s="338"/>
      <c r="BA84" s="338"/>
      <c r="BB84" s="338"/>
      <c r="BC84" s="338"/>
      <c r="BD84" s="338"/>
      <c r="BE84" s="338"/>
      <c r="BF84" s="338"/>
      <c r="BG84" s="338"/>
      <c r="BH84" s="338"/>
      <c r="BI84" s="338"/>
      <c r="BJ84" s="338"/>
      <c r="BK84" s="338"/>
      <c r="BL84" s="338"/>
      <c r="BM84" s="338"/>
      <c r="BN84" s="338"/>
      <c r="BO84" s="338"/>
      <c r="BP84" s="338"/>
      <c r="BQ84" s="338"/>
      <c r="BR84" s="338"/>
      <c r="BS84" s="338"/>
      <c r="BT84" s="338"/>
      <c r="BU84" s="338"/>
      <c r="BV84" s="338"/>
      <c r="BW84" s="338"/>
      <c r="BX84" s="338"/>
      <c r="BY84" s="338"/>
      <c r="BZ84" s="338"/>
      <c r="CA84" s="338"/>
      <c r="CB84" s="338"/>
      <c r="CC84" s="338"/>
      <c r="CD84" s="338"/>
      <c r="CE84" s="338"/>
      <c r="CF84" s="338"/>
      <c r="CG84" s="338"/>
      <c r="CH84" s="338"/>
      <c r="CI84" s="338"/>
      <c r="CJ84" s="338"/>
      <c r="CK84" s="338"/>
      <c r="CL84" s="338"/>
    </row>
    <row r="85" ht="14.25" customHeight="1">
      <c r="A85" s="338"/>
      <c r="B85" s="338"/>
      <c r="C85" s="338"/>
      <c r="D85" s="338"/>
      <c r="E85" s="338"/>
      <c r="F85" s="338"/>
      <c r="G85" s="338"/>
      <c r="H85" s="338"/>
      <c r="I85" s="338"/>
      <c r="J85" s="338"/>
      <c r="K85" s="338"/>
      <c r="L85" s="338"/>
      <c r="M85" s="340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8"/>
      <c r="Y85" s="338"/>
      <c r="Z85" s="338"/>
      <c r="AA85" s="338"/>
      <c r="AB85" s="338"/>
      <c r="AC85" s="338"/>
      <c r="AD85" s="338"/>
      <c r="AE85" s="338"/>
      <c r="AF85" s="338"/>
      <c r="AG85" s="338"/>
      <c r="AH85" s="338"/>
      <c r="AI85" s="338"/>
      <c r="AJ85" s="338"/>
      <c r="AK85" s="338"/>
      <c r="AL85" s="338"/>
      <c r="AM85" s="338"/>
      <c r="AN85" s="338"/>
      <c r="AO85" s="338"/>
      <c r="AP85" s="338"/>
      <c r="AQ85" s="338"/>
      <c r="AR85" s="338"/>
      <c r="AS85" s="338"/>
      <c r="AT85" s="338"/>
      <c r="AU85" s="338"/>
      <c r="AV85" s="338"/>
      <c r="AW85" s="338"/>
      <c r="AX85" s="338"/>
      <c r="AY85" s="338"/>
      <c r="AZ85" s="338"/>
      <c r="BA85" s="338"/>
      <c r="BB85" s="338"/>
      <c r="BC85" s="338"/>
      <c r="BD85" s="338"/>
      <c r="BE85" s="338"/>
      <c r="BF85" s="338"/>
      <c r="BG85" s="338"/>
      <c r="BH85" s="338"/>
      <c r="BI85" s="338"/>
      <c r="BJ85" s="338"/>
      <c r="BK85" s="338"/>
      <c r="BL85" s="338"/>
      <c r="BM85" s="338"/>
      <c r="BN85" s="338"/>
      <c r="BO85" s="338"/>
      <c r="BP85" s="338"/>
      <c r="BQ85" s="338"/>
      <c r="BR85" s="338"/>
      <c r="BS85" s="338"/>
      <c r="BT85" s="338"/>
      <c r="BU85" s="338"/>
      <c r="BV85" s="338"/>
      <c r="BW85" s="338"/>
      <c r="BX85" s="338"/>
      <c r="BY85" s="338"/>
      <c r="BZ85" s="338"/>
      <c r="CA85" s="338"/>
      <c r="CB85" s="338"/>
      <c r="CC85" s="338"/>
      <c r="CD85" s="338"/>
      <c r="CE85" s="338"/>
      <c r="CF85" s="338"/>
      <c r="CG85" s="338"/>
      <c r="CH85" s="338"/>
      <c r="CI85" s="338"/>
      <c r="CJ85" s="338"/>
      <c r="CK85" s="338"/>
      <c r="CL85" s="338"/>
    </row>
    <row r="86" ht="14.25" customHeight="1">
      <c r="A86" s="338"/>
      <c r="B86" s="338"/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40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  <c r="AA86" s="338"/>
      <c r="AB86" s="338"/>
      <c r="AC86" s="338"/>
      <c r="AD86" s="338"/>
      <c r="AE86" s="338"/>
      <c r="AF86" s="338"/>
      <c r="AG86" s="338"/>
      <c r="AH86" s="338"/>
      <c r="AI86" s="338"/>
      <c r="AJ86" s="338"/>
      <c r="AK86" s="338"/>
      <c r="AL86" s="338"/>
      <c r="AM86" s="338"/>
      <c r="AN86" s="338"/>
      <c r="AO86" s="338"/>
      <c r="AP86" s="338"/>
      <c r="AQ86" s="338"/>
      <c r="AR86" s="338"/>
      <c r="AS86" s="338"/>
      <c r="AT86" s="338"/>
      <c r="AU86" s="338"/>
      <c r="AV86" s="338"/>
      <c r="AW86" s="338"/>
      <c r="AX86" s="338"/>
      <c r="AY86" s="338"/>
      <c r="AZ86" s="338"/>
      <c r="BA86" s="338"/>
      <c r="BB86" s="338"/>
      <c r="BC86" s="338"/>
      <c r="BD86" s="338"/>
      <c r="BE86" s="338"/>
      <c r="BF86" s="338"/>
      <c r="BG86" s="338"/>
      <c r="BH86" s="338"/>
      <c r="BI86" s="338"/>
      <c r="BJ86" s="338"/>
      <c r="BK86" s="338"/>
      <c r="BL86" s="338"/>
      <c r="BM86" s="338"/>
      <c r="BN86" s="338"/>
      <c r="BO86" s="338"/>
      <c r="BP86" s="338"/>
      <c r="BQ86" s="338"/>
      <c r="BR86" s="338"/>
      <c r="BS86" s="338"/>
      <c r="BT86" s="338"/>
      <c r="BU86" s="338"/>
      <c r="BV86" s="338"/>
      <c r="BW86" s="338"/>
      <c r="BX86" s="338"/>
      <c r="BY86" s="338"/>
      <c r="BZ86" s="338"/>
      <c r="CA86" s="338"/>
      <c r="CB86" s="338"/>
      <c r="CC86" s="338"/>
      <c r="CD86" s="338"/>
      <c r="CE86" s="338"/>
      <c r="CF86" s="338"/>
      <c r="CG86" s="338"/>
      <c r="CH86" s="338"/>
      <c r="CI86" s="338"/>
      <c r="CJ86" s="338"/>
      <c r="CK86" s="338"/>
      <c r="CL86" s="338"/>
    </row>
    <row r="87" ht="14.25" customHeight="1">
      <c r="A87" s="338"/>
      <c r="B87" s="338"/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40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338"/>
      <c r="AB87" s="338"/>
      <c r="AC87" s="338"/>
      <c r="AD87" s="338"/>
      <c r="AE87" s="338"/>
      <c r="AF87" s="338"/>
      <c r="AG87" s="338"/>
      <c r="AH87" s="338"/>
      <c r="AI87" s="338"/>
      <c r="AJ87" s="338"/>
      <c r="AK87" s="338"/>
      <c r="AL87" s="338"/>
      <c r="AM87" s="338"/>
      <c r="AN87" s="338"/>
      <c r="AO87" s="338"/>
      <c r="AP87" s="338"/>
      <c r="AQ87" s="338"/>
      <c r="AR87" s="338"/>
      <c r="AS87" s="338"/>
      <c r="AT87" s="338"/>
      <c r="AU87" s="338"/>
      <c r="AV87" s="338"/>
      <c r="AW87" s="338"/>
      <c r="AX87" s="338"/>
      <c r="AY87" s="338"/>
      <c r="AZ87" s="338"/>
      <c r="BA87" s="338"/>
      <c r="BB87" s="338"/>
      <c r="BC87" s="338"/>
      <c r="BD87" s="338"/>
      <c r="BE87" s="338"/>
      <c r="BF87" s="338"/>
      <c r="BG87" s="338"/>
      <c r="BH87" s="338"/>
      <c r="BI87" s="338"/>
      <c r="BJ87" s="338"/>
      <c r="BK87" s="338"/>
      <c r="BL87" s="338"/>
      <c r="BM87" s="338"/>
      <c r="BN87" s="338"/>
      <c r="BO87" s="338"/>
      <c r="BP87" s="338"/>
      <c r="BQ87" s="338"/>
      <c r="BR87" s="338"/>
      <c r="BS87" s="338"/>
      <c r="BT87" s="338"/>
      <c r="BU87" s="338"/>
      <c r="BV87" s="338"/>
      <c r="BW87" s="338"/>
      <c r="BX87" s="338"/>
      <c r="BY87" s="338"/>
      <c r="BZ87" s="338"/>
      <c r="CA87" s="338"/>
      <c r="CB87" s="338"/>
      <c r="CC87" s="338"/>
      <c r="CD87" s="338"/>
      <c r="CE87" s="338"/>
      <c r="CF87" s="338"/>
      <c r="CG87" s="338"/>
      <c r="CH87" s="338"/>
      <c r="CI87" s="338"/>
      <c r="CJ87" s="338"/>
      <c r="CK87" s="338"/>
      <c r="CL87" s="338"/>
    </row>
    <row r="88" ht="14.25" customHeight="1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40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338"/>
      <c r="AB88" s="338"/>
      <c r="AC88" s="338"/>
      <c r="AD88" s="338"/>
      <c r="AE88" s="338"/>
      <c r="AF88" s="338"/>
      <c r="AG88" s="338"/>
      <c r="AH88" s="338"/>
      <c r="AI88" s="338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8"/>
      <c r="AV88" s="338"/>
      <c r="AW88" s="338"/>
      <c r="AX88" s="338"/>
      <c r="AY88" s="338"/>
      <c r="AZ88" s="338"/>
      <c r="BA88" s="338"/>
      <c r="BB88" s="338"/>
      <c r="BC88" s="338"/>
      <c r="BD88" s="338"/>
      <c r="BE88" s="338"/>
      <c r="BF88" s="338"/>
      <c r="BG88" s="338"/>
      <c r="BH88" s="338"/>
      <c r="BI88" s="338"/>
      <c r="BJ88" s="338"/>
      <c r="BK88" s="338"/>
      <c r="BL88" s="338"/>
      <c r="BM88" s="338"/>
      <c r="BN88" s="338"/>
      <c r="BO88" s="338"/>
      <c r="BP88" s="338"/>
      <c r="BQ88" s="338"/>
      <c r="BR88" s="338"/>
      <c r="BS88" s="338"/>
      <c r="BT88" s="338"/>
      <c r="BU88" s="338"/>
      <c r="BV88" s="338"/>
      <c r="BW88" s="338"/>
      <c r="BX88" s="338"/>
      <c r="BY88" s="338"/>
      <c r="BZ88" s="338"/>
      <c r="CA88" s="338"/>
      <c r="CB88" s="338"/>
      <c r="CC88" s="338"/>
      <c r="CD88" s="338"/>
      <c r="CE88" s="338"/>
      <c r="CF88" s="338"/>
      <c r="CG88" s="338"/>
      <c r="CH88" s="338"/>
      <c r="CI88" s="338"/>
      <c r="CJ88" s="338"/>
      <c r="CK88" s="338"/>
      <c r="CL88" s="338"/>
    </row>
    <row r="89" ht="14.25" customHeight="1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40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8"/>
      <c r="Y89" s="338"/>
      <c r="Z89" s="338"/>
      <c r="AA89" s="338"/>
      <c r="AB89" s="338"/>
      <c r="AC89" s="338"/>
      <c r="AD89" s="338"/>
      <c r="AE89" s="338"/>
      <c r="AF89" s="338"/>
      <c r="AG89" s="338"/>
      <c r="AH89" s="338"/>
      <c r="AI89" s="338"/>
      <c r="AJ89" s="338"/>
      <c r="AK89" s="338"/>
      <c r="AL89" s="338"/>
      <c r="AM89" s="338"/>
      <c r="AN89" s="338"/>
      <c r="AO89" s="338"/>
      <c r="AP89" s="338"/>
      <c r="AQ89" s="338"/>
      <c r="AR89" s="338"/>
      <c r="AS89" s="338"/>
      <c r="AT89" s="338"/>
      <c r="AU89" s="338"/>
      <c r="AV89" s="338"/>
      <c r="AW89" s="338"/>
      <c r="AX89" s="338"/>
      <c r="AY89" s="338"/>
      <c r="AZ89" s="338"/>
      <c r="BA89" s="338"/>
      <c r="BB89" s="338"/>
      <c r="BC89" s="338"/>
      <c r="BD89" s="338"/>
      <c r="BE89" s="338"/>
      <c r="BF89" s="338"/>
      <c r="BG89" s="338"/>
      <c r="BH89" s="338"/>
      <c r="BI89" s="338"/>
      <c r="BJ89" s="338"/>
      <c r="BK89" s="338"/>
      <c r="BL89" s="338"/>
      <c r="BM89" s="338"/>
      <c r="BN89" s="338"/>
      <c r="BO89" s="338"/>
      <c r="BP89" s="338"/>
      <c r="BQ89" s="338"/>
      <c r="BR89" s="338"/>
      <c r="BS89" s="338"/>
      <c r="BT89" s="338"/>
      <c r="BU89" s="338"/>
      <c r="BV89" s="338"/>
      <c r="BW89" s="338"/>
      <c r="BX89" s="338"/>
      <c r="BY89" s="338"/>
      <c r="BZ89" s="338"/>
      <c r="CA89" s="338"/>
      <c r="CB89" s="338"/>
      <c r="CC89" s="338"/>
      <c r="CD89" s="338"/>
      <c r="CE89" s="338"/>
      <c r="CF89" s="338"/>
      <c r="CG89" s="338"/>
      <c r="CH89" s="338"/>
      <c r="CI89" s="338"/>
      <c r="CJ89" s="338"/>
      <c r="CK89" s="338"/>
      <c r="CL89" s="338"/>
    </row>
    <row r="90" ht="14.25" customHeight="1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40"/>
      <c r="N90" s="338"/>
      <c r="O90" s="338"/>
      <c r="P90" s="338"/>
      <c r="Q90" s="338"/>
      <c r="R90" s="338"/>
      <c r="S90" s="338"/>
      <c r="T90" s="338"/>
      <c r="U90" s="338"/>
      <c r="V90" s="338"/>
      <c r="W90" s="338"/>
      <c r="X90" s="338"/>
      <c r="Y90" s="338"/>
      <c r="Z90" s="338"/>
      <c r="AA90" s="338"/>
      <c r="AB90" s="338"/>
      <c r="AC90" s="338"/>
      <c r="AD90" s="338"/>
      <c r="AE90" s="338"/>
      <c r="AF90" s="338"/>
      <c r="AG90" s="338"/>
      <c r="AH90" s="338"/>
      <c r="AI90" s="338"/>
      <c r="AJ90" s="338"/>
      <c r="AK90" s="338"/>
      <c r="AL90" s="338"/>
      <c r="AM90" s="338"/>
      <c r="AN90" s="338"/>
      <c r="AO90" s="338"/>
      <c r="AP90" s="338"/>
      <c r="AQ90" s="338"/>
      <c r="AR90" s="338"/>
      <c r="AS90" s="338"/>
      <c r="AT90" s="338"/>
      <c r="AU90" s="338"/>
      <c r="AV90" s="338"/>
      <c r="AW90" s="338"/>
      <c r="AX90" s="338"/>
      <c r="AY90" s="338"/>
      <c r="AZ90" s="338"/>
      <c r="BA90" s="338"/>
      <c r="BB90" s="338"/>
      <c r="BC90" s="338"/>
      <c r="BD90" s="338"/>
      <c r="BE90" s="338"/>
      <c r="BF90" s="338"/>
      <c r="BG90" s="338"/>
      <c r="BH90" s="338"/>
      <c r="BI90" s="338"/>
      <c r="BJ90" s="338"/>
      <c r="BK90" s="338"/>
      <c r="BL90" s="338"/>
      <c r="BM90" s="338"/>
      <c r="BN90" s="338"/>
      <c r="BO90" s="338"/>
      <c r="BP90" s="338"/>
      <c r="BQ90" s="338"/>
      <c r="BR90" s="338"/>
      <c r="BS90" s="338"/>
      <c r="BT90" s="338"/>
      <c r="BU90" s="338"/>
      <c r="BV90" s="338"/>
      <c r="BW90" s="338"/>
      <c r="BX90" s="338"/>
      <c r="BY90" s="338"/>
      <c r="BZ90" s="338"/>
      <c r="CA90" s="338"/>
      <c r="CB90" s="338"/>
      <c r="CC90" s="338"/>
      <c r="CD90" s="338"/>
      <c r="CE90" s="338"/>
      <c r="CF90" s="338"/>
      <c r="CG90" s="338"/>
      <c r="CH90" s="338"/>
      <c r="CI90" s="338"/>
      <c r="CJ90" s="338"/>
      <c r="CK90" s="338"/>
      <c r="CL90" s="338"/>
    </row>
    <row r="91" ht="14.2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40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338"/>
      <c r="AJ91" s="338"/>
      <c r="AK91" s="338"/>
      <c r="AL91" s="338"/>
      <c r="AM91" s="338"/>
      <c r="AN91" s="338"/>
      <c r="AO91" s="338"/>
      <c r="AP91" s="338"/>
      <c r="AQ91" s="338"/>
      <c r="AR91" s="338"/>
      <c r="AS91" s="338"/>
      <c r="AT91" s="338"/>
      <c r="AU91" s="338"/>
      <c r="AV91" s="338"/>
      <c r="AW91" s="338"/>
      <c r="AX91" s="338"/>
      <c r="AY91" s="338"/>
      <c r="AZ91" s="338"/>
      <c r="BA91" s="338"/>
      <c r="BB91" s="338"/>
      <c r="BC91" s="338"/>
      <c r="BD91" s="338"/>
      <c r="BE91" s="338"/>
      <c r="BF91" s="338"/>
      <c r="BG91" s="338"/>
      <c r="BH91" s="338"/>
      <c r="BI91" s="338"/>
      <c r="BJ91" s="338"/>
      <c r="BK91" s="338"/>
      <c r="BL91" s="338"/>
      <c r="BM91" s="338"/>
      <c r="BN91" s="338"/>
      <c r="BO91" s="338"/>
      <c r="BP91" s="338"/>
      <c r="BQ91" s="338"/>
      <c r="BR91" s="338"/>
      <c r="BS91" s="338"/>
      <c r="BT91" s="338"/>
      <c r="BU91" s="338"/>
      <c r="BV91" s="338"/>
      <c r="BW91" s="338"/>
      <c r="BX91" s="338"/>
      <c r="BY91" s="338"/>
      <c r="BZ91" s="338"/>
      <c r="CA91" s="338"/>
      <c r="CB91" s="338"/>
      <c r="CC91" s="338"/>
      <c r="CD91" s="338"/>
      <c r="CE91" s="338"/>
      <c r="CF91" s="338"/>
      <c r="CG91" s="338"/>
      <c r="CH91" s="338"/>
      <c r="CI91" s="338"/>
      <c r="CJ91" s="338"/>
      <c r="CK91" s="338"/>
      <c r="CL91" s="338"/>
    </row>
    <row r="92" ht="14.25" customHeight="1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/>
      <c r="M92" s="340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A92" s="338"/>
      <c r="AB92" s="338"/>
      <c r="AC92" s="338"/>
      <c r="AD92" s="338"/>
      <c r="AE92" s="338"/>
      <c r="AF92" s="338"/>
      <c r="AG92" s="338"/>
      <c r="AH92" s="338"/>
      <c r="AI92" s="338"/>
      <c r="AJ92" s="338"/>
      <c r="AK92" s="338"/>
      <c r="AL92" s="338"/>
      <c r="AM92" s="338"/>
      <c r="AN92" s="338"/>
      <c r="AO92" s="338"/>
      <c r="AP92" s="338"/>
      <c r="AQ92" s="338"/>
      <c r="AR92" s="338"/>
      <c r="AS92" s="338"/>
      <c r="AT92" s="338"/>
      <c r="AU92" s="338"/>
      <c r="AV92" s="338"/>
      <c r="AW92" s="338"/>
      <c r="AX92" s="338"/>
      <c r="AY92" s="338"/>
      <c r="AZ92" s="338"/>
      <c r="BA92" s="338"/>
      <c r="BB92" s="338"/>
      <c r="BC92" s="338"/>
      <c r="BD92" s="338"/>
      <c r="BE92" s="338"/>
      <c r="BF92" s="338"/>
      <c r="BG92" s="338"/>
      <c r="BH92" s="338"/>
      <c r="BI92" s="338"/>
      <c r="BJ92" s="338"/>
      <c r="BK92" s="338"/>
      <c r="BL92" s="338"/>
      <c r="BM92" s="338"/>
      <c r="BN92" s="338"/>
      <c r="BO92" s="338"/>
      <c r="BP92" s="338"/>
      <c r="BQ92" s="338"/>
      <c r="BR92" s="338"/>
      <c r="BS92" s="338"/>
      <c r="BT92" s="338"/>
      <c r="BU92" s="338"/>
      <c r="BV92" s="338"/>
      <c r="BW92" s="338"/>
      <c r="BX92" s="338"/>
      <c r="BY92" s="338"/>
      <c r="BZ92" s="338"/>
      <c r="CA92" s="338"/>
      <c r="CB92" s="338"/>
      <c r="CC92" s="338"/>
      <c r="CD92" s="338"/>
      <c r="CE92" s="338"/>
      <c r="CF92" s="338"/>
      <c r="CG92" s="338"/>
      <c r="CH92" s="338"/>
      <c r="CI92" s="338"/>
      <c r="CJ92" s="338"/>
      <c r="CK92" s="338"/>
      <c r="CL92" s="338"/>
    </row>
    <row r="93" ht="14.25" customHeight="1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40"/>
      <c r="N93" s="338"/>
      <c r="O93" s="338"/>
      <c r="P93" s="338"/>
      <c r="Q93" s="338"/>
      <c r="R93" s="338"/>
      <c r="S93" s="338"/>
      <c r="T93" s="338"/>
      <c r="U93" s="338"/>
      <c r="V93" s="338"/>
      <c r="W93" s="338"/>
      <c r="X93" s="338"/>
      <c r="Y93" s="338"/>
      <c r="Z93" s="338"/>
      <c r="AA93" s="338"/>
      <c r="AB93" s="338"/>
      <c r="AC93" s="338"/>
      <c r="AD93" s="338"/>
      <c r="AE93" s="338"/>
      <c r="AF93" s="338"/>
      <c r="AG93" s="338"/>
      <c r="AH93" s="338"/>
      <c r="AI93" s="338"/>
      <c r="AJ93" s="338"/>
      <c r="AK93" s="338"/>
      <c r="AL93" s="338"/>
      <c r="AM93" s="338"/>
      <c r="AN93" s="338"/>
      <c r="AO93" s="338"/>
      <c r="AP93" s="338"/>
      <c r="AQ93" s="338"/>
      <c r="AR93" s="338"/>
      <c r="AS93" s="338"/>
      <c r="AT93" s="338"/>
      <c r="AU93" s="338"/>
      <c r="AV93" s="338"/>
      <c r="AW93" s="338"/>
      <c r="AX93" s="338"/>
      <c r="AY93" s="338"/>
      <c r="AZ93" s="338"/>
      <c r="BA93" s="338"/>
      <c r="BB93" s="338"/>
      <c r="BC93" s="338"/>
      <c r="BD93" s="338"/>
      <c r="BE93" s="338"/>
      <c r="BF93" s="338"/>
      <c r="BG93" s="338"/>
      <c r="BH93" s="338"/>
      <c r="BI93" s="338"/>
      <c r="BJ93" s="338"/>
      <c r="BK93" s="338"/>
      <c r="BL93" s="338"/>
      <c r="BM93" s="338"/>
      <c r="BN93" s="338"/>
      <c r="BO93" s="338"/>
      <c r="BP93" s="338"/>
      <c r="BQ93" s="338"/>
      <c r="BR93" s="338"/>
      <c r="BS93" s="338"/>
      <c r="BT93" s="338"/>
      <c r="BU93" s="338"/>
      <c r="BV93" s="338"/>
      <c r="BW93" s="338"/>
      <c r="BX93" s="338"/>
      <c r="BY93" s="338"/>
      <c r="BZ93" s="338"/>
      <c r="CA93" s="338"/>
      <c r="CB93" s="338"/>
      <c r="CC93" s="338"/>
      <c r="CD93" s="338"/>
      <c r="CE93" s="338"/>
      <c r="CF93" s="338"/>
      <c r="CG93" s="338"/>
      <c r="CH93" s="338"/>
      <c r="CI93" s="338"/>
      <c r="CJ93" s="338"/>
      <c r="CK93" s="338"/>
      <c r="CL93" s="338"/>
    </row>
    <row r="94" ht="14.25" customHeight="1">
      <c r="A94" s="338"/>
      <c r="B94" s="338"/>
      <c r="C94" s="338"/>
      <c r="D94" s="338"/>
      <c r="E94" s="338"/>
      <c r="F94" s="338"/>
      <c r="G94" s="338"/>
      <c r="H94" s="338"/>
      <c r="I94" s="338"/>
      <c r="J94" s="338"/>
      <c r="K94" s="338"/>
      <c r="L94" s="338"/>
      <c r="M94" s="340"/>
      <c r="N94" s="338"/>
      <c r="O94" s="338"/>
      <c r="P94" s="338"/>
      <c r="Q94" s="338"/>
      <c r="R94" s="338"/>
      <c r="S94" s="338"/>
      <c r="T94" s="338"/>
      <c r="U94" s="338"/>
      <c r="V94" s="338"/>
      <c r="W94" s="338"/>
      <c r="X94" s="338"/>
      <c r="Y94" s="338"/>
      <c r="Z94" s="338"/>
      <c r="AA94" s="338"/>
      <c r="AB94" s="338"/>
      <c r="AC94" s="338"/>
      <c r="AD94" s="338"/>
      <c r="AE94" s="338"/>
      <c r="AF94" s="338"/>
      <c r="AG94" s="338"/>
      <c r="AH94" s="338"/>
      <c r="AI94" s="338"/>
      <c r="AJ94" s="338"/>
      <c r="AK94" s="338"/>
      <c r="AL94" s="338"/>
      <c r="AM94" s="338"/>
      <c r="AN94" s="338"/>
      <c r="AO94" s="338"/>
      <c r="AP94" s="338"/>
      <c r="AQ94" s="338"/>
      <c r="AR94" s="338"/>
      <c r="AS94" s="338"/>
      <c r="AT94" s="338"/>
      <c r="AU94" s="338"/>
      <c r="AV94" s="338"/>
      <c r="AW94" s="338"/>
      <c r="AX94" s="338"/>
      <c r="AY94" s="338"/>
      <c r="AZ94" s="338"/>
      <c r="BA94" s="338"/>
      <c r="BB94" s="338"/>
      <c r="BC94" s="338"/>
      <c r="BD94" s="338"/>
      <c r="BE94" s="338"/>
      <c r="BF94" s="338"/>
      <c r="BG94" s="338"/>
      <c r="BH94" s="338"/>
      <c r="BI94" s="338"/>
      <c r="BJ94" s="338"/>
      <c r="BK94" s="338"/>
      <c r="BL94" s="338"/>
      <c r="BM94" s="338"/>
      <c r="BN94" s="338"/>
      <c r="BO94" s="338"/>
      <c r="BP94" s="338"/>
      <c r="BQ94" s="338"/>
      <c r="BR94" s="338"/>
      <c r="BS94" s="338"/>
      <c r="BT94" s="338"/>
      <c r="BU94" s="338"/>
      <c r="BV94" s="338"/>
      <c r="BW94" s="338"/>
      <c r="BX94" s="338"/>
      <c r="BY94" s="338"/>
      <c r="BZ94" s="338"/>
      <c r="CA94" s="338"/>
      <c r="CB94" s="338"/>
      <c r="CC94" s="338"/>
      <c r="CD94" s="338"/>
      <c r="CE94" s="338"/>
      <c r="CF94" s="338"/>
      <c r="CG94" s="338"/>
      <c r="CH94" s="338"/>
      <c r="CI94" s="338"/>
      <c r="CJ94" s="338"/>
      <c r="CK94" s="338"/>
      <c r="CL94" s="338"/>
    </row>
    <row r="95" ht="14.25" customHeight="1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K95" s="338"/>
      <c r="L95" s="338"/>
      <c r="M95" s="340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8"/>
      <c r="Y95" s="338"/>
      <c r="Z95" s="338"/>
      <c r="AA95" s="338"/>
      <c r="AB95" s="338"/>
      <c r="AC95" s="338"/>
      <c r="AD95" s="338"/>
      <c r="AE95" s="338"/>
      <c r="AF95" s="338"/>
      <c r="AG95" s="338"/>
      <c r="AH95" s="338"/>
      <c r="AI95" s="338"/>
      <c r="AJ95" s="338"/>
      <c r="AK95" s="338"/>
      <c r="AL95" s="338"/>
      <c r="AM95" s="338"/>
      <c r="AN95" s="338"/>
      <c r="AO95" s="338"/>
      <c r="AP95" s="338"/>
      <c r="AQ95" s="338"/>
      <c r="AR95" s="338"/>
      <c r="AS95" s="338"/>
      <c r="AT95" s="338"/>
      <c r="AU95" s="338"/>
      <c r="AV95" s="338"/>
      <c r="AW95" s="338"/>
      <c r="AX95" s="338"/>
      <c r="AY95" s="338"/>
      <c r="AZ95" s="338"/>
      <c r="BA95" s="338"/>
      <c r="BB95" s="338"/>
      <c r="BC95" s="338"/>
      <c r="BD95" s="338"/>
      <c r="BE95" s="338"/>
      <c r="BF95" s="338"/>
      <c r="BG95" s="338"/>
      <c r="BH95" s="338"/>
      <c r="BI95" s="338"/>
      <c r="BJ95" s="338"/>
      <c r="BK95" s="338"/>
      <c r="BL95" s="338"/>
      <c r="BM95" s="338"/>
      <c r="BN95" s="338"/>
      <c r="BO95" s="338"/>
      <c r="BP95" s="338"/>
      <c r="BQ95" s="338"/>
      <c r="BR95" s="338"/>
      <c r="BS95" s="338"/>
      <c r="BT95" s="338"/>
      <c r="BU95" s="338"/>
      <c r="BV95" s="338"/>
      <c r="BW95" s="338"/>
      <c r="BX95" s="338"/>
      <c r="BY95" s="338"/>
      <c r="BZ95" s="338"/>
      <c r="CA95" s="338"/>
      <c r="CB95" s="338"/>
      <c r="CC95" s="338"/>
      <c r="CD95" s="338"/>
      <c r="CE95" s="338"/>
      <c r="CF95" s="338"/>
      <c r="CG95" s="338"/>
      <c r="CH95" s="338"/>
      <c r="CI95" s="338"/>
      <c r="CJ95" s="338"/>
      <c r="CK95" s="338"/>
      <c r="CL95" s="338"/>
    </row>
    <row r="96" ht="14.25" customHeight="1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40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8"/>
      <c r="AA96" s="338"/>
      <c r="AB96" s="338"/>
      <c r="AC96" s="338"/>
      <c r="AD96" s="338"/>
      <c r="AE96" s="338"/>
      <c r="AF96" s="338"/>
      <c r="AG96" s="338"/>
      <c r="AH96" s="338"/>
      <c r="AI96" s="338"/>
      <c r="AJ96" s="338"/>
      <c r="AK96" s="338"/>
      <c r="AL96" s="338"/>
      <c r="AM96" s="338"/>
      <c r="AN96" s="338"/>
      <c r="AO96" s="338"/>
      <c r="AP96" s="338"/>
      <c r="AQ96" s="338"/>
      <c r="AR96" s="338"/>
      <c r="AS96" s="338"/>
      <c r="AT96" s="338"/>
      <c r="AU96" s="338"/>
      <c r="AV96" s="338"/>
      <c r="AW96" s="338"/>
      <c r="AX96" s="338"/>
      <c r="AY96" s="338"/>
      <c r="AZ96" s="338"/>
      <c r="BA96" s="338"/>
      <c r="BB96" s="338"/>
      <c r="BC96" s="338"/>
      <c r="BD96" s="338"/>
      <c r="BE96" s="338"/>
      <c r="BF96" s="338"/>
      <c r="BG96" s="338"/>
      <c r="BH96" s="338"/>
      <c r="BI96" s="338"/>
      <c r="BJ96" s="338"/>
      <c r="BK96" s="338"/>
      <c r="BL96" s="338"/>
      <c r="BM96" s="338"/>
      <c r="BN96" s="338"/>
      <c r="BO96" s="338"/>
      <c r="BP96" s="338"/>
      <c r="BQ96" s="338"/>
      <c r="BR96" s="338"/>
      <c r="BS96" s="338"/>
      <c r="BT96" s="338"/>
      <c r="BU96" s="338"/>
      <c r="BV96" s="338"/>
      <c r="BW96" s="338"/>
      <c r="BX96" s="338"/>
      <c r="BY96" s="338"/>
      <c r="BZ96" s="338"/>
      <c r="CA96" s="338"/>
      <c r="CB96" s="338"/>
      <c r="CC96" s="338"/>
      <c r="CD96" s="338"/>
      <c r="CE96" s="338"/>
      <c r="CF96" s="338"/>
      <c r="CG96" s="338"/>
      <c r="CH96" s="338"/>
      <c r="CI96" s="338"/>
      <c r="CJ96" s="338"/>
      <c r="CK96" s="338"/>
      <c r="CL96" s="338"/>
    </row>
    <row r="97" ht="14.25" customHeight="1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40"/>
      <c r="N97" s="338"/>
      <c r="O97" s="338"/>
      <c r="P97" s="338"/>
      <c r="Q97" s="338"/>
      <c r="R97" s="338"/>
      <c r="S97" s="338"/>
      <c r="T97" s="338"/>
      <c r="U97" s="338"/>
      <c r="V97" s="338"/>
      <c r="W97" s="338"/>
      <c r="X97" s="338"/>
      <c r="Y97" s="338"/>
      <c r="Z97" s="338"/>
      <c r="AA97" s="338"/>
      <c r="AB97" s="338"/>
      <c r="AC97" s="338"/>
      <c r="AD97" s="338"/>
      <c r="AE97" s="338"/>
      <c r="AF97" s="338"/>
      <c r="AG97" s="338"/>
      <c r="AH97" s="338"/>
      <c r="AI97" s="338"/>
      <c r="AJ97" s="338"/>
      <c r="AK97" s="338"/>
      <c r="AL97" s="338"/>
      <c r="AM97" s="338"/>
      <c r="AN97" s="338"/>
      <c r="AO97" s="338"/>
      <c r="AP97" s="338"/>
      <c r="AQ97" s="338"/>
      <c r="AR97" s="338"/>
      <c r="AS97" s="338"/>
      <c r="AT97" s="338"/>
      <c r="AU97" s="338"/>
      <c r="AV97" s="338"/>
      <c r="AW97" s="338"/>
      <c r="AX97" s="338"/>
      <c r="AY97" s="338"/>
      <c r="AZ97" s="338"/>
      <c r="BA97" s="338"/>
      <c r="BB97" s="338"/>
      <c r="BC97" s="338"/>
      <c r="BD97" s="338"/>
      <c r="BE97" s="338"/>
      <c r="BF97" s="338"/>
      <c r="BG97" s="338"/>
      <c r="BH97" s="338"/>
      <c r="BI97" s="338"/>
      <c r="BJ97" s="338"/>
      <c r="BK97" s="338"/>
      <c r="BL97" s="338"/>
      <c r="BM97" s="338"/>
      <c r="BN97" s="338"/>
      <c r="BO97" s="338"/>
      <c r="BP97" s="338"/>
      <c r="BQ97" s="338"/>
      <c r="BR97" s="338"/>
      <c r="BS97" s="338"/>
      <c r="BT97" s="338"/>
      <c r="BU97" s="338"/>
      <c r="BV97" s="338"/>
      <c r="BW97" s="338"/>
      <c r="BX97" s="338"/>
      <c r="BY97" s="338"/>
      <c r="BZ97" s="338"/>
      <c r="CA97" s="338"/>
      <c r="CB97" s="338"/>
      <c r="CC97" s="338"/>
      <c r="CD97" s="338"/>
      <c r="CE97" s="338"/>
      <c r="CF97" s="338"/>
      <c r="CG97" s="338"/>
      <c r="CH97" s="338"/>
      <c r="CI97" s="338"/>
      <c r="CJ97" s="338"/>
      <c r="CK97" s="338"/>
      <c r="CL97" s="338"/>
    </row>
    <row r="98" ht="14.25" customHeight="1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40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A98" s="338"/>
      <c r="AB98" s="338"/>
      <c r="AC98" s="338"/>
      <c r="AD98" s="338"/>
      <c r="AE98" s="338"/>
      <c r="AF98" s="338"/>
      <c r="AG98" s="338"/>
      <c r="AH98" s="338"/>
      <c r="AI98" s="338"/>
      <c r="AJ98" s="338"/>
      <c r="AK98" s="338"/>
      <c r="AL98" s="338"/>
      <c r="AM98" s="338"/>
      <c r="AN98" s="338"/>
      <c r="AO98" s="338"/>
      <c r="AP98" s="338"/>
      <c r="AQ98" s="338"/>
      <c r="AR98" s="338"/>
      <c r="AS98" s="338"/>
      <c r="AT98" s="338"/>
      <c r="AU98" s="338"/>
      <c r="AV98" s="338"/>
      <c r="AW98" s="338"/>
      <c r="AX98" s="338"/>
      <c r="AY98" s="338"/>
      <c r="AZ98" s="338"/>
      <c r="BA98" s="338"/>
      <c r="BB98" s="338"/>
      <c r="BC98" s="338"/>
      <c r="BD98" s="338"/>
      <c r="BE98" s="338"/>
      <c r="BF98" s="338"/>
      <c r="BG98" s="338"/>
      <c r="BH98" s="338"/>
      <c r="BI98" s="338"/>
      <c r="BJ98" s="338"/>
      <c r="BK98" s="338"/>
      <c r="BL98" s="338"/>
      <c r="BM98" s="338"/>
      <c r="BN98" s="338"/>
      <c r="BO98" s="338"/>
      <c r="BP98" s="338"/>
      <c r="BQ98" s="338"/>
      <c r="BR98" s="338"/>
      <c r="BS98" s="338"/>
      <c r="BT98" s="338"/>
      <c r="BU98" s="338"/>
      <c r="BV98" s="338"/>
      <c r="BW98" s="338"/>
      <c r="BX98" s="338"/>
      <c r="BY98" s="338"/>
      <c r="BZ98" s="338"/>
      <c r="CA98" s="338"/>
      <c r="CB98" s="338"/>
      <c r="CC98" s="338"/>
      <c r="CD98" s="338"/>
      <c r="CE98" s="338"/>
      <c r="CF98" s="338"/>
      <c r="CG98" s="338"/>
      <c r="CH98" s="338"/>
      <c r="CI98" s="338"/>
      <c r="CJ98" s="338"/>
      <c r="CK98" s="338"/>
      <c r="CL98" s="338"/>
    </row>
    <row r="99" ht="14.25" customHeight="1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40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A99" s="338"/>
      <c r="AB99" s="338"/>
      <c r="AC99" s="338"/>
      <c r="AD99" s="338"/>
      <c r="AE99" s="338"/>
      <c r="AF99" s="338"/>
      <c r="AG99" s="338"/>
      <c r="AH99" s="338"/>
      <c r="AI99" s="338"/>
      <c r="AJ99" s="338"/>
      <c r="AK99" s="338"/>
      <c r="AL99" s="338"/>
      <c r="AM99" s="338"/>
      <c r="AN99" s="338"/>
      <c r="AO99" s="338"/>
      <c r="AP99" s="338"/>
      <c r="AQ99" s="338"/>
      <c r="AR99" s="338"/>
      <c r="AS99" s="338"/>
      <c r="AT99" s="338"/>
      <c r="AU99" s="338"/>
      <c r="AV99" s="338"/>
      <c r="AW99" s="338"/>
      <c r="AX99" s="338"/>
      <c r="AY99" s="338"/>
      <c r="AZ99" s="338"/>
      <c r="BA99" s="338"/>
      <c r="BB99" s="338"/>
      <c r="BC99" s="338"/>
      <c r="BD99" s="338"/>
      <c r="BE99" s="338"/>
      <c r="BF99" s="338"/>
      <c r="BG99" s="338"/>
      <c r="BH99" s="338"/>
      <c r="BI99" s="338"/>
      <c r="BJ99" s="338"/>
      <c r="BK99" s="338"/>
      <c r="BL99" s="338"/>
      <c r="BM99" s="338"/>
      <c r="BN99" s="338"/>
      <c r="BO99" s="338"/>
      <c r="BP99" s="338"/>
      <c r="BQ99" s="338"/>
      <c r="BR99" s="338"/>
      <c r="BS99" s="338"/>
      <c r="BT99" s="338"/>
      <c r="BU99" s="338"/>
      <c r="BV99" s="338"/>
      <c r="BW99" s="338"/>
      <c r="BX99" s="338"/>
      <c r="BY99" s="338"/>
      <c r="BZ99" s="338"/>
      <c r="CA99" s="338"/>
      <c r="CB99" s="338"/>
      <c r="CC99" s="338"/>
      <c r="CD99" s="338"/>
      <c r="CE99" s="338"/>
      <c r="CF99" s="338"/>
      <c r="CG99" s="338"/>
      <c r="CH99" s="338"/>
      <c r="CI99" s="338"/>
      <c r="CJ99" s="338"/>
      <c r="CK99" s="338"/>
      <c r="CL99" s="338"/>
    </row>
    <row r="100" ht="14.25" customHeight="1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40"/>
      <c r="N100" s="338"/>
      <c r="O100" s="338"/>
      <c r="P100" s="338"/>
      <c r="Q100" s="338"/>
      <c r="R100" s="338"/>
      <c r="S100" s="338"/>
      <c r="T100" s="338"/>
      <c r="U100" s="338"/>
      <c r="V100" s="338"/>
      <c r="W100" s="338"/>
      <c r="X100" s="338"/>
      <c r="Y100" s="338"/>
      <c r="Z100" s="338"/>
      <c r="AA100" s="338"/>
      <c r="AB100" s="338"/>
      <c r="AC100" s="338"/>
      <c r="AD100" s="338"/>
      <c r="AE100" s="338"/>
      <c r="AF100" s="338"/>
      <c r="AG100" s="338"/>
      <c r="AH100" s="338"/>
      <c r="AI100" s="338"/>
      <c r="AJ100" s="338"/>
      <c r="AK100" s="338"/>
      <c r="AL100" s="338"/>
      <c r="AM100" s="338"/>
      <c r="AN100" s="338"/>
      <c r="AO100" s="338"/>
      <c r="AP100" s="338"/>
      <c r="AQ100" s="338"/>
      <c r="AR100" s="338"/>
      <c r="AS100" s="338"/>
      <c r="AT100" s="338"/>
      <c r="AU100" s="338"/>
      <c r="AV100" s="338"/>
      <c r="AW100" s="338"/>
      <c r="AX100" s="338"/>
      <c r="AY100" s="338"/>
      <c r="AZ100" s="338"/>
      <c r="BA100" s="338"/>
      <c r="BB100" s="338"/>
      <c r="BC100" s="338"/>
      <c r="BD100" s="338"/>
      <c r="BE100" s="338"/>
      <c r="BF100" s="338"/>
      <c r="BG100" s="338"/>
      <c r="BH100" s="338"/>
      <c r="BI100" s="338"/>
      <c r="BJ100" s="338"/>
      <c r="BK100" s="338"/>
      <c r="BL100" s="338"/>
      <c r="BM100" s="338"/>
      <c r="BN100" s="338"/>
      <c r="BO100" s="338"/>
      <c r="BP100" s="338"/>
      <c r="BQ100" s="338"/>
      <c r="BR100" s="338"/>
      <c r="BS100" s="338"/>
      <c r="BT100" s="338"/>
      <c r="BU100" s="338"/>
      <c r="BV100" s="338"/>
      <c r="BW100" s="338"/>
      <c r="BX100" s="338"/>
      <c r="BY100" s="338"/>
      <c r="BZ100" s="338"/>
      <c r="CA100" s="338"/>
      <c r="CB100" s="338"/>
      <c r="CC100" s="338"/>
      <c r="CD100" s="338"/>
      <c r="CE100" s="338"/>
      <c r="CF100" s="338"/>
      <c r="CG100" s="338"/>
      <c r="CH100" s="338"/>
      <c r="CI100" s="338"/>
      <c r="CJ100" s="338"/>
      <c r="CK100" s="338"/>
      <c r="CL100" s="338"/>
    </row>
    <row r="101" ht="14.25" customHeight="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40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8"/>
      <c r="AA101" s="338"/>
      <c r="AB101" s="338"/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8"/>
      <c r="AM101" s="338"/>
      <c r="AN101" s="338"/>
      <c r="AO101" s="338"/>
      <c r="AP101" s="338"/>
      <c r="AQ101" s="338"/>
      <c r="AR101" s="338"/>
      <c r="AS101" s="338"/>
      <c r="AT101" s="338"/>
      <c r="AU101" s="338"/>
      <c r="AV101" s="338"/>
      <c r="AW101" s="338"/>
      <c r="AX101" s="338"/>
      <c r="AY101" s="338"/>
      <c r="AZ101" s="338"/>
      <c r="BA101" s="338"/>
      <c r="BB101" s="338"/>
      <c r="BC101" s="338"/>
      <c r="BD101" s="338"/>
      <c r="BE101" s="338"/>
      <c r="BF101" s="338"/>
      <c r="BG101" s="338"/>
      <c r="BH101" s="338"/>
      <c r="BI101" s="338"/>
      <c r="BJ101" s="338"/>
      <c r="BK101" s="338"/>
      <c r="BL101" s="338"/>
      <c r="BM101" s="338"/>
      <c r="BN101" s="338"/>
      <c r="BO101" s="338"/>
      <c r="BP101" s="338"/>
      <c r="BQ101" s="338"/>
      <c r="BR101" s="338"/>
      <c r="BS101" s="338"/>
      <c r="BT101" s="338"/>
      <c r="BU101" s="338"/>
      <c r="BV101" s="338"/>
      <c r="BW101" s="338"/>
      <c r="BX101" s="338"/>
      <c r="BY101" s="338"/>
      <c r="BZ101" s="338"/>
      <c r="CA101" s="338"/>
      <c r="CB101" s="338"/>
      <c r="CC101" s="338"/>
      <c r="CD101" s="338"/>
      <c r="CE101" s="338"/>
      <c r="CF101" s="338"/>
      <c r="CG101" s="338"/>
      <c r="CH101" s="338"/>
      <c r="CI101" s="338"/>
      <c r="CJ101" s="338"/>
      <c r="CK101" s="338"/>
      <c r="CL101" s="338"/>
    </row>
    <row r="102" ht="14.25" customHeight="1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40"/>
      <c r="N102" s="338"/>
      <c r="O102" s="338"/>
      <c r="P102" s="338"/>
      <c r="Q102" s="338"/>
      <c r="R102" s="338"/>
      <c r="S102" s="338"/>
      <c r="T102" s="338"/>
      <c r="U102" s="338"/>
      <c r="V102" s="338"/>
      <c r="W102" s="338"/>
      <c r="X102" s="338"/>
      <c r="Y102" s="338"/>
      <c r="Z102" s="338"/>
      <c r="AA102" s="338"/>
      <c r="AB102" s="338"/>
      <c r="AC102" s="338"/>
      <c r="AD102" s="338"/>
      <c r="AE102" s="338"/>
      <c r="AF102" s="338"/>
      <c r="AG102" s="338"/>
      <c r="AH102" s="338"/>
      <c r="AI102" s="338"/>
      <c r="AJ102" s="338"/>
      <c r="AK102" s="338"/>
      <c r="AL102" s="338"/>
      <c r="AM102" s="338"/>
      <c r="AN102" s="338"/>
      <c r="AO102" s="338"/>
      <c r="AP102" s="338"/>
      <c r="AQ102" s="338"/>
      <c r="AR102" s="338"/>
      <c r="AS102" s="338"/>
      <c r="AT102" s="338"/>
      <c r="AU102" s="338"/>
      <c r="AV102" s="338"/>
      <c r="AW102" s="338"/>
      <c r="AX102" s="338"/>
      <c r="AY102" s="338"/>
      <c r="AZ102" s="338"/>
      <c r="BA102" s="338"/>
      <c r="BB102" s="338"/>
      <c r="BC102" s="338"/>
      <c r="BD102" s="338"/>
      <c r="BE102" s="338"/>
      <c r="BF102" s="338"/>
      <c r="BG102" s="338"/>
      <c r="BH102" s="338"/>
      <c r="BI102" s="338"/>
      <c r="BJ102" s="338"/>
      <c r="BK102" s="338"/>
      <c r="BL102" s="338"/>
      <c r="BM102" s="338"/>
      <c r="BN102" s="338"/>
      <c r="BO102" s="338"/>
      <c r="BP102" s="338"/>
      <c r="BQ102" s="338"/>
      <c r="BR102" s="338"/>
      <c r="BS102" s="338"/>
      <c r="BT102" s="338"/>
      <c r="BU102" s="338"/>
      <c r="BV102" s="338"/>
      <c r="BW102" s="338"/>
      <c r="BX102" s="338"/>
      <c r="BY102" s="338"/>
      <c r="BZ102" s="338"/>
      <c r="CA102" s="338"/>
      <c r="CB102" s="338"/>
      <c r="CC102" s="338"/>
      <c r="CD102" s="338"/>
      <c r="CE102" s="338"/>
      <c r="CF102" s="338"/>
      <c r="CG102" s="338"/>
      <c r="CH102" s="338"/>
      <c r="CI102" s="338"/>
      <c r="CJ102" s="338"/>
      <c r="CK102" s="338"/>
      <c r="CL102" s="338"/>
    </row>
    <row r="103" ht="14.25" customHeight="1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40"/>
      <c r="N103" s="338"/>
      <c r="O103" s="338"/>
      <c r="P103" s="338"/>
      <c r="Q103" s="338"/>
      <c r="R103" s="338"/>
      <c r="S103" s="338"/>
      <c r="T103" s="338"/>
      <c r="U103" s="338"/>
      <c r="V103" s="338"/>
      <c r="W103" s="338"/>
      <c r="X103" s="338"/>
      <c r="Y103" s="338"/>
      <c r="Z103" s="338"/>
      <c r="AA103" s="338"/>
      <c r="AB103" s="338"/>
      <c r="AC103" s="338"/>
      <c r="AD103" s="338"/>
      <c r="AE103" s="338"/>
      <c r="AF103" s="338"/>
      <c r="AG103" s="338"/>
      <c r="AH103" s="338"/>
      <c r="AI103" s="338"/>
      <c r="AJ103" s="338"/>
      <c r="AK103" s="338"/>
      <c r="AL103" s="338"/>
      <c r="AM103" s="338"/>
      <c r="AN103" s="338"/>
      <c r="AO103" s="338"/>
      <c r="AP103" s="338"/>
      <c r="AQ103" s="338"/>
      <c r="AR103" s="338"/>
      <c r="AS103" s="338"/>
      <c r="AT103" s="338"/>
      <c r="AU103" s="338"/>
      <c r="AV103" s="338"/>
      <c r="AW103" s="338"/>
      <c r="AX103" s="338"/>
      <c r="AY103" s="338"/>
      <c r="AZ103" s="338"/>
      <c r="BA103" s="338"/>
      <c r="BB103" s="338"/>
      <c r="BC103" s="338"/>
      <c r="BD103" s="338"/>
      <c r="BE103" s="338"/>
      <c r="BF103" s="338"/>
      <c r="BG103" s="338"/>
      <c r="BH103" s="338"/>
      <c r="BI103" s="338"/>
      <c r="BJ103" s="338"/>
      <c r="BK103" s="338"/>
      <c r="BL103" s="338"/>
      <c r="BM103" s="338"/>
      <c r="BN103" s="338"/>
      <c r="BO103" s="338"/>
      <c r="BP103" s="338"/>
      <c r="BQ103" s="338"/>
      <c r="BR103" s="338"/>
      <c r="BS103" s="338"/>
      <c r="BT103" s="338"/>
      <c r="BU103" s="338"/>
      <c r="BV103" s="338"/>
      <c r="BW103" s="338"/>
      <c r="BX103" s="338"/>
      <c r="BY103" s="338"/>
      <c r="BZ103" s="338"/>
      <c r="CA103" s="338"/>
      <c r="CB103" s="338"/>
      <c r="CC103" s="338"/>
      <c r="CD103" s="338"/>
      <c r="CE103" s="338"/>
      <c r="CF103" s="338"/>
      <c r="CG103" s="338"/>
      <c r="CH103" s="338"/>
      <c r="CI103" s="338"/>
      <c r="CJ103" s="338"/>
      <c r="CK103" s="338"/>
      <c r="CL103" s="338"/>
    </row>
    <row r="104" ht="14.25" customHeight="1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40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8"/>
      <c r="AV104" s="338"/>
      <c r="AW104" s="338"/>
      <c r="AX104" s="338"/>
      <c r="AY104" s="338"/>
      <c r="AZ104" s="338"/>
      <c r="BA104" s="338"/>
      <c r="BB104" s="338"/>
      <c r="BC104" s="338"/>
      <c r="BD104" s="338"/>
      <c r="BE104" s="338"/>
      <c r="BF104" s="338"/>
      <c r="BG104" s="338"/>
      <c r="BH104" s="338"/>
      <c r="BI104" s="338"/>
      <c r="BJ104" s="338"/>
      <c r="BK104" s="338"/>
      <c r="BL104" s="338"/>
      <c r="BM104" s="338"/>
      <c r="BN104" s="338"/>
      <c r="BO104" s="338"/>
      <c r="BP104" s="338"/>
      <c r="BQ104" s="338"/>
      <c r="BR104" s="338"/>
      <c r="BS104" s="338"/>
      <c r="BT104" s="338"/>
      <c r="BU104" s="338"/>
      <c r="BV104" s="338"/>
      <c r="BW104" s="338"/>
      <c r="BX104" s="338"/>
      <c r="BY104" s="338"/>
      <c r="BZ104" s="338"/>
      <c r="CA104" s="338"/>
      <c r="CB104" s="338"/>
      <c r="CC104" s="338"/>
      <c r="CD104" s="338"/>
      <c r="CE104" s="338"/>
      <c r="CF104" s="338"/>
      <c r="CG104" s="338"/>
      <c r="CH104" s="338"/>
      <c r="CI104" s="338"/>
      <c r="CJ104" s="338"/>
      <c r="CK104" s="338"/>
      <c r="CL104" s="338"/>
    </row>
    <row r="105" ht="14.25" customHeight="1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40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8"/>
      <c r="AB105" s="338"/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38"/>
      <c r="AQ105" s="338"/>
      <c r="AR105" s="338"/>
      <c r="AS105" s="338"/>
      <c r="AT105" s="338"/>
      <c r="AU105" s="338"/>
      <c r="AV105" s="338"/>
      <c r="AW105" s="338"/>
      <c r="AX105" s="338"/>
      <c r="AY105" s="338"/>
      <c r="AZ105" s="338"/>
      <c r="BA105" s="338"/>
      <c r="BB105" s="338"/>
      <c r="BC105" s="338"/>
      <c r="BD105" s="338"/>
      <c r="BE105" s="338"/>
      <c r="BF105" s="338"/>
      <c r="BG105" s="338"/>
      <c r="BH105" s="338"/>
      <c r="BI105" s="338"/>
      <c r="BJ105" s="338"/>
      <c r="BK105" s="338"/>
      <c r="BL105" s="338"/>
      <c r="BM105" s="338"/>
      <c r="BN105" s="338"/>
      <c r="BO105" s="338"/>
      <c r="BP105" s="338"/>
      <c r="BQ105" s="338"/>
      <c r="BR105" s="338"/>
      <c r="BS105" s="338"/>
      <c r="BT105" s="338"/>
      <c r="BU105" s="338"/>
      <c r="BV105" s="338"/>
      <c r="BW105" s="338"/>
      <c r="BX105" s="338"/>
      <c r="BY105" s="338"/>
      <c r="BZ105" s="338"/>
      <c r="CA105" s="338"/>
      <c r="CB105" s="338"/>
      <c r="CC105" s="338"/>
      <c r="CD105" s="338"/>
      <c r="CE105" s="338"/>
      <c r="CF105" s="338"/>
      <c r="CG105" s="338"/>
      <c r="CH105" s="338"/>
      <c r="CI105" s="338"/>
      <c r="CJ105" s="338"/>
      <c r="CK105" s="338"/>
      <c r="CL105" s="338"/>
    </row>
    <row r="106" ht="14.25" customHeight="1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40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8"/>
      <c r="AV106" s="338"/>
      <c r="AW106" s="338"/>
      <c r="AX106" s="338"/>
      <c r="AY106" s="338"/>
      <c r="AZ106" s="338"/>
      <c r="BA106" s="338"/>
      <c r="BB106" s="338"/>
      <c r="BC106" s="338"/>
      <c r="BD106" s="338"/>
      <c r="BE106" s="338"/>
      <c r="BF106" s="338"/>
      <c r="BG106" s="338"/>
      <c r="BH106" s="338"/>
      <c r="BI106" s="338"/>
      <c r="BJ106" s="338"/>
      <c r="BK106" s="338"/>
      <c r="BL106" s="338"/>
      <c r="BM106" s="338"/>
      <c r="BN106" s="338"/>
      <c r="BO106" s="338"/>
      <c r="BP106" s="338"/>
      <c r="BQ106" s="338"/>
      <c r="BR106" s="338"/>
      <c r="BS106" s="338"/>
      <c r="BT106" s="338"/>
      <c r="BU106" s="338"/>
      <c r="BV106" s="338"/>
      <c r="BW106" s="338"/>
      <c r="BX106" s="338"/>
      <c r="BY106" s="338"/>
      <c r="BZ106" s="338"/>
      <c r="CA106" s="338"/>
      <c r="CB106" s="338"/>
      <c r="CC106" s="338"/>
      <c r="CD106" s="338"/>
      <c r="CE106" s="338"/>
      <c r="CF106" s="338"/>
      <c r="CG106" s="338"/>
      <c r="CH106" s="338"/>
      <c r="CI106" s="338"/>
      <c r="CJ106" s="338"/>
      <c r="CK106" s="338"/>
      <c r="CL106" s="338"/>
    </row>
    <row r="107" ht="14.25" customHeight="1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40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  <c r="AA107" s="338"/>
      <c r="AB107" s="338"/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8"/>
      <c r="AV107" s="338"/>
      <c r="AW107" s="338"/>
      <c r="AX107" s="338"/>
      <c r="AY107" s="338"/>
      <c r="AZ107" s="338"/>
      <c r="BA107" s="338"/>
      <c r="BB107" s="338"/>
      <c r="BC107" s="338"/>
      <c r="BD107" s="338"/>
      <c r="BE107" s="338"/>
      <c r="BF107" s="338"/>
      <c r="BG107" s="338"/>
      <c r="BH107" s="338"/>
      <c r="BI107" s="338"/>
      <c r="BJ107" s="338"/>
      <c r="BK107" s="338"/>
      <c r="BL107" s="338"/>
      <c r="BM107" s="338"/>
      <c r="BN107" s="338"/>
      <c r="BO107" s="338"/>
      <c r="BP107" s="338"/>
      <c r="BQ107" s="338"/>
      <c r="BR107" s="338"/>
      <c r="BS107" s="338"/>
      <c r="BT107" s="338"/>
      <c r="BU107" s="338"/>
      <c r="BV107" s="338"/>
      <c r="BW107" s="338"/>
      <c r="BX107" s="338"/>
      <c r="BY107" s="338"/>
      <c r="BZ107" s="338"/>
      <c r="CA107" s="338"/>
      <c r="CB107" s="338"/>
      <c r="CC107" s="338"/>
      <c r="CD107" s="338"/>
      <c r="CE107" s="338"/>
      <c r="CF107" s="338"/>
      <c r="CG107" s="338"/>
      <c r="CH107" s="338"/>
      <c r="CI107" s="338"/>
      <c r="CJ107" s="338"/>
      <c r="CK107" s="338"/>
      <c r="CL107" s="338"/>
    </row>
    <row r="108" ht="14.25" customHeight="1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40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8"/>
      <c r="AA108" s="338"/>
      <c r="AB108" s="338"/>
      <c r="AC108" s="338"/>
      <c r="AD108" s="338"/>
      <c r="AE108" s="338"/>
      <c r="AF108" s="338"/>
      <c r="AG108" s="338"/>
      <c r="AH108" s="338"/>
      <c r="AI108" s="338"/>
      <c r="AJ108" s="338"/>
      <c r="AK108" s="338"/>
      <c r="AL108" s="338"/>
      <c r="AM108" s="338"/>
      <c r="AN108" s="338"/>
      <c r="AO108" s="338"/>
      <c r="AP108" s="338"/>
      <c r="AQ108" s="338"/>
      <c r="AR108" s="338"/>
      <c r="AS108" s="338"/>
      <c r="AT108" s="338"/>
      <c r="AU108" s="338"/>
      <c r="AV108" s="338"/>
      <c r="AW108" s="338"/>
      <c r="AX108" s="338"/>
      <c r="AY108" s="338"/>
      <c r="AZ108" s="338"/>
      <c r="BA108" s="338"/>
      <c r="BB108" s="338"/>
      <c r="BC108" s="338"/>
      <c r="BD108" s="338"/>
      <c r="BE108" s="338"/>
      <c r="BF108" s="338"/>
      <c r="BG108" s="338"/>
      <c r="BH108" s="338"/>
      <c r="BI108" s="338"/>
      <c r="BJ108" s="338"/>
      <c r="BK108" s="338"/>
      <c r="BL108" s="338"/>
      <c r="BM108" s="338"/>
      <c r="BN108" s="338"/>
      <c r="BO108" s="338"/>
      <c r="BP108" s="338"/>
      <c r="BQ108" s="338"/>
      <c r="BR108" s="338"/>
      <c r="BS108" s="338"/>
      <c r="BT108" s="338"/>
      <c r="BU108" s="338"/>
      <c r="BV108" s="338"/>
      <c r="BW108" s="338"/>
      <c r="BX108" s="338"/>
      <c r="BY108" s="338"/>
      <c r="BZ108" s="338"/>
      <c r="CA108" s="338"/>
      <c r="CB108" s="338"/>
      <c r="CC108" s="338"/>
      <c r="CD108" s="338"/>
      <c r="CE108" s="338"/>
      <c r="CF108" s="338"/>
      <c r="CG108" s="338"/>
      <c r="CH108" s="338"/>
      <c r="CI108" s="338"/>
      <c r="CJ108" s="338"/>
      <c r="CK108" s="338"/>
      <c r="CL108" s="338"/>
    </row>
    <row r="109" ht="14.2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40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  <c r="AA109" s="338"/>
      <c r="AB109" s="338"/>
      <c r="AC109" s="338"/>
      <c r="AD109" s="338"/>
      <c r="AE109" s="338"/>
      <c r="AF109" s="338"/>
      <c r="AG109" s="338"/>
      <c r="AH109" s="338"/>
      <c r="AI109" s="338"/>
      <c r="AJ109" s="338"/>
      <c r="AK109" s="338"/>
      <c r="AL109" s="338"/>
      <c r="AM109" s="338"/>
      <c r="AN109" s="338"/>
      <c r="AO109" s="338"/>
      <c r="AP109" s="338"/>
      <c r="AQ109" s="338"/>
      <c r="AR109" s="338"/>
      <c r="AS109" s="338"/>
      <c r="AT109" s="338"/>
      <c r="AU109" s="338"/>
      <c r="AV109" s="338"/>
      <c r="AW109" s="338"/>
      <c r="AX109" s="338"/>
      <c r="AY109" s="338"/>
      <c r="AZ109" s="338"/>
      <c r="BA109" s="338"/>
      <c r="BB109" s="338"/>
      <c r="BC109" s="338"/>
      <c r="BD109" s="338"/>
      <c r="BE109" s="338"/>
      <c r="BF109" s="338"/>
      <c r="BG109" s="338"/>
      <c r="BH109" s="338"/>
      <c r="BI109" s="338"/>
      <c r="BJ109" s="338"/>
      <c r="BK109" s="338"/>
      <c r="BL109" s="338"/>
      <c r="BM109" s="338"/>
      <c r="BN109" s="338"/>
      <c r="BO109" s="338"/>
      <c r="BP109" s="338"/>
      <c r="BQ109" s="338"/>
      <c r="BR109" s="338"/>
      <c r="BS109" s="338"/>
      <c r="BT109" s="338"/>
      <c r="BU109" s="338"/>
      <c r="BV109" s="338"/>
      <c r="BW109" s="338"/>
      <c r="BX109" s="338"/>
      <c r="BY109" s="338"/>
      <c r="BZ109" s="338"/>
      <c r="CA109" s="338"/>
      <c r="CB109" s="338"/>
      <c r="CC109" s="338"/>
      <c r="CD109" s="338"/>
      <c r="CE109" s="338"/>
      <c r="CF109" s="338"/>
      <c r="CG109" s="338"/>
      <c r="CH109" s="338"/>
      <c r="CI109" s="338"/>
      <c r="CJ109" s="338"/>
      <c r="CK109" s="338"/>
      <c r="CL109" s="338"/>
    </row>
    <row r="110" ht="14.2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40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  <c r="AA110" s="338"/>
      <c r="AB110" s="338"/>
      <c r="AC110" s="338"/>
      <c r="AD110" s="338"/>
      <c r="AE110" s="338"/>
      <c r="AF110" s="338"/>
      <c r="AG110" s="338"/>
      <c r="AH110" s="338"/>
      <c r="AI110" s="338"/>
      <c r="AJ110" s="338"/>
      <c r="AK110" s="338"/>
      <c r="AL110" s="338"/>
      <c r="AM110" s="338"/>
      <c r="AN110" s="338"/>
      <c r="AO110" s="338"/>
      <c r="AP110" s="338"/>
      <c r="AQ110" s="338"/>
      <c r="AR110" s="338"/>
      <c r="AS110" s="338"/>
      <c r="AT110" s="338"/>
      <c r="AU110" s="338"/>
      <c r="AV110" s="338"/>
      <c r="AW110" s="338"/>
      <c r="AX110" s="338"/>
      <c r="AY110" s="338"/>
      <c r="AZ110" s="338"/>
      <c r="BA110" s="338"/>
      <c r="BB110" s="338"/>
      <c r="BC110" s="338"/>
      <c r="BD110" s="338"/>
      <c r="BE110" s="338"/>
      <c r="BF110" s="338"/>
      <c r="BG110" s="338"/>
      <c r="BH110" s="338"/>
      <c r="BI110" s="338"/>
      <c r="BJ110" s="338"/>
      <c r="BK110" s="338"/>
      <c r="BL110" s="338"/>
      <c r="BM110" s="338"/>
      <c r="BN110" s="338"/>
      <c r="BO110" s="338"/>
      <c r="BP110" s="338"/>
      <c r="BQ110" s="338"/>
      <c r="BR110" s="338"/>
      <c r="BS110" s="338"/>
      <c r="BT110" s="338"/>
      <c r="BU110" s="338"/>
      <c r="BV110" s="338"/>
      <c r="BW110" s="338"/>
      <c r="BX110" s="338"/>
      <c r="BY110" s="338"/>
      <c r="BZ110" s="338"/>
      <c r="CA110" s="338"/>
      <c r="CB110" s="338"/>
      <c r="CC110" s="338"/>
      <c r="CD110" s="338"/>
      <c r="CE110" s="338"/>
      <c r="CF110" s="338"/>
      <c r="CG110" s="338"/>
      <c r="CH110" s="338"/>
      <c r="CI110" s="338"/>
      <c r="CJ110" s="338"/>
      <c r="CK110" s="338"/>
      <c r="CL110" s="338"/>
    </row>
    <row r="111" ht="14.2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40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  <c r="AA111" s="338"/>
      <c r="AB111" s="338"/>
      <c r="AC111" s="338"/>
      <c r="AD111" s="338"/>
      <c r="AE111" s="338"/>
      <c r="AF111" s="338"/>
      <c r="AG111" s="338"/>
      <c r="AH111" s="338"/>
      <c r="AI111" s="338"/>
      <c r="AJ111" s="338"/>
      <c r="AK111" s="338"/>
      <c r="AL111" s="338"/>
      <c r="AM111" s="338"/>
      <c r="AN111" s="338"/>
      <c r="AO111" s="338"/>
      <c r="AP111" s="338"/>
      <c r="AQ111" s="338"/>
      <c r="AR111" s="338"/>
      <c r="AS111" s="338"/>
      <c r="AT111" s="338"/>
      <c r="AU111" s="338"/>
      <c r="AV111" s="338"/>
      <c r="AW111" s="338"/>
      <c r="AX111" s="338"/>
      <c r="AY111" s="338"/>
      <c r="AZ111" s="338"/>
      <c r="BA111" s="338"/>
      <c r="BB111" s="338"/>
      <c r="BC111" s="338"/>
      <c r="BD111" s="338"/>
      <c r="BE111" s="338"/>
      <c r="BF111" s="338"/>
      <c r="BG111" s="338"/>
      <c r="BH111" s="338"/>
      <c r="BI111" s="338"/>
      <c r="BJ111" s="338"/>
      <c r="BK111" s="338"/>
      <c r="BL111" s="338"/>
      <c r="BM111" s="338"/>
      <c r="BN111" s="338"/>
      <c r="BO111" s="338"/>
      <c r="BP111" s="338"/>
      <c r="BQ111" s="338"/>
      <c r="BR111" s="338"/>
      <c r="BS111" s="338"/>
      <c r="BT111" s="338"/>
      <c r="BU111" s="338"/>
      <c r="BV111" s="338"/>
      <c r="BW111" s="338"/>
      <c r="BX111" s="338"/>
      <c r="BY111" s="338"/>
      <c r="BZ111" s="338"/>
      <c r="CA111" s="338"/>
      <c r="CB111" s="338"/>
      <c r="CC111" s="338"/>
      <c r="CD111" s="338"/>
      <c r="CE111" s="338"/>
      <c r="CF111" s="338"/>
      <c r="CG111" s="338"/>
      <c r="CH111" s="338"/>
      <c r="CI111" s="338"/>
      <c r="CJ111" s="338"/>
      <c r="CK111" s="338"/>
      <c r="CL111" s="338"/>
    </row>
    <row r="112" ht="14.2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40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8"/>
      <c r="AP112" s="338"/>
      <c r="AQ112" s="338"/>
      <c r="AR112" s="338"/>
      <c r="AS112" s="338"/>
      <c r="AT112" s="338"/>
      <c r="AU112" s="338"/>
      <c r="AV112" s="338"/>
      <c r="AW112" s="338"/>
      <c r="AX112" s="338"/>
      <c r="AY112" s="338"/>
      <c r="AZ112" s="338"/>
      <c r="BA112" s="338"/>
      <c r="BB112" s="338"/>
      <c r="BC112" s="338"/>
      <c r="BD112" s="338"/>
      <c r="BE112" s="338"/>
      <c r="BF112" s="338"/>
      <c r="BG112" s="338"/>
      <c r="BH112" s="338"/>
      <c r="BI112" s="338"/>
      <c r="BJ112" s="338"/>
      <c r="BK112" s="338"/>
      <c r="BL112" s="338"/>
      <c r="BM112" s="338"/>
      <c r="BN112" s="338"/>
      <c r="BO112" s="338"/>
      <c r="BP112" s="338"/>
      <c r="BQ112" s="338"/>
      <c r="BR112" s="338"/>
      <c r="BS112" s="338"/>
      <c r="BT112" s="338"/>
      <c r="BU112" s="338"/>
      <c r="BV112" s="338"/>
      <c r="BW112" s="338"/>
      <c r="BX112" s="338"/>
      <c r="BY112" s="338"/>
      <c r="BZ112" s="338"/>
      <c r="CA112" s="338"/>
      <c r="CB112" s="338"/>
      <c r="CC112" s="338"/>
      <c r="CD112" s="338"/>
      <c r="CE112" s="338"/>
      <c r="CF112" s="338"/>
      <c r="CG112" s="338"/>
      <c r="CH112" s="338"/>
      <c r="CI112" s="338"/>
      <c r="CJ112" s="338"/>
      <c r="CK112" s="338"/>
      <c r="CL112" s="338"/>
    </row>
    <row r="113" ht="14.2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40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  <c r="AA113" s="338"/>
      <c r="AB113" s="338"/>
      <c r="AC113" s="338"/>
      <c r="AD113" s="338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  <c r="AO113" s="338"/>
      <c r="AP113" s="338"/>
      <c r="AQ113" s="338"/>
      <c r="AR113" s="338"/>
      <c r="AS113" s="338"/>
      <c r="AT113" s="338"/>
      <c r="AU113" s="338"/>
      <c r="AV113" s="338"/>
      <c r="AW113" s="338"/>
      <c r="AX113" s="338"/>
      <c r="AY113" s="338"/>
      <c r="AZ113" s="338"/>
      <c r="BA113" s="338"/>
      <c r="BB113" s="338"/>
      <c r="BC113" s="338"/>
      <c r="BD113" s="338"/>
      <c r="BE113" s="338"/>
      <c r="BF113" s="338"/>
      <c r="BG113" s="338"/>
      <c r="BH113" s="338"/>
      <c r="BI113" s="338"/>
      <c r="BJ113" s="338"/>
      <c r="BK113" s="338"/>
      <c r="BL113" s="338"/>
      <c r="BM113" s="338"/>
      <c r="BN113" s="338"/>
      <c r="BO113" s="338"/>
      <c r="BP113" s="338"/>
      <c r="BQ113" s="338"/>
      <c r="BR113" s="338"/>
      <c r="BS113" s="338"/>
      <c r="BT113" s="338"/>
      <c r="BU113" s="338"/>
      <c r="BV113" s="338"/>
      <c r="BW113" s="338"/>
      <c r="BX113" s="338"/>
      <c r="BY113" s="338"/>
      <c r="BZ113" s="338"/>
      <c r="CA113" s="338"/>
      <c r="CB113" s="338"/>
      <c r="CC113" s="338"/>
      <c r="CD113" s="338"/>
      <c r="CE113" s="338"/>
      <c r="CF113" s="338"/>
      <c r="CG113" s="338"/>
      <c r="CH113" s="338"/>
      <c r="CI113" s="338"/>
      <c r="CJ113" s="338"/>
      <c r="CK113" s="338"/>
      <c r="CL113" s="338"/>
    </row>
    <row r="114" ht="14.2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40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  <c r="AA114" s="338"/>
      <c r="AB114" s="338"/>
      <c r="AC114" s="338"/>
      <c r="AD114" s="338"/>
      <c r="AE114" s="338"/>
      <c r="AF114" s="338"/>
      <c r="AG114" s="338"/>
      <c r="AH114" s="338"/>
      <c r="AI114" s="338"/>
      <c r="AJ114" s="338"/>
      <c r="AK114" s="338"/>
      <c r="AL114" s="338"/>
      <c r="AM114" s="338"/>
      <c r="AN114" s="338"/>
      <c r="AO114" s="338"/>
      <c r="AP114" s="338"/>
      <c r="AQ114" s="338"/>
      <c r="AR114" s="338"/>
      <c r="AS114" s="338"/>
      <c r="AT114" s="338"/>
      <c r="AU114" s="338"/>
      <c r="AV114" s="338"/>
      <c r="AW114" s="338"/>
      <c r="AX114" s="338"/>
      <c r="AY114" s="338"/>
      <c r="AZ114" s="338"/>
      <c r="BA114" s="338"/>
      <c r="BB114" s="338"/>
      <c r="BC114" s="338"/>
      <c r="BD114" s="338"/>
      <c r="BE114" s="338"/>
      <c r="BF114" s="338"/>
      <c r="BG114" s="338"/>
      <c r="BH114" s="338"/>
      <c r="BI114" s="338"/>
      <c r="BJ114" s="338"/>
      <c r="BK114" s="338"/>
      <c r="BL114" s="338"/>
      <c r="BM114" s="338"/>
      <c r="BN114" s="338"/>
      <c r="BO114" s="338"/>
      <c r="BP114" s="338"/>
      <c r="BQ114" s="338"/>
      <c r="BR114" s="338"/>
      <c r="BS114" s="338"/>
      <c r="BT114" s="338"/>
      <c r="BU114" s="338"/>
      <c r="BV114" s="338"/>
      <c r="BW114" s="338"/>
      <c r="BX114" s="338"/>
      <c r="BY114" s="338"/>
      <c r="BZ114" s="338"/>
      <c r="CA114" s="338"/>
      <c r="CB114" s="338"/>
      <c r="CC114" s="338"/>
      <c r="CD114" s="338"/>
      <c r="CE114" s="338"/>
      <c r="CF114" s="338"/>
      <c r="CG114" s="338"/>
      <c r="CH114" s="338"/>
      <c r="CI114" s="338"/>
      <c r="CJ114" s="338"/>
      <c r="CK114" s="338"/>
      <c r="CL114" s="338"/>
    </row>
    <row r="115" ht="14.2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40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338"/>
      <c r="AB115" s="338"/>
      <c r="AC115" s="338"/>
      <c r="AD115" s="338"/>
      <c r="AE115" s="338"/>
      <c r="AF115" s="338"/>
      <c r="AG115" s="338"/>
      <c r="AH115" s="338"/>
      <c r="AI115" s="338"/>
      <c r="AJ115" s="338"/>
      <c r="AK115" s="338"/>
      <c r="AL115" s="338"/>
      <c r="AM115" s="338"/>
      <c r="AN115" s="338"/>
      <c r="AO115" s="338"/>
      <c r="AP115" s="338"/>
      <c r="AQ115" s="338"/>
      <c r="AR115" s="338"/>
      <c r="AS115" s="338"/>
      <c r="AT115" s="338"/>
      <c r="AU115" s="338"/>
      <c r="AV115" s="338"/>
      <c r="AW115" s="338"/>
      <c r="AX115" s="338"/>
      <c r="AY115" s="338"/>
      <c r="AZ115" s="338"/>
      <c r="BA115" s="338"/>
      <c r="BB115" s="338"/>
      <c r="BC115" s="338"/>
      <c r="BD115" s="338"/>
      <c r="BE115" s="338"/>
      <c r="BF115" s="338"/>
      <c r="BG115" s="338"/>
      <c r="BH115" s="338"/>
      <c r="BI115" s="338"/>
      <c r="BJ115" s="338"/>
      <c r="BK115" s="338"/>
      <c r="BL115" s="338"/>
      <c r="BM115" s="338"/>
      <c r="BN115" s="338"/>
      <c r="BO115" s="338"/>
      <c r="BP115" s="338"/>
      <c r="BQ115" s="338"/>
      <c r="BR115" s="338"/>
      <c r="BS115" s="338"/>
      <c r="BT115" s="338"/>
      <c r="BU115" s="338"/>
      <c r="BV115" s="338"/>
      <c r="BW115" s="338"/>
      <c r="BX115" s="338"/>
      <c r="BY115" s="338"/>
      <c r="BZ115" s="338"/>
      <c r="CA115" s="338"/>
      <c r="CB115" s="338"/>
      <c r="CC115" s="338"/>
      <c r="CD115" s="338"/>
      <c r="CE115" s="338"/>
      <c r="CF115" s="338"/>
      <c r="CG115" s="338"/>
      <c r="CH115" s="338"/>
      <c r="CI115" s="338"/>
      <c r="CJ115" s="338"/>
      <c r="CK115" s="338"/>
      <c r="CL115" s="338"/>
    </row>
    <row r="116" ht="14.2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40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338"/>
      <c r="AB116" s="338"/>
      <c r="AC116" s="338"/>
      <c r="AD116" s="338"/>
      <c r="AE116" s="338"/>
      <c r="AF116" s="338"/>
      <c r="AG116" s="338"/>
      <c r="AH116" s="338"/>
      <c r="AI116" s="338"/>
      <c r="AJ116" s="338"/>
      <c r="AK116" s="338"/>
      <c r="AL116" s="338"/>
      <c r="AM116" s="338"/>
      <c r="AN116" s="338"/>
      <c r="AO116" s="338"/>
      <c r="AP116" s="338"/>
      <c r="AQ116" s="338"/>
      <c r="AR116" s="338"/>
      <c r="AS116" s="338"/>
      <c r="AT116" s="338"/>
      <c r="AU116" s="338"/>
      <c r="AV116" s="338"/>
      <c r="AW116" s="338"/>
      <c r="AX116" s="338"/>
      <c r="AY116" s="338"/>
      <c r="AZ116" s="338"/>
      <c r="BA116" s="338"/>
      <c r="BB116" s="338"/>
      <c r="BC116" s="338"/>
      <c r="BD116" s="338"/>
      <c r="BE116" s="338"/>
      <c r="BF116" s="338"/>
      <c r="BG116" s="338"/>
      <c r="BH116" s="338"/>
      <c r="BI116" s="338"/>
      <c r="BJ116" s="338"/>
      <c r="BK116" s="338"/>
      <c r="BL116" s="338"/>
      <c r="BM116" s="338"/>
      <c r="BN116" s="338"/>
      <c r="BO116" s="338"/>
      <c r="BP116" s="338"/>
      <c r="BQ116" s="338"/>
      <c r="BR116" s="338"/>
      <c r="BS116" s="338"/>
      <c r="BT116" s="338"/>
      <c r="BU116" s="338"/>
      <c r="BV116" s="338"/>
      <c r="BW116" s="338"/>
      <c r="BX116" s="338"/>
      <c r="BY116" s="338"/>
      <c r="BZ116" s="338"/>
      <c r="CA116" s="338"/>
      <c r="CB116" s="338"/>
      <c r="CC116" s="338"/>
      <c r="CD116" s="338"/>
      <c r="CE116" s="338"/>
      <c r="CF116" s="338"/>
      <c r="CG116" s="338"/>
      <c r="CH116" s="338"/>
      <c r="CI116" s="338"/>
      <c r="CJ116" s="338"/>
      <c r="CK116" s="338"/>
      <c r="CL116" s="338"/>
    </row>
    <row r="117" ht="14.2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40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338"/>
      <c r="AB117" s="338"/>
      <c r="AC117" s="338"/>
      <c r="AD117" s="338"/>
      <c r="AE117" s="338"/>
      <c r="AF117" s="338"/>
      <c r="AG117" s="338"/>
      <c r="AH117" s="338"/>
      <c r="AI117" s="338"/>
      <c r="AJ117" s="338"/>
      <c r="AK117" s="338"/>
      <c r="AL117" s="338"/>
      <c r="AM117" s="338"/>
      <c r="AN117" s="338"/>
      <c r="AO117" s="338"/>
      <c r="AP117" s="338"/>
      <c r="AQ117" s="338"/>
      <c r="AR117" s="338"/>
      <c r="AS117" s="338"/>
      <c r="AT117" s="338"/>
      <c r="AU117" s="338"/>
      <c r="AV117" s="338"/>
      <c r="AW117" s="338"/>
      <c r="AX117" s="338"/>
      <c r="AY117" s="338"/>
      <c r="AZ117" s="338"/>
      <c r="BA117" s="338"/>
      <c r="BB117" s="338"/>
      <c r="BC117" s="338"/>
      <c r="BD117" s="338"/>
      <c r="BE117" s="338"/>
      <c r="BF117" s="338"/>
      <c r="BG117" s="338"/>
      <c r="BH117" s="338"/>
      <c r="BI117" s="338"/>
      <c r="BJ117" s="338"/>
      <c r="BK117" s="338"/>
      <c r="BL117" s="338"/>
      <c r="BM117" s="338"/>
      <c r="BN117" s="338"/>
      <c r="BO117" s="338"/>
      <c r="BP117" s="338"/>
      <c r="BQ117" s="338"/>
      <c r="BR117" s="338"/>
      <c r="BS117" s="338"/>
      <c r="BT117" s="338"/>
      <c r="BU117" s="338"/>
      <c r="BV117" s="338"/>
      <c r="BW117" s="338"/>
      <c r="BX117" s="338"/>
      <c r="BY117" s="338"/>
      <c r="BZ117" s="338"/>
      <c r="CA117" s="338"/>
      <c r="CB117" s="338"/>
      <c r="CC117" s="338"/>
      <c r="CD117" s="338"/>
      <c r="CE117" s="338"/>
      <c r="CF117" s="338"/>
      <c r="CG117" s="338"/>
      <c r="CH117" s="338"/>
      <c r="CI117" s="338"/>
      <c r="CJ117" s="338"/>
      <c r="CK117" s="338"/>
      <c r="CL117" s="338"/>
    </row>
    <row r="118" ht="14.2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40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  <c r="AA118" s="338"/>
      <c r="AB118" s="338"/>
      <c r="AC118" s="338"/>
      <c r="AD118" s="338"/>
      <c r="AE118" s="338"/>
      <c r="AF118" s="338"/>
      <c r="AG118" s="338"/>
      <c r="AH118" s="338"/>
      <c r="AI118" s="338"/>
      <c r="AJ118" s="338"/>
      <c r="AK118" s="338"/>
      <c r="AL118" s="338"/>
      <c r="AM118" s="338"/>
      <c r="AN118" s="338"/>
      <c r="AO118" s="338"/>
      <c r="AP118" s="338"/>
      <c r="AQ118" s="338"/>
      <c r="AR118" s="338"/>
      <c r="AS118" s="338"/>
      <c r="AT118" s="338"/>
      <c r="AU118" s="338"/>
      <c r="AV118" s="338"/>
      <c r="AW118" s="338"/>
      <c r="AX118" s="338"/>
      <c r="AY118" s="338"/>
      <c r="AZ118" s="338"/>
      <c r="BA118" s="338"/>
      <c r="BB118" s="338"/>
      <c r="BC118" s="338"/>
      <c r="BD118" s="338"/>
      <c r="BE118" s="338"/>
      <c r="BF118" s="338"/>
      <c r="BG118" s="338"/>
      <c r="BH118" s="338"/>
      <c r="BI118" s="338"/>
      <c r="BJ118" s="338"/>
      <c r="BK118" s="338"/>
      <c r="BL118" s="338"/>
      <c r="BM118" s="338"/>
      <c r="BN118" s="338"/>
      <c r="BO118" s="338"/>
      <c r="BP118" s="338"/>
      <c r="BQ118" s="338"/>
      <c r="BR118" s="338"/>
      <c r="BS118" s="338"/>
      <c r="BT118" s="338"/>
      <c r="BU118" s="338"/>
      <c r="BV118" s="338"/>
      <c r="BW118" s="338"/>
      <c r="BX118" s="338"/>
      <c r="BY118" s="338"/>
      <c r="BZ118" s="338"/>
      <c r="CA118" s="338"/>
      <c r="CB118" s="338"/>
      <c r="CC118" s="338"/>
      <c r="CD118" s="338"/>
      <c r="CE118" s="338"/>
      <c r="CF118" s="338"/>
      <c r="CG118" s="338"/>
      <c r="CH118" s="338"/>
      <c r="CI118" s="338"/>
      <c r="CJ118" s="338"/>
      <c r="CK118" s="338"/>
      <c r="CL118" s="338"/>
    </row>
    <row r="119" ht="14.2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40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338"/>
      <c r="AB119" s="338"/>
      <c r="AC119" s="338"/>
      <c r="AD119" s="338"/>
      <c r="AE119" s="338"/>
      <c r="AF119" s="338"/>
      <c r="AG119" s="338"/>
      <c r="AH119" s="338"/>
      <c r="AI119" s="338"/>
      <c r="AJ119" s="338"/>
      <c r="AK119" s="338"/>
      <c r="AL119" s="338"/>
      <c r="AM119" s="338"/>
      <c r="AN119" s="338"/>
      <c r="AO119" s="338"/>
      <c r="AP119" s="338"/>
      <c r="AQ119" s="338"/>
      <c r="AR119" s="338"/>
      <c r="AS119" s="338"/>
      <c r="AT119" s="338"/>
      <c r="AU119" s="338"/>
      <c r="AV119" s="338"/>
      <c r="AW119" s="338"/>
      <c r="AX119" s="338"/>
      <c r="AY119" s="338"/>
      <c r="AZ119" s="338"/>
      <c r="BA119" s="338"/>
      <c r="BB119" s="338"/>
      <c r="BC119" s="338"/>
      <c r="BD119" s="338"/>
      <c r="BE119" s="338"/>
      <c r="BF119" s="338"/>
      <c r="BG119" s="338"/>
      <c r="BH119" s="338"/>
      <c r="BI119" s="338"/>
      <c r="BJ119" s="338"/>
      <c r="BK119" s="338"/>
      <c r="BL119" s="338"/>
      <c r="BM119" s="338"/>
      <c r="BN119" s="338"/>
      <c r="BO119" s="338"/>
      <c r="BP119" s="338"/>
      <c r="BQ119" s="338"/>
      <c r="BR119" s="338"/>
      <c r="BS119" s="338"/>
      <c r="BT119" s="338"/>
      <c r="BU119" s="338"/>
      <c r="BV119" s="338"/>
      <c r="BW119" s="338"/>
      <c r="BX119" s="338"/>
      <c r="BY119" s="338"/>
      <c r="BZ119" s="338"/>
      <c r="CA119" s="338"/>
      <c r="CB119" s="338"/>
      <c r="CC119" s="338"/>
      <c r="CD119" s="338"/>
      <c r="CE119" s="338"/>
      <c r="CF119" s="338"/>
      <c r="CG119" s="338"/>
      <c r="CH119" s="338"/>
      <c r="CI119" s="338"/>
      <c r="CJ119" s="338"/>
      <c r="CK119" s="338"/>
      <c r="CL119" s="338"/>
    </row>
    <row r="120" ht="14.2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40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  <c r="AC120" s="338"/>
      <c r="AD120" s="338"/>
      <c r="AE120" s="338"/>
      <c r="AF120" s="338"/>
      <c r="AG120" s="338"/>
      <c r="AH120" s="338"/>
      <c r="AI120" s="338"/>
      <c r="AJ120" s="338"/>
      <c r="AK120" s="338"/>
      <c r="AL120" s="338"/>
      <c r="AM120" s="338"/>
      <c r="AN120" s="338"/>
      <c r="AO120" s="338"/>
      <c r="AP120" s="338"/>
      <c r="AQ120" s="338"/>
      <c r="AR120" s="338"/>
      <c r="AS120" s="338"/>
      <c r="AT120" s="338"/>
      <c r="AU120" s="338"/>
      <c r="AV120" s="338"/>
      <c r="AW120" s="338"/>
      <c r="AX120" s="338"/>
      <c r="AY120" s="338"/>
      <c r="AZ120" s="338"/>
      <c r="BA120" s="338"/>
      <c r="BB120" s="338"/>
      <c r="BC120" s="338"/>
      <c r="BD120" s="338"/>
      <c r="BE120" s="338"/>
      <c r="BF120" s="338"/>
      <c r="BG120" s="338"/>
      <c r="BH120" s="338"/>
      <c r="BI120" s="338"/>
      <c r="BJ120" s="338"/>
      <c r="BK120" s="338"/>
      <c r="BL120" s="338"/>
      <c r="BM120" s="338"/>
      <c r="BN120" s="338"/>
      <c r="BO120" s="338"/>
      <c r="BP120" s="338"/>
      <c r="BQ120" s="338"/>
      <c r="BR120" s="338"/>
      <c r="BS120" s="338"/>
      <c r="BT120" s="338"/>
      <c r="BU120" s="338"/>
      <c r="BV120" s="338"/>
      <c r="BW120" s="338"/>
      <c r="BX120" s="338"/>
      <c r="BY120" s="338"/>
      <c r="BZ120" s="338"/>
      <c r="CA120" s="338"/>
      <c r="CB120" s="338"/>
      <c r="CC120" s="338"/>
      <c r="CD120" s="338"/>
      <c r="CE120" s="338"/>
      <c r="CF120" s="338"/>
      <c r="CG120" s="338"/>
      <c r="CH120" s="338"/>
      <c r="CI120" s="338"/>
      <c r="CJ120" s="338"/>
      <c r="CK120" s="338"/>
      <c r="CL120" s="338"/>
    </row>
    <row r="121" ht="14.2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40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  <c r="AC121" s="338"/>
      <c r="AD121" s="338"/>
      <c r="AE121" s="338"/>
      <c r="AF121" s="338"/>
      <c r="AG121" s="338"/>
      <c r="AH121" s="338"/>
      <c r="AI121" s="338"/>
      <c r="AJ121" s="338"/>
      <c r="AK121" s="338"/>
      <c r="AL121" s="338"/>
      <c r="AM121" s="338"/>
      <c r="AN121" s="338"/>
      <c r="AO121" s="338"/>
      <c r="AP121" s="338"/>
      <c r="AQ121" s="338"/>
      <c r="AR121" s="338"/>
      <c r="AS121" s="338"/>
      <c r="AT121" s="338"/>
      <c r="AU121" s="338"/>
      <c r="AV121" s="338"/>
      <c r="AW121" s="338"/>
      <c r="AX121" s="338"/>
      <c r="AY121" s="338"/>
      <c r="AZ121" s="338"/>
      <c r="BA121" s="338"/>
      <c r="BB121" s="338"/>
      <c r="BC121" s="338"/>
      <c r="BD121" s="338"/>
      <c r="BE121" s="338"/>
      <c r="BF121" s="338"/>
      <c r="BG121" s="338"/>
      <c r="BH121" s="338"/>
      <c r="BI121" s="338"/>
      <c r="BJ121" s="338"/>
      <c r="BK121" s="338"/>
      <c r="BL121" s="338"/>
      <c r="BM121" s="338"/>
      <c r="BN121" s="338"/>
      <c r="BO121" s="338"/>
      <c r="BP121" s="338"/>
      <c r="BQ121" s="338"/>
      <c r="BR121" s="338"/>
      <c r="BS121" s="338"/>
      <c r="BT121" s="338"/>
      <c r="BU121" s="338"/>
      <c r="BV121" s="338"/>
      <c r="BW121" s="338"/>
      <c r="BX121" s="338"/>
      <c r="BY121" s="338"/>
      <c r="BZ121" s="338"/>
      <c r="CA121" s="338"/>
      <c r="CB121" s="338"/>
      <c r="CC121" s="338"/>
      <c r="CD121" s="338"/>
      <c r="CE121" s="338"/>
      <c r="CF121" s="338"/>
      <c r="CG121" s="338"/>
      <c r="CH121" s="338"/>
      <c r="CI121" s="338"/>
      <c r="CJ121" s="338"/>
      <c r="CK121" s="338"/>
      <c r="CL121" s="338"/>
    </row>
    <row r="122" ht="14.2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40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38"/>
      <c r="AP122" s="338"/>
      <c r="AQ122" s="338"/>
      <c r="AR122" s="338"/>
      <c r="AS122" s="338"/>
      <c r="AT122" s="338"/>
      <c r="AU122" s="338"/>
      <c r="AV122" s="338"/>
      <c r="AW122" s="338"/>
      <c r="AX122" s="338"/>
      <c r="AY122" s="338"/>
      <c r="AZ122" s="338"/>
      <c r="BA122" s="338"/>
      <c r="BB122" s="338"/>
      <c r="BC122" s="338"/>
      <c r="BD122" s="338"/>
      <c r="BE122" s="338"/>
      <c r="BF122" s="338"/>
      <c r="BG122" s="338"/>
      <c r="BH122" s="338"/>
      <c r="BI122" s="338"/>
      <c r="BJ122" s="338"/>
      <c r="BK122" s="338"/>
      <c r="BL122" s="338"/>
      <c r="BM122" s="338"/>
      <c r="BN122" s="338"/>
      <c r="BO122" s="338"/>
      <c r="BP122" s="338"/>
      <c r="BQ122" s="338"/>
      <c r="BR122" s="338"/>
      <c r="BS122" s="338"/>
      <c r="BT122" s="338"/>
      <c r="BU122" s="338"/>
      <c r="BV122" s="338"/>
      <c r="BW122" s="338"/>
      <c r="BX122" s="338"/>
      <c r="BY122" s="338"/>
      <c r="BZ122" s="338"/>
      <c r="CA122" s="338"/>
      <c r="CB122" s="338"/>
      <c r="CC122" s="338"/>
      <c r="CD122" s="338"/>
      <c r="CE122" s="338"/>
      <c r="CF122" s="338"/>
      <c r="CG122" s="338"/>
      <c r="CH122" s="338"/>
      <c r="CI122" s="338"/>
      <c r="CJ122" s="338"/>
      <c r="CK122" s="338"/>
      <c r="CL122" s="338"/>
    </row>
    <row r="123" ht="14.2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40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  <c r="AA123" s="338"/>
      <c r="AB123" s="338"/>
      <c r="AC123" s="338"/>
      <c r="AD123" s="338"/>
      <c r="AE123" s="338"/>
      <c r="AF123" s="338"/>
      <c r="AG123" s="338"/>
      <c r="AH123" s="338"/>
      <c r="AI123" s="338"/>
      <c r="AJ123" s="338"/>
      <c r="AK123" s="338"/>
      <c r="AL123" s="338"/>
      <c r="AM123" s="338"/>
      <c r="AN123" s="338"/>
      <c r="AO123" s="338"/>
      <c r="AP123" s="338"/>
      <c r="AQ123" s="338"/>
      <c r="AR123" s="338"/>
      <c r="AS123" s="338"/>
      <c r="AT123" s="338"/>
      <c r="AU123" s="338"/>
      <c r="AV123" s="338"/>
      <c r="AW123" s="338"/>
      <c r="AX123" s="338"/>
      <c r="AY123" s="338"/>
      <c r="AZ123" s="338"/>
      <c r="BA123" s="338"/>
      <c r="BB123" s="338"/>
      <c r="BC123" s="338"/>
      <c r="BD123" s="338"/>
      <c r="BE123" s="338"/>
      <c r="BF123" s="338"/>
      <c r="BG123" s="338"/>
      <c r="BH123" s="338"/>
      <c r="BI123" s="338"/>
      <c r="BJ123" s="338"/>
      <c r="BK123" s="338"/>
      <c r="BL123" s="338"/>
      <c r="BM123" s="338"/>
      <c r="BN123" s="338"/>
      <c r="BO123" s="338"/>
      <c r="BP123" s="338"/>
      <c r="BQ123" s="338"/>
      <c r="BR123" s="338"/>
      <c r="BS123" s="338"/>
      <c r="BT123" s="338"/>
      <c r="BU123" s="338"/>
      <c r="BV123" s="338"/>
      <c r="BW123" s="338"/>
      <c r="BX123" s="338"/>
      <c r="BY123" s="338"/>
      <c r="BZ123" s="338"/>
      <c r="CA123" s="338"/>
      <c r="CB123" s="338"/>
      <c r="CC123" s="338"/>
      <c r="CD123" s="338"/>
      <c r="CE123" s="338"/>
      <c r="CF123" s="338"/>
      <c r="CG123" s="338"/>
      <c r="CH123" s="338"/>
      <c r="CI123" s="338"/>
      <c r="CJ123" s="338"/>
      <c r="CK123" s="338"/>
      <c r="CL123" s="338"/>
    </row>
    <row r="124" ht="14.2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40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  <c r="AA124" s="338"/>
      <c r="AB124" s="338"/>
      <c r="AC124" s="338"/>
      <c r="AD124" s="338"/>
      <c r="AE124" s="338"/>
      <c r="AF124" s="338"/>
      <c r="AG124" s="338"/>
      <c r="AH124" s="338"/>
      <c r="AI124" s="338"/>
      <c r="AJ124" s="338"/>
      <c r="AK124" s="338"/>
      <c r="AL124" s="338"/>
      <c r="AM124" s="338"/>
      <c r="AN124" s="338"/>
      <c r="AO124" s="338"/>
      <c r="AP124" s="338"/>
      <c r="AQ124" s="338"/>
      <c r="AR124" s="338"/>
      <c r="AS124" s="338"/>
      <c r="AT124" s="338"/>
      <c r="AU124" s="338"/>
      <c r="AV124" s="338"/>
      <c r="AW124" s="338"/>
      <c r="AX124" s="338"/>
      <c r="AY124" s="338"/>
      <c r="AZ124" s="338"/>
      <c r="BA124" s="338"/>
      <c r="BB124" s="338"/>
      <c r="BC124" s="338"/>
      <c r="BD124" s="338"/>
      <c r="BE124" s="338"/>
      <c r="BF124" s="338"/>
      <c r="BG124" s="338"/>
      <c r="BH124" s="338"/>
      <c r="BI124" s="338"/>
      <c r="BJ124" s="338"/>
      <c r="BK124" s="338"/>
      <c r="BL124" s="338"/>
      <c r="BM124" s="338"/>
      <c r="BN124" s="338"/>
      <c r="BO124" s="338"/>
      <c r="BP124" s="338"/>
      <c r="BQ124" s="338"/>
      <c r="BR124" s="338"/>
      <c r="BS124" s="338"/>
      <c r="BT124" s="338"/>
      <c r="BU124" s="338"/>
      <c r="BV124" s="338"/>
      <c r="BW124" s="338"/>
      <c r="BX124" s="338"/>
      <c r="BY124" s="338"/>
      <c r="BZ124" s="338"/>
      <c r="CA124" s="338"/>
      <c r="CB124" s="338"/>
      <c r="CC124" s="338"/>
      <c r="CD124" s="338"/>
      <c r="CE124" s="338"/>
      <c r="CF124" s="338"/>
      <c r="CG124" s="338"/>
      <c r="CH124" s="338"/>
      <c r="CI124" s="338"/>
      <c r="CJ124" s="338"/>
      <c r="CK124" s="338"/>
      <c r="CL124" s="338"/>
    </row>
    <row r="125" ht="14.2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40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  <c r="AA125" s="338"/>
      <c r="AB125" s="338"/>
      <c r="AC125" s="338"/>
      <c r="AD125" s="338"/>
      <c r="AE125" s="338"/>
      <c r="AF125" s="338"/>
      <c r="AG125" s="338"/>
      <c r="AH125" s="338"/>
      <c r="AI125" s="338"/>
      <c r="AJ125" s="338"/>
      <c r="AK125" s="338"/>
      <c r="AL125" s="338"/>
      <c r="AM125" s="338"/>
      <c r="AN125" s="338"/>
      <c r="AO125" s="338"/>
      <c r="AP125" s="338"/>
      <c r="AQ125" s="338"/>
      <c r="AR125" s="338"/>
      <c r="AS125" s="338"/>
      <c r="AT125" s="338"/>
      <c r="AU125" s="338"/>
      <c r="AV125" s="338"/>
      <c r="AW125" s="338"/>
      <c r="AX125" s="338"/>
      <c r="AY125" s="338"/>
      <c r="AZ125" s="338"/>
      <c r="BA125" s="338"/>
      <c r="BB125" s="338"/>
      <c r="BC125" s="338"/>
      <c r="BD125" s="338"/>
      <c r="BE125" s="338"/>
      <c r="BF125" s="338"/>
      <c r="BG125" s="338"/>
      <c r="BH125" s="338"/>
      <c r="BI125" s="338"/>
      <c r="BJ125" s="338"/>
      <c r="BK125" s="338"/>
      <c r="BL125" s="338"/>
      <c r="BM125" s="338"/>
      <c r="BN125" s="338"/>
      <c r="BO125" s="338"/>
      <c r="BP125" s="338"/>
      <c r="BQ125" s="338"/>
      <c r="BR125" s="338"/>
      <c r="BS125" s="338"/>
      <c r="BT125" s="338"/>
      <c r="BU125" s="338"/>
      <c r="BV125" s="338"/>
      <c r="BW125" s="338"/>
      <c r="BX125" s="338"/>
      <c r="BY125" s="338"/>
      <c r="BZ125" s="338"/>
      <c r="CA125" s="338"/>
      <c r="CB125" s="338"/>
      <c r="CC125" s="338"/>
      <c r="CD125" s="338"/>
      <c r="CE125" s="338"/>
      <c r="CF125" s="338"/>
      <c r="CG125" s="338"/>
      <c r="CH125" s="338"/>
      <c r="CI125" s="338"/>
      <c r="CJ125" s="338"/>
      <c r="CK125" s="338"/>
      <c r="CL125" s="338"/>
    </row>
    <row r="126" ht="14.2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40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  <c r="AA126" s="338"/>
      <c r="AB126" s="338"/>
      <c r="AC126" s="338"/>
      <c r="AD126" s="338"/>
      <c r="AE126" s="338"/>
      <c r="AF126" s="338"/>
      <c r="AG126" s="338"/>
      <c r="AH126" s="338"/>
      <c r="AI126" s="338"/>
      <c r="AJ126" s="338"/>
      <c r="AK126" s="338"/>
      <c r="AL126" s="338"/>
      <c r="AM126" s="338"/>
      <c r="AN126" s="338"/>
      <c r="AO126" s="338"/>
      <c r="AP126" s="338"/>
      <c r="AQ126" s="338"/>
      <c r="AR126" s="338"/>
      <c r="AS126" s="338"/>
      <c r="AT126" s="338"/>
      <c r="AU126" s="338"/>
      <c r="AV126" s="338"/>
      <c r="AW126" s="338"/>
      <c r="AX126" s="338"/>
      <c r="AY126" s="338"/>
      <c r="AZ126" s="338"/>
      <c r="BA126" s="338"/>
      <c r="BB126" s="338"/>
      <c r="BC126" s="338"/>
      <c r="BD126" s="338"/>
      <c r="BE126" s="338"/>
      <c r="BF126" s="338"/>
      <c r="BG126" s="338"/>
      <c r="BH126" s="338"/>
      <c r="BI126" s="338"/>
      <c r="BJ126" s="338"/>
      <c r="BK126" s="338"/>
      <c r="BL126" s="338"/>
      <c r="BM126" s="338"/>
      <c r="BN126" s="338"/>
      <c r="BO126" s="338"/>
      <c r="BP126" s="338"/>
      <c r="BQ126" s="338"/>
      <c r="BR126" s="338"/>
      <c r="BS126" s="338"/>
      <c r="BT126" s="338"/>
      <c r="BU126" s="338"/>
      <c r="BV126" s="338"/>
      <c r="BW126" s="338"/>
      <c r="BX126" s="338"/>
      <c r="BY126" s="338"/>
      <c r="BZ126" s="338"/>
      <c r="CA126" s="338"/>
      <c r="CB126" s="338"/>
      <c r="CC126" s="338"/>
      <c r="CD126" s="338"/>
      <c r="CE126" s="338"/>
      <c r="CF126" s="338"/>
      <c r="CG126" s="338"/>
      <c r="CH126" s="338"/>
      <c r="CI126" s="338"/>
      <c r="CJ126" s="338"/>
      <c r="CK126" s="338"/>
      <c r="CL126" s="338"/>
    </row>
    <row r="127" ht="14.2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40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  <c r="AA127" s="338"/>
      <c r="AB127" s="338"/>
      <c r="AC127" s="338"/>
      <c r="AD127" s="338"/>
      <c r="AE127" s="338"/>
      <c r="AF127" s="338"/>
      <c r="AG127" s="338"/>
      <c r="AH127" s="338"/>
      <c r="AI127" s="338"/>
      <c r="AJ127" s="338"/>
      <c r="AK127" s="338"/>
      <c r="AL127" s="338"/>
      <c r="AM127" s="338"/>
      <c r="AN127" s="338"/>
      <c r="AO127" s="338"/>
      <c r="AP127" s="338"/>
      <c r="AQ127" s="338"/>
      <c r="AR127" s="338"/>
      <c r="AS127" s="338"/>
      <c r="AT127" s="338"/>
      <c r="AU127" s="338"/>
      <c r="AV127" s="338"/>
      <c r="AW127" s="338"/>
      <c r="AX127" s="338"/>
      <c r="AY127" s="338"/>
      <c r="AZ127" s="338"/>
      <c r="BA127" s="338"/>
      <c r="BB127" s="338"/>
      <c r="BC127" s="338"/>
      <c r="BD127" s="338"/>
      <c r="BE127" s="338"/>
      <c r="BF127" s="338"/>
      <c r="BG127" s="338"/>
      <c r="BH127" s="338"/>
      <c r="BI127" s="338"/>
      <c r="BJ127" s="338"/>
      <c r="BK127" s="338"/>
      <c r="BL127" s="338"/>
      <c r="BM127" s="338"/>
      <c r="BN127" s="338"/>
      <c r="BO127" s="338"/>
      <c r="BP127" s="338"/>
      <c r="BQ127" s="338"/>
      <c r="BR127" s="338"/>
      <c r="BS127" s="338"/>
      <c r="BT127" s="338"/>
      <c r="BU127" s="338"/>
      <c r="BV127" s="338"/>
      <c r="BW127" s="338"/>
      <c r="BX127" s="338"/>
      <c r="BY127" s="338"/>
      <c r="BZ127" s="338"/>
      <c r="CA127" s="338"/>
      <c r="CB127" s="338"/>
      <c r="CC127" s="338"/>
      <c r="CD127" s="338"/>
      <c r="CE127" s="338"/>
      <c r="CF127" s="338"/>
      <c r="CG127" s="338"/>
      <c r="CH127" s="338"/>
      <c r="CI127" s="338"/>
      <c r="CJ127" s="338"/>
      <c r="CK127" s="338"/>
      <c r="CL127" s="338"/>
    </row>
    <row r="128" ht="14.2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40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8"/>
      <c r="AN128" s="338"/>
      <c r="AO128" s="338"/>
      <c r="AP128" s="338"/>
      <c r="AQ128" s="338"/>
      <c r="AR128" s="338"/>
      <c r="AS128" s="338"/>
      <c r="AT128" s="338"/>
      <c r="AU128" s="338"/>
      <c r="AV128" s="338"/>
      <c r="AW128" s="338"/>
      <c r="AX128" s="338"/>
      <c r="AY128" s="338"/>
      <c r="AZ128" s="338"/>
      <c r="BA128" s="338"/>
      <c r="BB128" s="338"/>
      <c r="BC128" s="338"/>
      <c r="BD128" s="338"/>
      <c r="BE128" s="338"/>
      <c r="BF128" s="338"/>
      <c r="BG128" s="338"/>
      <c r="BH128" s="338"/>
      <c r="BI128" s="338"/>
      <c r="BJ128" s="338"/>
      <c r="BK128" s="338"/>
      <c r="BL128" s="338"/>
      <c r="BM128" s="338"/>
      <c r="BN128" s="338"/>
      <c r="BO128" s="338"/>
      <c r="BP128" s="338"/>
      <c r="BQ128" s="338"/>
      <c r="BR128" s="338"/>
      <c r="BS128" s="338"/>
      <c r="BT128" s="338"/>
      <c r="BU128" s="338"/>
      <c r="BV128" s="338"/>
      <c r="BW128" s="338"/>
      <c r="BX128" s="338"/>
      <c r="BY128" s="338"/>
      <c r="BZ128" s="338"/>
      <c r="CA128" s="338"/>
      <c r="CB128" s="338"/>
      <c r="CC128" s="338"/>
      <c r="CD128" s="338"/>
      <c r="CE128" s="338"/>
      <c r="CF128" s="338"/>
      <c r="CG128" s="338"/>
      <c r="CH128" s="338"/>
      <c r="CI128" s="338"/>
      <c r="CJ128" s="338"/>
      <c r="CK128" s="338"/>
      <c r="CL128" s="338"/>
    </row>
    <row r="129" ht="14.2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40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8"/>
      <c r="AN129" s="338"/>
      <c r="AO129" s="338"/>
      <c r="AP129" s="338"/>
      <c r="AQ129" s="338"/>
      <c r="AR129" s="338"/>
      <c r="AS129" s="338"/>
      <c r="AT129" s="338"/>
      <c r="AU129" s="338"/>
      <c r="AV129" s="338"/>
      <c r="AW129" s="338"/>
      <c r="AX129" s="338"/>
      <c r="AY129" s="338"/>
      <c r="AZ129" s="338"/>
      <c r="BA129" s="338"/>
      <c r="BB129" s="338"/>
      <c r="BC129" s="338"/>
      <c r="BD129" s="338"/>
      <c r="BE129" s="338"/>
      <c r="BF129" s="338"/>
      <c r="BG129" s="338"/>
      <c r="BH129" s="338"/>
      <c r="BI129" s="338"/>
      <c r="BJ129" s="338"/>
      <c r="BK129" s="338"/>
      <c r="BL129" s="338"/>
      <c r="BM129" s="338"/>
      <c r="BN129" s="338"/>
      <c r="BO129" s="338"/>
      <c r="BP129" s="338"/>
      <c r="BQ129" s="338"/>
      <c r="BR129" s="338"/>
      <c r="BS129" s="338"/>
      <c r="BT129" s="338"/>
      <c r="BU129" s="338"/>
      <c r="BV129" s="338"/>
      <c r="BW129" s="338"/>
      <c r="BX129" s="338"/>
      <c r="BY129" s="338"/>
      <c r="BZ129" s="338"/>
      <c r="CA129" s="338"/>
      <c r="CB129" s="338"/>
      <c r="CC129" s="338"/>
      <c r="CD129" s="338"/>
      <c r="CE129" s="338"/>
      <c r="CF129" s="338"/>
      <c r="CG129" s="338"/>
      <c r="CH129" s="338"/>
      <c r="CI129" s="338"/>
      <c r="CJ129" s="338"/>
      <c r="CK129" s="338"/>
      <c r="CL129" s="338"/>
    </row>
    <row r="130" ht="14.2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40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8"/>
      <c r="AN130" s="338"/>
      <c r="AO130" s="338"/>
      <c r="AP130" s="338"/>
      <c r="AQ130" s="338"/>
      <c r="AR130" s="338"/>
      <c r="AS130" s="338"/>
      <c r="AT130" s="338"/>
      <c r="AU130" s="338"/>
      <c r="AV130" s="338"/>
      <c r="AW130" s="338"/>
      <c r="AX130" s="338"/>
      <c r="AY130" s="338"/>
      <c r="AZ130" s="338"/>
      <c r="BA130" s="338"/>
      <c r="BB130" s="338"/>
      <c r="BC130" s="338"/>
      <c r="BD130" s="338"/>
      <c r="BE130" s="338"/>
      <c r="BF130" s="338"/>
      <c r="BG130" s="338"/>
      <c r="BH130" s="338"/>
      <c r="BI130" s="338"/>
      <c r="BJ130" s="338"/>
      <c r="BK130" s="338"/>
      <c r="BL130" s="338"/>
      <c r="BM130" s="338"/>
      <c r="BN130" s="338"/>
      <c r="BO130" s="338"/>
      <c r="BP130" s="338"/>
      <c r="BQ130" s="338"/>
      <c r="BR130" s="338"/>
      <c r="BS130" s="338"/>
      <c r="BT130" s="338"/>
      <c r="BU130" s="338"/>
      <c r="BV130" s="338"/>
      <c r="BW130" s="338"/>
      <c r="BX130" s="338"/>
      <c r="BY130" s="338"/>
      <c r="BZ130" s="338"/>
      <c r="CA130" s="338"/>
      <c r="CB130" s="338"/>
      <c r="CC130" s="338"/>
      <c r="CD130" s="338"/>
      <c r="CE130" s="338"/>
      <c r="CF130" s="338"/>
      <c r="CG130" s="338"/>
      <c r="CH130" s="338"/>
      <c r="CI130" s="338"/>
      <c r="CJ130" s="338"/>
      <c r="CK130" s="338"/>
      <c r="CL130" s="338"/>
    </row>
    <row r="131" ht="14.2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40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8"/>
      <c r="AN131" s="338"/>
      <c r="AO131" s="338"/>
      <c r="AP131" s="338"/>
      <c r="AQ131" s="338"/>
      <c r="AR131" s="338"/>
      <c r="AS131" s="338"/>
      <c r="AT131" s="338"/>
      <c r="AU131" s="338"/>
      <c r="AV131" s="338"/>
      <c r="AW131" s="338"/>
      <c r="AX131" s="338"/>
      <c r="AY131" s="338"/>
      <c r="AZ131" s="338"/>
      <c r="BA131" s="338"/>
      <c r="BB131" s="338"/>
      <c r="BC131" s="338"/>
      <c r="BD131" s="338"/>
      <c r="BE131" s="338"/>
      <c r="BF131" s="338"/>
      <c r="BG131" s="338"/>
      <c r="BH131" s="338"/>
      <c r="BI131" s="338"/>
      <c r="BJ131" s="338"/>
      <c r="BK131" s="338"/>
      <c r="BL131" s="338"/>
      <c r="BM131" s="338"/>
      <c r="BN131" s="338"/>
      <c r="BO131" s="338"/>
      <c r="BP131" s="338"/>
      <c r="BQ131" s="338"/>
      <c r="BR131" s="338"/>
      <c r="BS131" s="338"/>
      <c r="BT131" s="338"/>
      <c r="BU131" s="338"/>
      <c r="BV131" s="338"/>
      <c r="BW131" s="338"/>
      <c r="BX131" s="338"/>
      <c r="BY131" s="338"/>
      <c r="BZ131" s="338"/>
      <c r="CA131" s="338"/>
      <c r="CB131" s="338"/>
      <c r="CC131" s="338"/>
      <c r="CD131" s="338"/>
      <c r="CE131" s="338"/>
      <c r="CF131" s="338"/>
      <c r="CG131" s="338"/>
      <c r="CH131" s="338"/>
      <c r="CI131" s="338"/>
      <c r="CJ131" s="338"/>
      <c r="CK131" s="338"/>
      <c r="CL131" s="338"/>
    </row>
    <row r="132" ht="14.2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40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8"/>
      <c r="AN132" s="338"/>
      <c r="AO132" s="338"/>
      <c r="AP132" s="338"/>
      <c r="AQ132" s="338"/>
      <c r="AR132" s="338"/>
      <c r="AS132" s="338"/>
      <c r="AT132" s="338"/>
      <c r="AU132" s="338"/>
      <c r="AV132" s="338"/>
      <c r="AW132" s="338"/>
      <c r="AX132" s="338"/>
      <c r="AY132" s="338"/>
      <c r="AZ132" s="338"/>
      <c r="BA132" s="338"/>
      <c r="BB132" s="338"/>
      <c r="BC132" s="338"/>
      <c r="BD132" s="338"/>
      <c r="BE132" s="338"/>
      <c r="BF132" s="338"/>
      <c r="BG132" s="338"/>
      <c r="BH132" s="338"/>
      <c r="BI132" s="338"/>
      <c r="BJ132" s="338"/>
      <c r="BK132" s="338"/>
      <c r="BL132" s="338"/>
      <c r="BM132" s="338"/>
      <c r="BN132" s="338"/>
      <c r="BO132" s="338"/>
      <c r="BP132" s="338"/>
      <c r="BQ132" s="338"/>
      <c r="BR132" s="338"/>
      <c r="BS132" s="338"/>
      <c r="BT132" s="338"/>
      <c r="BU132" s="338"/>
      <c r="BV132" s="338"/>
      <c r="BW132" s="338"/>
      <c r="BX132" s="338"/>
      <c r="BY132" s="338"/>
      <c r="BZ132" s="338"/>
      <c r="CA132" s="338"/>
      <c r="CB132" s="338"/>
      <c r="CC132" s="338"/>
      <c r="CD132" s="338"/>
      <c r="CE132" s="338"/>
      <c r="CF132" s="338"/>
      <c r="CG132" s="338"/>
      <c r="CH132" s="338"/>
      <c r="CI132" s="338"/>
      <c r="CJ132" s="338"/>
      <c r="CK132" s="338"/>
      <c r="CL132" s="338"/>
    </row>
    <row r="133" ht="14.2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40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8"/>
      <c r="AN133" s="338"/>
      <c r="AO133" s="338"/>
      <c r="AP133" s="338"/>
      <c r="AQ133" s="338"/>
      <c r="AR133" s="338"/>
      <c r="AS133" s="338"/>
      <c r="AT133" s="338"/>
      <c r="AU133" s="338"/>
      <c r="AV133" s="338"/>
      <c r="AW133" s="338"/>
      <c r="AX133" s="338"/>
      <c r="AY133" s="338"/>
      <c r="AZ133" s="338"/>
      <c r="BA133" s="338"/>
      <c r="BB133" s="338"/>
      <c r="BC133" s="338"/>
      <c r="BD133" s="338"/>
      <c r="BE133" s="338"/>
      <c r="BF133" s="338"/>
      <c r="BG133" s="338"/>
      <c r="BH133" s="338"/>
      <c r="BI133" s="338"/>
      <c r="BJ133" s="338"/>
      <c r="BK133" s="338"/>
      <c r="BL133" s="338"/>
      <c r="BM133" s="338"/>
      <c r="BN133" s="338"/>
      <c r="BO133" s="338"/>
      <c r="BP133" s="338"/>
      <c r="BQ133" s="338"/>
      <c r="BR133" s="338"/>
      <c r="BS133" s="338"/>
      <c r="BT133" s="338"/>
      <c r="BU133" s="338"/>
      <c r="BV133" s="338"/>
      <c r="BW133" s="338"/>
      <c r="BX133" s="338"/>
      <c r="BY133" s="338"/>
      <c r="BZ133" s="338"/>
      <c r="CA133" s="338"/>
      <c r="CB133" s="338"/>
      <c r="CC133" s="338"/>
      <c r="CD133" s="338"/>
      <c r="CE133" s="338"/>
      <c r="CF133" s="338"/>
      <c r="CG133" s="338"/>
      <c r="CH133" s="338"/>
      <c r="CI133" s="338"/>
      <c r="CJ133" s="338"/>
      <c r="CK133" s="338"/>
      <c r="CL133" s="338"/>
    </row>
    <row r="134" ht="14.2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40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  <c r="AA134" s="338"/>
      <c r="AB134" s="338"/>
      <c r="AC134" s="338"/>
      <c r="AD134" s="338"/>
      <c r="AE134" s="338"/>
      <c r="AF134" s="338"/>
      <c r="AG134" s="338"/>
      <c r="AH134" s="338"/>
      <c r="AI134" s="338"/>
      <c r="AJ134" s="338"/>
      <c r="AK134" s="338"/>
      <c r="AL134" s="338"/>
      <c r="AM134" s="338"/>
      <c r="AN134" s="338"/>
      <c r="AO134" s="338"/>
      <c r="AP134" s="338"/>
      <c r="AQ134" s="338"/>
      <c r="AR134" s="338"/>
      <c r="AS134" s="338"/>
      <c r="AT134" s="338"/>
      <c r="AU134" s="338"/>
      <c r="AV134" s="338"/>
      <c r="AW134" s="338"/>
      <c r="AX134" s="338"/>
      <c r="AY134" s="338"/>
      <c r="AZ134" s="338"/>
      <c r="BA134" s="338"/>
      <c r="BB134" s="338"/>
      <c r="BC134" s="338"/>
      <c r="BD134" s="338"/>
      <c r="BE134" s="338"/>
      <c r="BF134" s="338"/>
      <c r="BG134" s="338"/>
      <c r="BH134" s="338"/>
      <c r="BI134" s="338"/>
      <c r="BJ134" s="338"/>
      <c r="BK134" s="338"/>
      <c r="BL134" s="338"/>
      <c r="BM134" s="338"/>
      <c r="BN134" s="338"/>
      <c r="BO134" s="338"/>
      <c r="BP134" s="338"/>
      <c r="BQ134" s="338"/>
      <c r="BR134" s="338"/>
      <c r="BS134" s="338"/>
      <c r="BT134" s="338"/>
      <c r="BU134" s="338"/>
      <c r="BV134" s="338"/>
      <c r="BW134" s="338"/>
      <c r="BX134" s="338"/>
      <c r="BY134" s="338"/>
      <c r="BZ134" s="338"/>
      <c r="CA134" s="338"/>
      <c r="CB134" s="338"/>
      <c r="CC134" s="338"/>
      <c r="CD134" s="338"/>
      <c r="CE134" s="338"/>
      <c r="CF134" s="338"/>
      <c r="CG134" s="338"/>
      <c r="CH134" s="338"/>
      <c r="CI134" s="338"/>
      <c r="CJ134" s="338"/>
      <c r="CK134" s="338"/>
      <c r="CL134" s="338"/>
    </row>
    <row r="135" ht="14.2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40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338"/>
      <c r="AI135" s="338"/>
      <c r="AJ135" s="338"/>
      <c r="AK135" s="338"/>
      <c r="AL135" s="338"/>
      <c r="AM135" s="338"/>
      <c r="AN135" s="338"/>
      <c r="AO135" s="338"/>
      <c r="AP135" s="338"/>
      <c r="AQ135" s="338"/>
      <c r="AR135" s="338"/>
      <c r="AS135" s="338"/>
      <c r="AT135" s="338"/>
      <c r="AU135" s="338"/>
      <c r="AV135" s="338"/>
      <c r="AW135" s="338"/>
      <c r="AX135" s="338"/>
      <c r="AY135" s="338"/>
      <c r="AZ135" s="338"/>
      <c r="BA135" s="338"/>
      <c r="BB135" s="338"/>
      <c r="BC135" s="338"/>
      <c r="BD135" s="338"/>
      <c r="BE135" s="338"/>
      <c r="BF135" s="338"/>
      <c r="BG135" s="338"/>
      <c r="BH135" s="338"/>
      <c r="BI135" s="338"/>
      <c r="BJ135" s="338"/>
      <c r="BK135" s="338"/>
      <c r="BL135" s="338"/>
      <c r="BM135" s="338"/>
      <c r="BN135" s="338"/>
      <c r="BO135" s="338"/>
      <c r="BP135" s="338"/>
      <c r="BQ135" s="338"/>
      <c r="BR135" s="338"/>
      <c r="BS135" s="338"/>
      <c r="BT135" s="338"/>
      <c r="BU135" s="338"/>
      <c r="BV135" s="338"/>
      <c r="BW135" s="338"/>
      <c r="BX135" s="338"/>
      <c r="BY135" s="338"/>
      <c r="BZ135" s="338"/>
      <c r="CA135" s="338"/>
      <c r="CB135" s="338"/>
      <c r="CC135" s="338"/>
      <c r="CD135" s="338"/>
      <c r="CE135" s="338"/>
      <c r="CF135" s="338"/>
      <c r="CG135" s="338"/>
      <c r="CH135" s="338"/>
      <c r="CI135" s="338"/>
      <c r="CJ135" s="338"/>
      <c r="CK135" s="338"/>
      <c r="CL135" s="338"/>
    </row>
    <row r="136" ht="14.2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40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8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  <c r="AT136" s="338"/>
      <c r="AU136" s="338"/>
      <c r="AV136" s="338"/>
      <c r="AW136" s="338"/>
      <c r="AX136" s="338"/>
      <c r="AY136" s="338"/>
      <c r="AZ136" s="338"/>
      <c r="BA136" s="338"/>
      <c r="BB136" s="338"/>
      <c r="BC136" s="338"/>
      <c r="BD136" s="338"/>
      <c r="BE136" s="338"/>
      <c r="BF136" s="338"/>
      <c r="BG136" s="338"/>
      <c r="BH136" s="338"/>
      <c r="BI136" s="338"/>
      <c r="BJ136" s="338"/>
      <c r="BK136" s="338"/>
      <c r="BL136" s="338"/>
      <c r="BM136" s="338"/>
      <c r="BN136" s="338"/>
      <c r="BO136" s="338"/>
      <c r="BP136" s="338"/>
      <c r="BQ136" s="338"/>
      <c r="BR136" s="338"/>
      <c r="BS136" s="338"/>
      <c r="BT136" s="338"/>
      <c r="BU136" s="338"/>
      <c r="BV136" s="338"/>
      <c r="BW136" s="338"/>
      <c r="BX136" s="338"/>
      <c r="BY136" s="338"/>
      <c r="BZ136" s="338"/>
      <c r="CA136" s="338"/>
      <c r="CB136" s="338"/>
      <c r="CC136" s="338"/>
      <c r="CD136" s="338"/>
      <c r="CE136" s="338"/>
      <c r="CF136" s="338"/>
      <c r="CG136" s="338"/>
      <c r="CH136" s="338"/>
      <c r="CI136" s="338"/>
      <c r="CJ136" s="338"/>
      <c r="CK136" s="338"/>
      <c r="CL136" s="338"/>
    </row>
    <row r="137" ht="14.2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40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338"/>
      <c r="AI137" s="338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  <c r="AT137" s="338"/>
      <c r="AU137" s="338"/>
      <c r="AV137" s="338"/>
      <c r="AW137" s="338"/>
      <c r="AX137" s="338"/>
      <c r="AY137" s="338"/>
      <c r="AZ137" s="338"/>
      <c r="BA137" s="338"/>
      <c r="BB137" s="338"/>
      <c r="BC137" s="338"/>
      <c r="BD137" s="338"/>
      <c r="BE137" s="338"/>
      <c r="BF137" s="338"/>
      <c r="BG137" s="338"/>
      <c r="BH137" s="338"/>
      <c r="BI137" s="338"/>
      <c r="BJ137" s="338"/>
      <c r="BK137" s="338"/>
      <c r="BL137" s="338"/>
      <c r="BM137" s="338"/>
      <c r="BN137" s="338"/>
      <c r="BO137" s="338"/>
      <c r="BP137" s="338"/>
      <c r="BQ137" s="338"/>
      <c r="BR137" s="338"/>
      <c r="BS137" s="338"/>
      <c r="BT137" s="338"/>
      <c r="BU137" s="338"/>
      <c r="BV137" s="338"/>
      <c r="BW137" s="338"/>
      <c r="BX137" s="338"/>
      <c r="BY137" s="338"/>
      <c r="BZ137" s="338"/>
      <c r="CA137" s="338"/>
      <c r="CB137" s="338"/>
      <c r="CC137" s="338"/>
      <c r="CD137" s="338"/>
      <c r="CE137" s="338"/>
      <c r="CF137" s="338"/>
      <c r="CG137" s="338"/>
      <c r="CH137" s="338"/>
      <c r="CI137" s="338"/>
      <c r="CJ137" s="338"/>
      <c r="CK137" s="338"/>
      <c r="CL137" s="338"/>
    </row>
    <row r="138" ht="14.2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40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338"/>
      <c r="AI138" s="338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  <c r="AT138" s="338"/>
      <c r="AU138" s="338"/>
      <c r="AV138" s="338"/>
      <c r="AW138" s="338"/>
      <c r="AX138" s="338"/>
      <c r="AY138" s="338"/>
      <c r="AZ138" s="338"/>
      <c r="BA138" s="338"/>
      <c r="BB138" s="338"/>
      <c r="BC138" s="338"/>
      <c r="BD138" s="338"/>
      <c r="BE138" s="338"/>
      <c r="BF138" s="338"/>
      <c r="BG138" s="338"/>
      <c r="BH138" s="338"/>
      <c r="BI138" s="338"/>
      <c r="BJ138" s="338"/>
      <c r="BK138" s="338"/>
      <c r="BL138" s="338"/>
      <c r="BM138" s="338"/>
      <c r="BN138" s="338"/>
      <c r="BO138" s="338"/>
      <c r="BP138" s="338"/>
      <c r="BQ138" s="338"/>
      <c r="BR138" s="338"/>
      <c r="BS138" s="338"/>
      <c r="BT138" s="338"/>
      <c r="BU138" s="338"/>
      <c r="BV138" s="338"/>
      <c r="BW138" s="338"/>
      <c r="BX138" s="338"/>
      <c r="BY138" s="338"/>
      <c r="BZ138" s="338"/>
      <c r="CA138" s="338"/>
      <c r="CB138" s="338"/>
      <c r="CC138" s="338"/>
      <c r="CD138" s="338"/>
      <c r="CE138" s="338"/>
      <c r="CF138" s="338"/>
      <c r="CG138" s="338"/>
      <c r="CH138" s="338"/>
      <c r="CI138" s="338"/>
      <c r="CJ138" s="338"/>
      <c r="CK138" s="338"/>
      <c r="CL138" s="338"/>
    </row>
    <row r="139" ht="14.2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40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338"/>
      <c r="AI139" s="338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/>
      <c r="AT139" s="338"/>
      <c r="AU139" s="338"/>
      <c r="AV139" s="338"/>
      <c r="AW139" s="338"/>
      <c r="AX139" s="338"/>
      <c r="AY139" s="338"/>
      <c r="AZ139" s="338"/>
      <c r="BA139" s="338"/>
      <c r="BB139" s="338"/>
      <c r="BC139" s="338"/>
      <c r="BD139" s="338"/>
      <c r="BE139" s="338"/>
      <c r="BF139" s="338"/>
      <c r="BG139" s="338"/>
      <c r="BH139" s="338"/>
      <c r="BI139" s="338"/>
      <c r="BJ139" s="338"/>
      <c r="BK139" s="338"/>
      <c r="BL139" s="338"/>
      <c r="BM139" s="338"/>
      <c r="BN139" s="338"/>
      <c r="BO139" s="338"/>
      <c r="BP139" s="338"/>
      <c r="BQ139" s="338"/>
      <c r="BR139" s="338"/>
      <c r="BS139" s="338"/>
      <c r="BT139" s="338"/>
      <c r="BU139" s="338"/>
      <c r="BV139" s="338"/>
      <c r="BW139" s="338"/>
      <c r="BX139" s="338"/>
      <c r="BY139" s="338"/>
      <c r="BZ139" s="338"/>
      <c r="CA139" s="338"/>
      <c r="CB139" s="338"/>
      <c r="CC139" s="338"/>
      <c r="CD139" s="338"/>
      <c r="CE139" s="338"/>
      <c r="CF139" s="338"/>
      <c r="CG139" s="338"/>
      <c r="CH139" s="338"/>
      <c r="CI139" s="338"/>
      <c r="CJ139" s="338"/>
      <c r="CK139" s="338"/>
      <c r="CL139" s="338"/>
    </row>
    <row r="140" ht="14.2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40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  <c r="AA140" s="338"/>
      <c r="AB140" s="338"/>
      <c r="AC140" s="338"/>
      <c r="AD140" s="338"/>
      <c r="AE140" s="338"/>
      <c r="AF140" s="338"/>
      <c r="AG140" s="338"/>
      <c r="AH140" s="338"/>
      <c r="AI140" s="338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/>
      <c r="AT140" s="338"/>
      <c r="AU140" s="338"/>
      <c r="AV140" s="338"/>
      <c r="AW140" s="338"/>
      <c r="AX140" s="338"/>
      <c r="AY140" s="338"/>
      <c r="AZ140" s="338"/>
      <c r="BA140" s="338"/>
      <c r="BB140" s="338"/>
      <c r="BC140" s="338"/>
      <c r="BD140" s="338"/>
      <c r="BE140" s="338"/>
      <c r="BF140" s="338"/>
      <c r="BG140" s="338"/>
      <c r="BH140" s="338"/>
      <c r="BI140" s="338"/>
      <c r="BJ140" s="338"/>
      <c r="BK140" s="338"/>
      <c r="BL140" s="338"/>
      <c r="BM140" s="338"/>
      <c r="BN140" s="338"/>
      <c r="BO140" s="338"/>
      <c r="BP140" s="338"/>
      <c r="BQ140" s="338"/>
      <c r="BR140" s="338"/>
      <c r="BS140" s="338"/>
      <c r="BT140" s="338"/>
      <c r="BU140" s="338"/>
      <c r="BV140" s="338"/>
      <c r="BW140" s="338"/>
      <c r="BX140" s="338"/>
      <c r="BY140" s="338"/>
      <c r="BZ140" s="338"/>
      <c r="CA140" s="338"/>
      <c r="CB140" s="338"/>
      <c r="CC140" s="338"/>
      <c r="CD140" s="338"/>
      <c r="CE140" s="338"/>
      <c r="CF140" s="338"/>
      <c r="CG140" s="338"/>
      <c r="CH140" s="338"/>
      <c r="CI140" s="338"/>
      <c r="CJ140" s="338"/>
      <c r="CK140" s="338"/>
      <c r="CL140" s="338"/>
    </row>
    <row r="141" ht="14.2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40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338"/>
      <c r="AJ141" s="338"/>
      <c r="AK141" s="338"/>
      <c r="AL141" s="338"/>
      <c r="AM141" s="338"/>
      <c r="AN141" s="338"/>
      <c r="AO141" s="338"/>
      <c r="AP141" s="338"/>
      <c r="AQ141" s="338"/>
      <c r="AR141" s="338"/>
      <c r="AS141" s="338"/>
      <c r="AT141" s="338"/>
      <c r="AU141" s="338"/>
      <c r="AV141" s="338"/>
      <c r="AW141" s="338"/>
      <c r="AX141" s="338"/>
      <c r="AY141" s="338"/>
      <c r="AZ141" s="338"/>
      <c r="BA141" s="338"/>
      <c r="BB141" s="338"/>
      <c r="BC141" s="338"/>
      <c r="BD141" s="338"/>
      <c r="BE141" s="338"/>
      <c r="BF141" s="338"/>
      <c r="BG141" s="338"/>
      <c r="BH141" s="338"/>
      <c r="BI141" s="338"/>
      <c r="BJ141" s="338"/>
      <c r="BK141" s="338"/>
      <c r="BL141" s="338"/>
      <c r="BM141" s="338"/>
      <c r="BN141" s="338"/>
      <c r="BO141" s="338"/>
      <c r="BP141" s="338"/>
      <c r="BQ141" s="338"/>
      <c r="BR141" s="338"/>
      <c r="BS141" s="338"/>
      <c r="BT141" s="338"/>
      <c r="BU141" s="338"/>
      <c r="BV141" s="338"/>
      <c r="BW141" s="338"/>
      <c r="BX141" s="338"/>
      <c r="BY141" s="338"/>
      <c r="BZ141" s="338"/>
      <c r="CA141" s="338"/>
      <c r="CB141" s="338"/>
      <c r="CC141" s="338"/>
      <c r="CD141" s="338"/>
      <c r="CE141" s="338"/>
      <c r="CF141" s="338"/>
      <c r="CG141" s="338"/>
      <c r="CH141" s="338"/>
      <c r="CI141" s="338"/>
      <c r="CJ141" s="338"/>
      <c r="CK141" s="338"/>
      <c r="CL141" s="338"/>
    </row>
    <row r="142" ht="14.2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40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  <c r="AA142" s="338"/>
      <c r="AB142" s="338"/>
      <c r="AC142" s="338"/>
      <c r="AD142" s="338"/>
      <c r="AE142" s="338"/>
      <c r="AF142" s="338"/>
      <c r="AG142" s="338"/>
      <c r="AH142" s="338"/>
      <c r="AI142" s="338"/>
      <c r="AJ142" s="338"/>
      <c r="AK142" s="338"/>
      <c r="AL142" s="338"/>
      <c r="AM142" s="338"/>
      <c r="AN142" s="338"/>
      <c r="AO142" s="338"/>
      <c r="AP142" s="338"/>
      <c r="AQ142" s="338"/>
      <c r="AR142" s="338"/>
      <c r="AS142" s="338"/>
      <c r="AT142" s="338"/>
      <c r="AU142" s="338"/>
      <c r="AV142" s="338"/>
      <c r="AW142" s="338"/>
      <c r="AX142" s="338"/>
      <c r="AY142" s="338"/>
      <c r="AZ142" s="338"/>
      <c r="BA142" s="338"/>
      <c r="BB142" s="338"/>
      <c r="BC142" s="338"/>
      <c r="BD142" s="338"/>
      <c r="BE142" s="338"/>
      <c r="BF142" s="338"/>
      <c r="BG142" s="338"/>
      <c r="BH142" s="338"/>
      <c r="BI142" s="338"/>
      <c r="BJ142" s="338"/>
      <c r="BK142" s="338"/>
      <c r="BL142" s="338"/>
      <c r="BM142" s="338"/>
      <c r="BN142" s="338"/>
      <c r="BO142" s="338"/>
      <c r="BP142" s="338"/>
      <c r="BQ142" s="338"/>
      <c r="BR142" s="338"/>
      <c r="BS142" s="338"/>
      <c r="BT142" s="338"/>
      <c r="BU142" s="338"/>
      <c r="BV142" s="338"/>
      <c r="BW142" s="338"/>
      <c r="BX142" s="338"/>
      <c r="BY142" s="338"/>
      <c r="BZ142" s="338"/>
      <c r="CA142" s="338"/>
      <c r="CB142" s="338"/>
      <c r="CC142" s="338"/>
      <c r="CD142" s="338"/>
      <c r="CE142" s="338"/>
      <c r="CF142" s="338"/>
      <c r="CG142" s="338"/>
      <c r="CH142" s="338"/>
      <c r="CI142" s="338"/>
      <c r="CJ142" s="338"/>
      <c r="CK142" s="338"/>
      <c r="CL142" s="338"/>
    </row>
    <row r="143" ht="14.2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40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8"/>
      <c r="AH143" s="338"/>
      <c r="AI143" s="338"/>
      <c r="AJ143" s="338"/>
      <c r="AK143" s="338"/>
      <c r="AL143" s="338"/>
      <c r="AM143" s="338"/>
      <c r="AN143" s="338"/>
      <c r="AO143" s="338"/>
      <c r="AP143" s="338"/>
      <c r="AQ143" s="338"/>
      <c r="AR143" s="338"/>
      <c r="AS143" s="338"/>
      <c r="AT143" s="338"/>
      <c r="AU143" s="338"/>
      <c r="AV143" s="338"/>
      <c r="AW143" s="338"/>
      <c r="AX143" s="338"/>
      <c r="AY143" s="338"/>
      <c r="AZ143" s="338"/>
      <c r="BA143" s="338"/>
      <c r="BB143" s="338"/>
      <c r="BC143" s="338"/>
      <c r="BD143" s="338"/>
      <c r="BE143" s="338"/>
      <c r="BF143" s="338"/>
      <c r="BG143" s="338"/>
      <c r="BH143" s="338"/>
      <c r="BI143" s="338"/>
      <c r="BJ143" s="338"/>
      <c r="BK143" s="338"/>
      <c r="BL143" s="338"/>
      <c r="BM143" s="338"/>
      <c r="BN143" s="338"/>
      <c r="BO143" s="338"/>
      <c r="BP143" s="338"/>
      <c r="BQ143" s="338"/>
      <c r="BR143" s="338"/>
      <c r="BS143" s="338"/>
      <c r="BT143" s="338"/>
      <c r="BU143" s="338"/>
      <c r="BV143" s="338"/>
      <c r="BW143" s="338"/>
      <c r="BX143" s="338"/>
      <c r="BY143" s="338"/>
      <c r="BZ143" s="338"/>
      <c r="CA143" s="338"/>
      <c r="CB143" s="338"/>
      <c r="CC143" s="338"/>
      <c r="CD143" s="338"/>
      <c r="CE143" s="338"/>
      <c r="CF143" s="338"/>
      <c r="CG143" s="338"/>
      <c r="CH143" s="338"/>
      <c r="CI143" s="338"/>
      <c r="CJ143" s="338"/>
      <c r="CK143" s="338"/>
      <c r="CL143" s="338"/>
    </row>
    <row r="144" ht="14.2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40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338"/>
      <c r="AJ144" s="338"/>
      <c r="AK144" s="338"/>
      <c r="AL144" s="338"/>
      <c r="AM144" s="338"/>
      <c r="AN144" s="338"/>
      <c r="AO144" s="338"/>
      <c r="AP144" s="338"/>
      <c r="AQ144" s="338"/>
      <c r="AR144" s="338"/>
      <c r="AS144" s="338"/>
      <c r="AT144" s="338"/>
      <c r="AU144" s="338"/>
      <c r="AV144" s="338"/>
      <c r="AW144" s="338"/>
      <c r="AX144" s="338"/>
      <c r="AY144" s="338"/>
      <c r="AZ144" s="338"/>
      <c r="BA144" s="338"/>
      <c r="BB144" s="338"/>
      <c r="BC144" s="338"/>
      <c r="BD144" s="338"/>
      <c r="BE144" s="338"/>
      <c r="BF144" s="338"/>
      <c r="BG144" s="338"/>
      <c r="BH144" s="338"/>
      <c r="BI144" s="338"/>
      <c r="BJ144" s="338"/>
      <c r="BK144" s="338"/>
      <c r="BL144" s="338"/>
      <c r="BM144" s="338"/>
      <c r="BN144" s="338"/>
      <c r="BO144" s="338"/>
      <c r="BP144" s="338"/>
      <c r="BQ144" s="338"/>
      <c r="BR144" s="338"/>
      <c r="BS144" s="338"/>
      <c r="BT144" s="338"/>
      <c r="BU144" s="338"/>
      <c r="BV144" s="338"/>
      <c r="BW144" s="338"/>
      <c r="BX144" s="338"/>
      <c r="BY144" s="338"/>
      <c r="BZ144" s="338"/>
      <c r="CA144" s="338"/>
      <c r="CB144" s="338"/>
      <c r="CC144" s="338"/>
      <c r="CD144" s="338"/>
      <c r="CE144" s="338"/>
      <c r="CF144" s="338"/>
      <c r="CG144" s="338"/>
      <c r="CH144" s="338"/>
      <c r="CI144" s="338"/>
      <c r="CJ144" s="338"/>
      <c r="CK144" s="338"/>
      <c r="CL144" s="338"/>
    </row>
    <row r="145" ht="14.2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40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  <c r="AA145" s="338"/>
      <c r="AB145" s="338"/>
      <c r="AC145" s="338"/>
      <c r="AD145" s="338"/>
      <c r="AE145" s="338"/>
      <c r="AF145" s="338"/>
      <c r="AG145" s="338"/>
      <c r="AH145" s="338"/>
      <c r="AI145" s="338"/>
      <c r="AJ145" s="338"/>
      <c r="AK145" s="338"/>
      <c r="AL145" s="338"/>
      <c r="AM145" s="338"/>
      <c r="AN145" s="338"/>
      <c r="AO145" s="338"/>
      <c r="AP145" s="338"/>
      <c r="AQ145" s="338"/>
      <c r="AR145" s="338"/>
      <c r="AS145" s="338"/>
      <c r="AT145" s="338"/>
      <c r="AU145" s="338"/>
      <c r="AV145" s="338"/>
      <c r="AW145" s="338"/>
      <c r="AX145" s="338"/>
      <c r="AY145" s="338"/>
      <c r="AZ145" s="338"/>
      <c r="BA145" s="338"/>
      <c r="BB145" s="338"/>
      <c r="BC145" s="338"/>
      <c r="BD145" s="338"/>
      <c r="BE145" s="338"/>
      <c r="BF145" s="338"/>
      <c r="BG145" s="338"/>
      <c r="BH145" s="338"/>
      <c r="BI145" s="338"/>
      <c r="BJ145" s="338"/>
      <c r="BK145" s="338"/>
      <c r="BL145" s="338"/>
      <c r="BM145" s="338"/>
      <c r="BN145" s="338"/>
      <c r="BO145" s="338"/>
      <c r="BP145" s="338"/>
      <c r="BQ145" s="338"/>
      <c r="BR145" s="338"/>
      <c r="BS145" s="338"/>
      <c r="BT145" s="338"/>
      <c r="BU145" s="338"/>
      <c r="BV145" s="338"/>
      <c r="BW145" s="338"/>
      <c r="BX145" s="338"/>
      <c r="BY145" s="338"/>
      <c r="BZ145" s="338"/>
      <c r="CA145" s="338"/>
      <c r="CB145" s="338"/>
      <c r="CC145" s="338"/>
      <c r="CD145" s="338"/>
      <c r="CE145" s="338"/>
      <c r="CF145" s="338"/>
      <c r="CG145" s="338"/>
      <c r="CH145" s="338"/>
      <c r="CI145" s="338"/>
      <c r="CJ145" s="338"/>
      <c r="CK145" s="338"/>
      <c r="CL145" s="338"/>
    </row>
    <row r="146" ht="14.2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40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  <c r="AA146" s="338"/>
      <c r="AB146" s="338"/>
      <c r="AC146" s="338"/>
      <c r="AD146" s="338"/>
      <c r="AE146" s="338"/>
      <c r="AF146" s="338"/>
      <c r="AG146" s="338"/>
      <c r="AH146" s="338"/>
      <c r="AI146" s="338"/>
      <c r="AJ146" s="338"/>
      <c r="AK146" s="338"/>
      <c r="AL146" s="338"/>
      <c r="AM146" s="338"/>
      <c r="AN146" s="338"/>
      <c r="AO146" s="338"/>
      <c r="AP146" s="338"/>
      <c r="AQ146" s="338"/>
      <c r="AR146" s="338"/>
      <c r="AS146" s="338"/>
      <c r="AT146" s="338"/>
      <c r="AU146" s="338"/>
      <c r="AV146" s="338"/>
      <c r="AW146" s="338"/>
      <c r="AX146" s="338"/>
      <c r="AY146" s="338"/>
      <c r="AZ146" s="338"/>
      <c r="BA146" s="338"/>
      <c r="BB146" s="338"/>
      <c r="BC146" s="338"/>
      <c r="BD146" s="338"/>
      <c r="BE146" s="338"/>
      <c r="BF146" s="338"/>
      <c r="BG146" s="338"/>
      <c r="BH146" s="338"/>
      <c r="BI146" s="338"/>
      <c r="BJ146" s="338"/>
      <c r="BK146" s="338"/>
      <c r="BL146" s="338"/>
      <c r="BM146" s="338"/>
      <c r="BN146" s="338"/>
      <c r="BO146" s="338"/>
      <c r="BP146" s="338"/>
      <c r="BQ146" s="338"/>
      <c r="BR146" s="338"/>
      <c r="BS146" s="338"/>
      <c r="BT146" s="338"/>
      <c r="BU146" s="338"/>
      <c r="BV146" s="338"/>
      <c r="BW146" s="338"/>
      <c r="BX146" s="338"/>
      <c r="BY146" s="338"/>
      <c r="BZ146" s="338"/>
      <c r="CA146" s="338"/>
      <c r="CB146" s="338"/>
      <c r="CC146" s="338"/>
      <c r="CD146" s="338"/>
      <c r="CE146" s="338"/>
      <c r="CF146" s="338"/>
      <c r="CG146" s="338"/>
      <c r="CH146" s="338"/>
      <c r="CI146" s="338"/>
      <c r="CJ146" s="338"/>
      <c r="CK146" s="338"/>
      <c r="CL146" s="338"/>
    </row>
    <row r="147" ht="14.2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40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8"/>
      <c r="AK147" s="338"/>
      <c r="AL147" s="338"/>
      <c r="AM147" s="338"/>
      <c r="AN147" s="338"/>
      <c r="AO147" s="338"/>
      <c r="AP147" s="338"/>
      <c r="AQ147" s="338"/>
      <c r="AR147" s="338"/>
      <c r="AS147" s="338"/>
      <c r="AT147" s="338"/>
      <c r="AU147" s="338"/>
      <c r="AV147" s="338"/>
      <c r="AW147" s="338"/>
      <c r="AX147" s="338"/>
      <c r="AY147" s="338"/>
      <c r="AZ147" s="338"/>
      <c r="BA147" s="338"/>
      <c r="BB147" s="338"/>
      <c r="BC147" s="338"/>
      <c r="BD147" s="338"/>
      <c r="BE147" s="338"/>
      <c r="BF147" s="338"/>
      <c r="BG147" s="338"/>
      <c r="BH147" s="338"/>
      <c r="BI147" s="338"/>
      <c r="BJ147" s="338"/>
      <c r="BK147" s="338"/>
      <c r="BL147" s="338"/>
      <c r="BM147" s="338"/>
      <c r="BN147" s="338"/>
      <c r="BO147" s="338"/>
      <c r="BP147" s="338"/>
      <c r="BQ147" s="338"/>
      <c r="BR147" s="338"/>
      <c r="BS147" s="338"/>
      <c r="BT147" s="338"/>
      <c r="BU147" s="338"/>
      <c r="BV147" s="338"/>
      <c r="BW147" s="338"/>
      <c r="BX147" s="338"/>
      <c r="BY147" s="338"/>
      <c r="BZ147" s="338"/>
      <c r="CA147" s="338"/>
      <c r="CB147" s="338"/>
      <c r="CC147" s="338"/>
      <c r="CD147" s="338"/>
      <c r="CE147" s="338"/>
      <c r="CF147" s="338"/>
      <c r="CG147" s="338"/>
      <c r="CH147" s="338"/>
      <c r="CI147" s="338"/>
      <c r="CJ147" s="338"/>
      <c r="CK147" s="338"/>
      <c r="CL147" s="338"/>
    </row>
    <row r="148" ht="14.2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40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338"/>
      <c r="AB148" s="338"/>
      <c r="AC148" s="338"/>
      <c r="AD148" s="338"/>
      <c r="AE148" s="338"/>
      <c r="AF148" s="338"/>
      <c r="AG148" s="338"/>
      <c r="AH148" s="338"/>
      <c r="AI148" s="338"/>
      <c r="AJ148" s="338"/>
      <c r="AK148" s="338"/>
      <c r="AL148" s="338"/>
      <c r="AM148" s="338"/>
      <c r="AN148" s="338"/>
      <c r="AO148" s="338"/>
      <c r="AP148" s="338"/>
      <c r="AQ148" s="338"/>
      <c r="AR148" s="338"/>
      <c r="AS148" s="338"/>
      <c r="AT148" s="338"/>
      <c r="AU148" s="338"/>
      <c r="AV148" s="338"/>
      <c r="AW148" s="338"/>
      <c r="AX148" s="338"/>
      <c r="AY148" s="338"/>
      <c r="AZ148" s="338"/>
      <c r="BA148" s="338"/>
      <c r="BB148" s="338"/>
      <c r="BC148" s="338"/>
      <c r="BD148" s="338"/>
      <c r="BE148" s="338"/>
      <c r="BF148" s="338"/>
      <c r="BG148" s="338"/>
      <c r="BH148" s="338"/>
      <c r="BI148" s="338"/>
      <c r="BJ148" s="338"/>
      <c r="BK148" s="338"/>
      <c r="BL148" s="338"/>
      <c r="BM148" s="338"/>
      <c r="BN148" s="338"/>
      <c r="BO148" s="338"/>
      <c r="BP148" s="338"/>
      <c r="BQ148" s="338"/>
      <c r="BR148" s="338"/>
      <c r="BS148" s="338"/>
      <c r="BT148" s="338"/>
      <c r="BU148" s="338"/>
      <c r="BV148" s="338"/>
      <c r="BW148" s="338"/>
      <c r="BX148" s="338"/>
      <c r="BY148" s="338"/>
      <c r="BZ148" s="338"/>
      <c r="CA148" s="338"/>
      <c r="CB148" s="338"/>
      <c r="CC148" s="338"/>
      <c r="CD148" s="338"/>
      <c r="CE148" s="338"/>
      <c r="CF148" s="338"/>
      <c r="CG148" s="338"/>
      <c r="CH148" s="338"/>
      <c r="CI148" s="338"/>
      <c r="CJ148" s="338"/>
      <c r="CK148" s="338"/>
      <c r="CL148" s="338"/>
    </row>
    <row r="149" ht="14.2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40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  <c r="AC149" s="338"/>
      <c r="AD149" s="338"/>
      <c r="AE149" s="338"/>
      <c r="AF149" s="338"/>
      <c r="AG149" s="338"/>
      <c r="AH149" s="338"/>
      <c r="AI149" s="338"/>
      <c r="AJ149" s="338"/>
      <c r="AK149" s="338"/>
      <c r="AL149" s="338"/>
      <c r="AM149" s="338"/>
      <c r="AN149" s="338"/>
      <c r="AO149" s="338"/>
      <c r="AP149" s="338"/>
      <c r="AQ149" s="338"/>
      <c r="AR149" s="338"/>
      <c r="AS149" s="338"/>
      <c r="AT149" s="338"/>
      <c r="AU149" s="338"/>
      <c r="AV149" s="338"/>
      <c r="AW149" s="338"/>
      <c r="AX149" s="338"/>
      <c r="AY149" s="338"/>
      <c r="AZ149" s="338"/>
      <c r="BA149" s="338"/>
      <c r="BB149" s="338"/>
      <c r="BC149" s="338"/>
      <c r="BD149" s="338"/>
      <c r="BE149" s="338"/>
      <c r="BF149" s="338"/>
      <c r="BG149" s="338"/>
      <c r="BH149" s="338"/>
      <c r="BI149" s="338"/>
      <c r="BJ149" s="338"/>
      <c r="BK149" s="338"/>
      <c r="BL149" s="338"/>
      <c r="BM149" s="338"/>
      <c r="BN149" s="338"/>
      <c r="BO149" s="338"/>
      <c r="BP149" s="338"/>
      <c r="BQ149" s="338"/>
      <c r="BR149" s="338"/>
      <c r="BS149" s="338"/>
      <c r="BT149" s="338"/>
      <c r="BU149" s="338"/>
      <c r="BV149" s="338"/>
      <c r="BW149" s="338"/>
      <c r="BX149" s="338"/>
      <c r="BY149" s="338"/>
      <c r="BZ149" s="338"/>
      <c r="CA149" s="338"/>
      <c r="CB149" s="338"/>
      <c r="CC149" s="338"/>
      <c r="CD149" s="338"/>
      <c r="CE149" s="338"/>
      <c r="CF149" s="338"/>
      <c r="CG149" s="338"/>
      <c r="CH149" s="338"/>
      <c r="CI149" s="338"/>
      <c r="CJ149" s="338"/>
      <c r="CK149" s="338"/>
      <c r="CL149" s="338"/>
    </row>
    <row r="150" ht="14.2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40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  <c r="AC150" s="338"/>
      <c r="AD150" s="338"/>
      <c r="AE150" s="338"/>
      <c r="AF150" s="338"/>
      <c r="AG150" s="338"/>
      <c r="AH150" s="338"/>
      <c r="AI150" s="338"/>
      <c r="AJ150" s="338"/>
      <c r="AK150" s="338"/>
      <c r="AL150" s="338"/>
      <c r="AM150" s="338"/>
      <c r="AN150" s="338"/>
      <c r="AO150" s="338"/>
      <c r="AP150" s="338"/>
      <c r="AQ150" s="338"/>
      <c r="AR150" s="338"/>
      <c r="AS150" s="338"/>
      <c r="AT150" s="338"/>
      <c r="AU150" s="338"/>
      <c r="AV150" s="338"/>
      <c r="AW150" s="338"/>
      <c r="AX150" s="338"/>
      <c r="AY150" s="338"/>
      <c r="AZ150" s="338"/>
      <c r="BA150" s="338"/>
      <c r="BB150" s="338"/>
      <c r="BC150" s="338"/>
      <c r="BD150" s="338"/>
      <c r="BE150" s="338"/>
      <c r="BF150" s="338"/>
      <c r="BG150" s="338"/>
      <c r="BH150" s="338"/>
      <c r="BI150" s="338"/>
      <c r="BJ150" s="338"/>
      <c r="BK150" s="338"/>
      <c r="BL150" s="338"/>
      <c r="BM150" s="338"/>
      <c r="BN150" s="338"/>
      <c r="BO150" s="338"/>
      <c r="BP150" s="338"/>
      <c r="BQ150" s="338"/>
      <c r="BR150" s="338"/>
      <c r="BS150" s="338"/>
      <c r="BT150" s="338"/>
      <c r="BU150" s="338"/>
      <c r="BV150" s="338"/>
      <c r="BW150" s="338"/>
      <c r="BX150" s="338"/>
      <c r="BY150" s="338"/>
      <c r="BZ150" s="338"/>
      <c r="CA150" s="338"/>
      <c r="CB150" s="338"/>
      <c r="CC150" s="338"/>
      <c r="CD150" s="338"/>
      <c r="CE150" s="338"/>
      <c r="CF150" s="338"/>
      <c r="CG150" s="338"/>
      <c r="CH150" s="338"/>
      <c r="CI150" s="338"/>
      <c r="CJ150" s="338"/>
      <c r="CK150" s="338"/>
      <c r="CL150" s="338"/>
    </row>
    <row r="151" ht="14.2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40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338"/>
      <c r="AB151" s="338"/>
      <c r="AC151" s="338"/>
      <c r="AD151" s="338"/>
      <c r="AE151" s="338"/>
      <c r="AF151" s="338"/>
      <c r="AG151" s="338"/>
      <c r="AH151" s="338"/>
      <c r="AI151" s="338"/>
      <c r="AJ151" s="338"/>
      <c r="AK151" s="338"/>
      <c r="AL151" s="338"/>
      <c r="AM151" s="338"/>
      <c r="AN151" s="338"/>
      <c r="AO151" s="338"/>
      <c r="AP151" s="338"/>
      <c r="AQ151" s="338"/>
      <c r="AR151" s="338"/>
      <c r="AS151" s="338"/>
      <c r="AT151" s="338"/>
      <c r="AU151" s="338"/>
      <c r="AV151" s="338"/>
      <c r="AW151" s="338"/>
      <c r="AX151" s="338"/>
      <c r="AY151" s="338"/>
      <c r="AZ151" s="338"/>
      <c r="BA151" s="338"/>
      <c r="BB151" s="338"/>
      <c r="BC151" s="338"/>
      <c r="BD151" s="338"/>
      <c r="BE151" s="338"/>
      <c r="BF151" s="338"/>
      <c r="BG151" s="338"/>
      <c r="BH151" s="338"/>
      <c r="BI151" s="338"/>
      <c r="BJ151" s="338"/>
      <c r="BK151" s="338"/>
      <c r="BL151" s="338"/>
      <c r="BM151" s="338"/>
      <c r="BN151" s="338"/>
      <c r="BO151" s="338"/>
      <c r="BP151" s="338"/>
      <c r="BQ151" s="338"/>
      <c r="BR151" s="338"/>
      <c r="BS151" s="338"/>
      <c r="BT151" s="338"/>
      <c r="BU151" s="338"/>
      <c r="BV151" s="338"/>
      <c r="BW151" s="338"/>
      <c r="BX151" s="338"/>
      <c r="BY151" s="338"/>
      <c r="BZ151" s="338"/>
      <c r="CA151" s="338"/>
      <c r="CB151" s="338"/>
      <c r="CC151" s="338"/>
      <c r="CD151" s="338"/>
      <c r="CE151" s="338"/>
      <c r="CF151" s="338"/>
      <c r="CG151" s="338"/>
      <c r="CH151" s="338"/>
      <c r="CI151" s="338"/>
      <c r="CJ151" s="338"/>
      <c r="CK151" s="338"/>
      <c r="CL151" s="338"/>
    </row>
    <row r="152" ht="14.2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40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338"/>
      <c r="AB152" s="338"/>
      <c r="AC152" s="338"/>
      <c r="AD152" s="338"/>
      <c r="AE152" s="338"/>
      <c r="AF152" s="338"/>
      <c r="AG152" s="338"/>
      <c r="AH152" s="338"/>
      <c r="AI152" s="338"/>
      <c r="AJ152" s="338"/>
      <c r="AK152" s="338"/>
      <c r="AL152" s="338"/>
      <c r="AM152" s="338"/>
      <c r="AN152" s="338"/>
      <c r="AO152" s="338"/>
      <c r="AP152" s="338"/>
      <c r="AQ152" s="338"/>
      <c r="AR152" s="338"/>
      <c r="AS152" s="338"/>
      <c r="AT152" s="338"/>
      <c r="AU152" s="338"/>
      <c r="AV152" s="338"/>
      <c r="AW152" s="338"/>
      <c r="AX152" s="338"/>
      <c r="AY152" s="338"/>
      <c r="AZ152" s="338"/>
      <c r="BA152" s="338"/>
      <c r="BB152" s="338"/>
      <c r="BC152" s="338"/>
      <c r="BD152" s="338"/>
      <c r="BE152" s="338"/>
      <c r="BF152" s="338"/>
      <c r="BG152" s="338"/>
      <c r="BH152" s="338"/>
      <c r="BI152" s="338"/>
      <c r="BJ152" s="338"/>
      <c r="BK152" s="338"/>
      <c r="BL152" s="338"/>
      <c r="BM152" s="338"/>
      <c r="BN152" s="338"/>
      <c r="BO152" s="338"/>
      <c r="BP152" s="338"/>
      <c r="BQ152" s="338"/>
      <c r="BR152" s="338"/>
      <c r="BS152" s="338"/>
      <c r="BT152" s="338"/>
      <c r="BU152" s="338"/>
      <c r="BV152" s="338"/>
      <c r="BW152" s="338"/>
      <c r="BX152" s="338"/>
      <c r="BY152" s="338"/>
      <c r="BZ152" s="338"/>
      <c r="CA152" s="338"/>
      <c r="CB152" s="338"/>
      <c r="CC152" s="338"/>
      <c r="CD152" s="338"/>
      <c r="CE152" s="338"/>
      <c r="CF152" s="338"/>
      <c r="CG152" s="338"/>
      <c r="CH152" s="338"/>
      <c r="CI152" s="338"/>
      <c r="CJ152" s="338"/>
      <c r="CK152" s="338"/>
      <c r="CL152" s="338"/>
    </row>
    <row r="153" ht="14.2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40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338"/>
      <c r="AB153" s="338"/>
      <c r="AC153" s="338"/>
      <c r="AD153" s="338"/>
      <c r="AE153" s="338"/>
      <c r="AF153" s="338"/>
      <c r="AG153" s="338"/>
      <c r="AH153" s="338"/>
      <c r="AI153" s="338"/>
      <c r="AJ153" s="338"/>
      <c r="AK153" s="338"/>
      <c r="AL153" s="338"/>
      <c r="AM153" s="338"/>
      <c r="AN153" s="338"/>
      <c r="AO153" s="338"/>
      <c r="AP153" s="338"/>
      <c r="AQ153" s="338"/>
      <c r="AR153" s="338"/>
      <c r="AS153" s="338"/>
      <c r="AT153" s="338"/>
      <c r="AU153" s="338"/>
      <c r="AV153" s="338"/>
      <c r="AW153" s="338"/>
      <c r="AX153" s="338"/>
      <c r="AY153" s="338"/>
      <c r="AZ153" s="338"/>
      <c r="BA153" s="338"/>
      <c r="BB153" s="338"/>
      <c r="BC153" s="338"/>
      <c r="BD153" s="338"/>
      <c r="BE153" s="338"/>
      <c r="BF153" s="338"/>
      <c r="BG153" s="338"/>
      <c r="BH153" s="338"/>
      <c r="BI153" s="338"/>
      <c r="BJ153" s="338"/>
      <c r="BK153" s="338"/>
      <c r="BL153" s="338"/>
      <c r="BM153" s="338"/>
      <c r="BN153" s="338"/>
      <c r="BO153" s="338"/>
      <c r="BP153" s="338"/>
      <c r="BQ153" s="338"/>
      <c r="BR153" s="338"/>
      <c r="BS153" s="338"/>
      <c r="BT153" s="338"/>
      <c r="BU153" s="338"/>
      <c r="BV153" s="338"/>
      <c r="BW153" s="338"/>
      <c r="BX153" s="338"/>
      <c r="BY153" s="338"/>
      <c r="BZ153" s="338"/>
      <c r="CA153" s="338"/>
      <c r="CB153" s="338"/>
      <c r="CC153" s="338"/>
      <c r="CD153" s="338"/>
      <c r="CE153" s="338"/>
      <c r="CF153" s="338"/>
      <c r="CG153" s="338"/>
      <c r="CH153" s="338"/>
      <c r="CI153" s="338"/>
      <c r="CJ153" s="338"/>
      <c r="CK153" s="338"/>
      <c r="CL153" s="338"/>
    </row>
    <row r="154" ht="14.2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40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338"/>
      <c r="AB154" s="338"/>
      <c r="AC154" s="338"/>
      <c r="AD154" s="338"/>
      <c r="AE154" s="338"/>
      <c r="AF154" s="338"/>
      <c r="AG154" s="338"/>
      <c r="AH154" s="338"/>
      <c r="AI154" s="338"/>
      <c r="AJ154" s="338"/>
      <c r="AK154" s="338"/>
      <c r="AL154" s="338"/>
      <c r="AM154" s="338"/>
      <c r="AN154" s="338"/>
      <c r="AO154" s="338"/>
      <c r="AP154" s="338"/>
      <c r="AQ154" s="338"/>
      <c r="AR154" s="338"/>
      <c r="AS154" s="338"/>
      <c r="AT154" s="338"/>
      <c r="AU154" s="338"/>
      <c r="AV154" s="338"/>
      <c r="AW154" s="338"/>
      <c r="AX154" s="338"/>
      <c r="AY154" s="338"/>
      <c r="AZ154" s="338"/>
      <c r="BA154" s="338"/>
      <c r="BB154" s="338"/>
      <c r="BC154" s="338"/>
      <c r="BD154" s="338"/>
      <c r="BE154" s="338"/>
      <c r="BF154" s="338"/>
      <c r="BG154" s="338"/>
      <c r="BH154" s="338"/>
      <c r="BI154" s="338"/>
      <c r="BJ154" s="338"/>
      <c r="BK154" s="338"/>
      <c r="BL154" s="338"/>
      <c r="BM154" s="338"/>
      <c r="BN154" s="338"/>
      <c r="BO154" s="338"/>
      <c r="BP154" s="338"/>
      <c r="BQ154" s="338"/>
      <c r="BR154" s="338"/>
      <c r="BS154" s="338"/>
      <c r="BT154" s="338"/>
      <c r="BU154" s="338"/>
      <c r="BV154" s="338"/>
      <c r="BW154" s="338"/>
      <c r="BX154" s="338"/>
      <c r="BY154" s="338"/>
      <c r="BZ154" s="338"/>
      <c r="CA154" s="338"/>
      <c r="CB154" s="338"/>
      <c r="CC154" s="338"/>
      <c r="CD154" s="338"/>
      <c r="CE154" s="338"/>
      <c r="CF154" s="338"/>
      <c r="CG154" s="338"/>
      <c r="CH154" s="338"/>
      <c r="CI154" s="338"/>
      <c r="CJ154" s="338"/>
      <c r="CK154" s="338"/>
      <c r="CL154" s="338"/>
    </row>
    <row r="155" ht="14.2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40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338"/>
      <c r="AB155" s="338"/>
      <c r="AC155" s="338"/>
      <c r="AD155" s="338"/>
      <c r="AE155" s="338"/>
      <c r="AF155" s="338"/>
      <c r="AG155" s="338"/>
      <c r="AH155" s="338"/>
      <c r="AI155" s="338"/>
      <c r="AJ155" s="338"/>
      <c r="AK155" s="338"/>
      <c r="AL155" s="338"/>
      <c r="AM155" s="338"/>
      <c r="AN155" s="338"/>
      <c r="AO155" s="338"/>
      <c r="AP155" s="338"/>
      <c r="AQ155" s="338"/>
      <c r="AR155" s="338"/>
      <c r="AS155" s="338"/>
      <c r="AT155" s="338"/>
      <c r="AU155" s="338"/>
      <c r="AV155" s="338"/>
      <c r="AW155" s="338"/>
      <c r="AX155" s="338"/>
      <c r="AY155" s="338"/>
      <c r="AZ155" s="338"/>
      <c r="BA155" s="338"/>
      <c r="BB155" s="338"/>
      <c r="BC155" s="338"/>
      <c r="BD155" s="338"/>
      <c r="BE155" s="338"/>
      <c r="BF155" s="338"/>
      <c r="BG155" s="338"/>
      <c r="BH155" s="338"/>
      <c r="BI155" s="338"/>
      <c r="BJ155" s="338"/>
      <c r="BK155" s="338"/>
      <c r="BL155" s="338"/>
      <c r="BM155" s="338"/>
      <c r="BN155" s="338"/>
      <c r="BO155" s="338"/>
      <c r="BP155" s="338"/>
      <c r="BQ155" s="338"/>
      <c r="BR155" s="338"/>
      <c r="BS155" s="338"/>
      <c r="BT155" s="338"/>
      <c r="BU155" s="338"/>
      <c r="BV155" s="338"/>
      <c r="BW155" s="338"/>
      <c r="BX155" s="338"/>
      <c r="BY155" s="338"/>
      <c r="BZ155" s="338"/>
      <c r="CA155" s="338"/>
      <c r="CB155" s="338"/>
      <c r="CC155" s="338"/>
      <c r="CD155" s="338"/>
      <c r="CE155" s="338"/>
      <c r="CF155" s="338"/>
      <c r="CG155" s="338"/>
      <c r="CH155" s="338"/>
      <c r="CI155" s="338"/>
      <c r="CJ155" s="338"/>
      <c r="CK155" s="338"/>
      <c r="CL155" s="338"/>
    </row>
    <row r="156" ht="14.2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40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338"/>
      <c r="AB156" s="338"/>
      <c r="AC156" s="338"/>
      <c r="AD156" s="338"/>
      <c r="AE156" s="338"/>
      <c r="AF156" s="338"/>
      <c r="AG156" s="338"/>
      <c r="AH156" s="338"/>
      <c r="AI156" s="338"/>
      <c r="AJ156" s="338"/>
      <c r="AK156" s="338"/>
      <c r="AL156" s="338"/>
      <c r="AM156" s="338"/>
      <c r="AN156" s="338"/>
      <c r="AO156" s="338"/>
      <c r="AP156" s="338"/>
      <c r="AQ156" s="338"/>
      <c r="AR156" s="338"/>
      <c r="AS156" s="338"/>
      <c r="AT156" s="338"/>
      <c r="AU156" s="338"/>
      <c r="AV156" s="338"/>
      <c r="AW156" s="338"/>
      <c r="AX156" s="338"/>
      <c r="AY156" s="338"/>
      <c r="AZ156" s="338"/>
      <c r="BA156" s="338"/>
      <c r="BB156" s="338"/>
      <c r="BC156" s="338"/>
      <c r="BD156" s="338"/>
      <c r="BE156" s="338"/>
      <c r="BF156" s="338"/>
      <c r="BG156" s="338"/>
      <c r="BH156" s="338"/>
      <c r="BI156" s="338"/>
      <c r="BJ156" s="338"/>
      <c r="BK156" s="338"/>
      <c r="BL156" s="338"/>
      <c r="BM156" s="338"/>
      <c r="BN156" s="338"/>
      <c r="BO156" s="338"/>
      <c r="BP156" s="338"/>
      <c r="BQ156" s="338"/>
      <c r="BR156" s="338"/>
      <c r="BS156" s="338"/>
      <c r="BT156" s="338"/>
      <c r="BU156" s="338"/>
      <c r="BV156" s="338"/>
      <c r="BW156" s="338"/>
      <c r="BX156" s="338"/>
      <c r="BY156" s="338"/>
      <c r="BZ156" s="338"/>
      <c r="CA156" s="338"/>
      <c r="CB156" s="338"/>
      <c r="CC156" s="338"/>
      <c r="CD156" s="338"/>
      <c r="CE156" s="338"/>
      <c r="CF156" s="338"/>
      <c r="CG156" s="338"/>
      <c r="CH156" s="338"/>
      <c r="CI156" s="338"/>
      <c r="CJ156" s="338"/>
      <c r="CK156" s="338"/>
      <c r="CL156" s="338"/>
    </row>
    <row r="157" ht="14.2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40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338"/>
      <c r="AB157" s="338"/>
      <c r="AC157" s="338"/>
      <c r="AD157" s="338"/>
      <c r="AE157" s="338"/>
      <c r="AF157" s="338"/>
      <c r="AG157" s="338"/>
      <c r="AH157" s="338"/>
      <c r="AI157" s="338"/>
      <c r="AJ157" s="338"/>
      <c r="AK157" s="338"/>
      <c r="AL157" s="338"/>
      <c r="AM157" s="338"/>
      <c r="AN157" s="338"/>
      <c r="AO157" s="338"/>
      <c r="AP157" s="338"/>
      <c r="AQ157" s="338"/>
      <c r="AR157" s="338"/>
      <c r="AS157" s="338"/>
      <c r="AT157" s="338"/>
      <c r="AU157" s="338"/>
      <c r="AV157" s="338"/>
      <c r="AW157" s="338"/>
      <c r="AX157" s="338"/>
      <c r="AY157" s="338"/>
      <c r="AZ157" s="338"/>
      <c r="BA157" s="338"/>
      <c r="BB157" s="338"/>
      <c r="BC157" s="338"/>
      <c r="BD157" s="338"/>
      <c r="BE157" s="338"/>
      <c r="BF157" s="338"/>
      <c r="BG157" s="338"/>
      <c r="BH157" s="338"/>
      <c r="BI157" s="338"/>
      <c r="BJ157" s="338"/>
      <c r="BK157" s="338"/>
      <c r="BL157" s="338"/>
      <c r="BM157" s="338"/>
      <c r="BN157" s="338"/>
      <c r="BO157" s="338"/>
      <c r="BP157" s="338"/>
      <c r="BQ157" s="338"/>
      <c r="BR157" s="338"/>
      <c r="BS157" s="338"/>
      <c r="BT157" s="338"/>
      <c r="BU157" s="338"/>
      <c r="BV157" s="338"/>
      <c r="BW157" s="338"/>
      <c r="BX157" s="338"/>
      <c r="BY157" s="338"/>
      <c r="BZ157" s="338"/>
      <c r="CA157" s="338"/>
      <c r="CB157" s="338"/>
      <c r="CC157" s="338"/>
      <c r="CD157" s="338"/>
      <c r="CE157" s="338"/>
      <c r="CF157" s="338"/>
      <c r="CG157" s="338"/>
      <c r="CH157" s="338"/>
      <c r="CI157" s="338"/>
      <c r="CJ157" s="338"/>
      <c r="CK157" s="338"/>
      <c r="CL157" s="338"/>
    </row>
    <row r="158" ht="14.2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40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  <c r="AC158" s="338"/>
      <c r="AD158" s="338"/>
      <c r="AE158" s="338"/>
      <c r="AF158" s="338"/>
      <c r="AG158" s="338"/>
      <c r="AH158" s="338"/>
      <c r="AI158" s="338"/>
      <c r="AJ158" s="338"/>
      <c r="AK158" s="338"/>
      <c r="AL158" s="338"/>
      <c r="AM158" s="338"/>
      <c r="AN158" s="338"/>
      <c r="AO158" s="338"/>
      <c r="AP158" s="338"/>
      <c r="AQ158" s="338"/>
      <c r="AR158" s="338"/>
      <c r="AS158" s="338"/>
      <c r="AT158" s="338"/>
      <c r="AU158" s="338"/>
      <c r="AV158" s="338"/>
      <c r="AW158" s="338"/>
      <c r="AX158" s="338"/>
      <c r="AY158" s="338"/>
      <c r="AZ158" s="338"/>
      <c r="BA158" s="338"/>
      <c r="BB158" s="338"/>
      <c r="BC158" s="338"/>
      <c r="BD158" s="338"/>
      <c r="BE158" s="338"/>
      <c r="BF158" s="338"/>
      <c r="BG158" s="338"/>
      <c r="BH158" s="338"/>
      <c r="BI158" s="338"/>
      <c r="BJ158" s="338"/>
      <c r="BK158" s="338"/>
      <c r="BL158" s="338"/>
      <c r="BM158" s="338"/>
      <c r="BN158" s="338"/>
      <c r="BO158" s="338"/>
      <c r="BP158" s="338"/>
      <c r="BQ158" s="338"/>
      <c r="BR158" s="338"/>
      <c r="BS158" s="338"/>
      <c r="BT158" s="338"/>
      <c r="BU158" s="338"/>
      <c r="BV158" s="338"/>
      <c r="BW158" s="338"/>
      <c r="BX158" s="338"/>
      <c r="BY158" s="338"/>
      <c r="BZ158" s="338"/>
      <c r="CA158" s="338"/>
      <c r="CB158" s="338"/>
      <c r="CC158" s="338"/>
      <c r="CD158" s="338"/>
      <c r="CE158" s="338"/>
      <c r="CF158" s="338"/>
      <c r="CG158" s="338"/>
      <c r="CH158" s="338"/>
      <c r="CI158" s="338"/>
      <c r="CJ158" s="338"/>
      <c r="CK158" s="338"/>
      <c r="CL158" s="338"/>
    </row>
    <row r="159" ht="14.2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40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  <c r="AC159" s="338"/>
      <c r="AD159" s="338"/>
      <c r="AE159" s="338"/>
      <c r="AF159" s="338"/>
      <c r="AG159" s="338"/>
      <c r="AH159" s="338"/>
      <c r="AI159" s="338"/>
      <c r="AJ159" s="338"/>
      <c r="AK159" s="338"/>
      <c r="AL159" s="338"/>
      <c r="AM159" s="338"/>
      <c r="AN159" s="338"/>
      <c r="AO159" s="338"/>
      <c r="AP159" s="338"/>
      <c r="AQ159" s="338"/>
      <c r="AR159" s="338"/>
      <c r="AS159" s="338"/>
      <c r="AT159" s="338"/>
      <c r="AU159" s="338"/>
      <c r="AV159" s="338"/>
      <c r="AW159" s="338"/>
      <c r="AX159" s="338"/>
      <c r="AY159" s="338"/>
      <c r="AZ159" s="338"/>
      <c r="BA159" s="338"/>
      <c r="BB159" s="338"/>
      <c r="BC159" s="338"/>
      <c r="BD159" s="338"/>
      <c r="BE159" s="338"/>
      <c r="BF159" s="338"/>
      <c r="BG159" s="338"/>
      <c r="BH159" s="338"/>
      <c r="BI159" s="338"/>
      <c r="BJ159" s="338"/>
      <c r="BK159" s="338"/>
      <c r="BL159" s="338"/>
      <c r="BM159" s="338"/>
      <c r="BN159" s="338"/>
      <c r="BO159" s="338"/>
      <c r="BP159" s="338"/>
      <c r="BQ159" s="338"/>
      <c r="BR159" s="338"/>
      <c r="BS159" s="338"/>
      <c r="BT159" s="338"/>
      <c r="BU159" s="338"/>
      <c r="BV159" s="338"/>
      <c r="BW159" s="338"/>
      <c r="BX159" s="338"/>
      <c r="BY159" s="338"/>
      <c r="BZ159" s="338"/>
      <c r="CA159" s="338"/>
      <c r="CB159" s="338"/>
      <c r="CC159" s="338"/>
      <c r="CD159" s="338"/>
      <c r="CE159" s="338"/>
      <c r="CF159" s="338"/>
      <c r="CG159" s="338"/>
      <c r="CH159" s="338"/>
      <c r="CI159" s="338"/>
      <c r="CJ159" s="338"/>
      <c r="CK159" s="338"/>
      <c r="CL159" s="338"/>
    </row>
    <row r="160" ht="14.2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40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8"/>
      <c r="AH160" s="338"/>
      <c r="AI160" s="338"/>
      <c r="AJ160" s="338"/>
      <c r="AK160" s="338"/>
      <c r="AL160" s="338"/>
      <c r="AM160" s="338"/>
      <c r="AN160" s="338"/>
      <c r="AO160" s="338"/>
      <c r="AP160" s="338"/>
      <c r="AQ160" s="338"/>
      <c r="AR160" s="338"/>
      <c r="AS160" s="338"/>
      <c r="AT160" s="338"/>
      <c r="AU160" s="338"/>
      <c r="AV160" s="338"/>
      <c r="AW160" s="338"/>
      <c r="AX160" s="338"/>
      <c r="AY160" s="338"/>
      <c r="AZ160" s="338"/>
      <c r="BA160" s="338"/>
      <c r="BB160" s="338"/>
      <c r="BC160" s="338"/>
      <c r="BD160" s="338"/>
      <c r="BE160" s="338"/>
      <c r="BF160" s="338"/>
      <c r="BG160" s="338"/>
      <c r="BH160" s="338"/>
      <c r="BI160" s="338"/>
      <c r="BJ160" s="338"/>
      <c r="BK160" s="338"/>
      <c r="BL160" s="338"/>
      <c r="BM160" s="338"/>
      <c r="BN160" s="338"/>
      <c r="BO160" s="338"/>
      <c r="BP160" s="338"/>
      <c r="BQ160" s="338"/>
      <c r="BR160" s="338"/>
      <c r="BS160" s="338"/>
      <c r="BT160" s="338"/>
      <c r="BU160" s="338"/>
      <c r="BV160" s="338"/>
      <c r="BW160" s="338"/>
      <c r="BX160" s="338"/>
      <c r="BY160" s="338"/>
      <c r="BZ160" s="338"/>
      <c r="CA160" s="338"/>
      <c r="CB160" s="338"/>
      <c r="CC160" s="338"/>
      <c r="CD160" s="338"/>
      <c r="CE160" s="338"/>
      <c r="CF160" s="338"/>
      <c r="CG160" s="338"/>
      <c r="CH160" s="338"/>
      <c r="CI160" s="338"/>
      <c r="CJ160" s="338"/>
      <c r="CK160" s="338"/>
      <c r="CL160" s="338"/>
    </row>
    <row r="161" ht="14.2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40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8"/>
      <c r="AH161" s="338"/>
      <c r="AI161" s="338"/>
      <c r="AJ161" s="338"/>
      <c r="AK161" s="338"/>
      <c r="AL161" s="338"/>
      <c r="AM161" s="338"/>
      <c r="AN161" s="338"/>
      <c r="AO161" s="338"/>
      <c r="AP161" s="338"/>
      <c r="AQ161" s="338"/>
      <c r="AR161" s="338"/>
      <c r="AS161" s="338"/>
      <c r="AT161" s="338"/>
      <c r="AU161" s="338"/>
      <c r="AV161" s="338"/>
      <c r="AW161" s="338"/>
      <c r="AX161" s="338"/>
      <c r="AY161" s="338"/>
      <c r="AZ161" s="338"/>
      <c r="BA161" s="338"/>
      <c r="BB161" s="338"/>
      <c r="BC161" s="338"/>
      <c r="BD161" s="338"/>
      <c r="BE161" s="338"/>
      <c r="BF161" s="338"/>
      <c r="BG161" s="338"/>
      <c r="BH161" s="338"/>
      <c r="BI161" s="338"/>
      <c r="BJ161" s="338"/>
      <c r="BK161" s="338"/>
      <c r="BL161" s="338"/>
      <c r="BM161" s="338"/>
      <c r="BN161" s="338"/>
      <c r="BO161" s="338"/>
      <c r="BP161" s="338"/>
      <c r="BQ161" s="338"/>
      <c r="BR161" s="338"/>
      <c r="BS161" s="338"/>
      <c r="BT161" s="338"/>
      <c r="BU161" s="338"/>
      <c r="BV161" s="338"/>
      <c r="BW161" s="338"/>
      <c r="BX161" s="338"/>
      <c r="BY161" s="338"/>
      <c r="BZ161" s="338"/>
      <c r="CA161" s="338"/>
      <c r="CB161" s="338"/>
      <c r="CC161" s="338"/>
      <c r="CD161" s="338"/>
      <c r="CE161" s="338"/>
      <c r="CF161" s="338"/>
      <c r="CG161" s="338"/>
      <c r="CH161" s="338"/>
      <c r="CI161" s="338"/>
      <c r="CJ161" s="338"/>
      <c r="CK161" s="338"/>
      <c r="CL161" s="338"/>
    </row>
    <row r="162" ht="14.2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40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  <c r="AA162" s="338"/>
      <c r="AB162" s="338"/>
      <c r="AC162" s="338"/>
      <c r="AD162" s="338"/>
      <c r="AE162" s="338"/>
      <c r="AF162" s="338"/>
      <c r="AG162" s="338"/>
      <c r="AH162" s="338"/>
      <c r="AI162" s="338"/>
      <c r="AJ162" s="338"/>
      <c r="AK162" s="338"/>
      <c r="AL162" s="338"/>
      <c r="AM162" s="338"/>
      <c r="AN162" s="338"/>
      <c r="AO162" s="338"/>
      <c r="AP162" s="338"/>
      <c r="AQ162" s="338"/>
      <c r="AR162" s="338"/>
      <c r="AS162" s="338"/>
      <c r="AT162" s="338"/>
      <c r="AU162" s="338"/>
      <c r="AV162" s="338"/>
      <c r="AW162" s="338"/>
      <c r="AX162" s="338"/>
      <c r="AY162" s="338"/>
      <c r="AZ162" s="338"/>
      <c r="BA162" s="338"/>
      <c r="BB162" s="338"/>
      <c r="BC162" s="338"/>
      <c r="BD162" s="338"/>
      <c r="BE162" s="338"/>
      <c r="BF162" s="338"/>
      <c r="BG162" s="338"/>
      <c r="BH162" s="338"/>
      <c r="BI162" s="338"/>
      <c r="BJ162" s="338"/>
      <c r="BK162" s="338"/>
      <c r="BL162" s="338"/>
      <c r="BM162" s="338"/>
      <c r="BN162" s="338"/>
      <c r="BO162" s="338"/>
      <c r="BP162" s="338"/>
      <c r="BQ162" s="338"/>
      <c r="BR162" s="338"/>
      <c r="BS162" s="338"/>
      <c r="BT162" s="338"/>
      <c r="BU162" s="338"/>
      <c r="BV162" s="338"/>
      <c r="BW162" s="338"/>
      <c r="BX162" s="338"/>
      <c r="BY162" s="338"/>
      <c r="BZ162" s="338"/>
      <c r="CA162" s="338"/>
      <c r="CB162" s="338"/>
      <c r="CC162" s="338"/>
      <c r="CD162" s="338"/>
      <c r="CE162" s="338"/>
      <c r="CF162" s="338"/>
      <c r="CG162" s="338"/>
      <c r="CH162" s="338"/>
      <c r="CI162" s="338"/>
      <c r="CJ162" s="338"/>
      <c r="CK162" s="338"/>
      <c r="CL162" s="338"/>
    </row>
    <row r="163" ht="14.2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40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  <c r="AA163" s="338"/>
      <c r="AB163" s="338"/>
      <c r="AC163" s="338"/>
      <c r="AD163" s="338"/>
      <c r="AE163" s="338"/>
      <c r="AF163" s="338"/>
      <c r="AG163" s="338"/>
      <c r="AH163" s="338"/>
      <c r="AI163" s="338"/>
      <c r="AJ163" s="338"/>
      <c r="AK163" s="338"/>
      <c r="AL163" s="338"/>
      <c r="AM163" s="338"/>
      <c r="AN163" s="338"/>
      <c r="AO163" s="338"/>
      <c r="AP163" s="338"/>
      <c r="AQ163" s="338"/>
      <c r="AR163" s="338"/>
      <c r="AS163" s="338"/>
      <c r="AT163" s="338"/>
      <c r="AU163" s="338"/>
      <c r="AV163" s="338"/>
      <c r="AW163" s="338"/>
      <c r="AX163" s="338"/>
      <c r="AY163" s="338"/>
      <c r="AZ163" s="338"/>
      <c r="BA163" s="338"/>
      <c r="BB163" s="338"/>
      <c r="BC163" s="338"/>
      <c r="BD163" s="338"/>
      <c r="BE163" s="338"/>
      <c r="BF163" s="338"/>
      <c r="BG163" s="338"/>
      <c r="BH163" s="338"/>
      <c r="BI163" s="338"/>
      <c r="BJ163" s="338"/>
      <c r="BK163" s="338"/>
      <c r="BL163" s="338"/>
      <c r="BM163" s="338"/>
      <c r="BN163" s="338"/>
      <c r="BO163" s="338"/>
      <c r="BP163" s="338"/>
      <c r="BQ163" s="338"/>
      <c r="BR163" s="338"/>
      <c r="BS163" s="338"/>
      <c r="BT163" s="338"/>
      <c r="BU163" s="338"/>
      <c r="BV163" s="338"/>
      <c r="BW163" s="338"/>
      <c r="BX163" s="338"/>
      <c r="BY163" s="338"/>
      <c r="BZ163" s="338"/>
      <c r="CA163" s="338"/>
      <c r="CB163" s="338"/>
      <c r="CC163" s="338"/>
      <c r="CD163" s="338"/>
      <c r="CE163" s="338"/>
      <c r="CF163" s="338"/>
      <c r="CG163" s="338"/>
      <c r="CH163" s="338"/>
      <c r="CI163" s="338"/>
      <c r="CJ163" s="338"/>
      <c r="CK163" s="338"/>
      <c r="CL163" s="338"/>
    </row>
    <row r="164" ht="14.2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40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338"/>
      <c r="AB164" s="338"/>
      <c r="AC164" s="338"/>
      <c r="AD164" s="338"/>
      <c r="AE164" s="338"/>
      <c r="AF164" s="338"/>
      <c r="AG164" s="338"/>
      <c r="AH164" s="338"/>
      <c r="AI164" s="338"/>
      <c r="AJ164" s="338"/>
      <c r="AK164" s="338"/>
      <c r="AL164" s="338"/>
      <c r="AM164" s="338"/>
      <c r="AN164" s="338"/>
      <c r="AO164" s="338"/>
      <c r="AP164" s="338"/>
      <c r="AQ164" s="338"/>
      <c r="AR164" s="338"/>
      <c r="AS164" s="338"/>
      <c r="AT164" s="338"/>
      <c r="AU164" s="338"/>
      <c r="AV164" s="338"/>
      <c r="AW164" s="338"/>
      <c r="AX164" s="338"/>
      <c r="AY164" s="338"/>
      <c r="AZ164" s="338"/>
      <c r="BA164" s="338"/>
      <c r="BB164" s="338"/>
      <c r="BC164" s="338"/>
      <c r="BD164" s="338"/>
      <c r="BE164" s="338"/>
      <c r="BF164" s="338"/>
      <c r="BG164" s="338"/>
      <c r="BH164" s="338"/>
      <c r="BI164" s="338"/>
      <c r="BJ164" s="338"/>
      <c r="BK164" s="338"/>
      <c r="BL164" s="338"/>
      <c r="BM164" s="338"/>
      <c r="BN164" s="338"/>
      <c r="BO164" s="338"/>
      <c r="BP164" s="338"/>
      <c r="BQ164" s="338"/>
      <c r="BR164" s="338"/>
      <c r="BS164" s="338"/>
      <c r="BT164" s="338"/>
      <c r="BU164" s="338"/>
      <c r="BV164" s="338"/>
      <c r="BW164" s="338"/>
      <c r="BX164" s="338"/>
      <c r="BY164" s="338"/>
      <c r="BZ164" s="338"/>
      <c r="CA164" s="338"/>
      <c r="CB164" s="338"/>
      <c r="CC164" s="338"/>
      <c r="CD164" s="338"/>
      <c r="CE164" s="338"/>
      <c r="CF164" s="338"/>
      <c r="CG164" s="338"/>
      <c r="CH164" s="338"/>
      <c r="CI164" s="338"/>
      <c r="CJ164" s="338"/>
      <c r="CK164" s="338"/>
      <c r="CL164" s="338"/>
    </row>
    <row r="165" ht="14.2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40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338"/>
      <c r="AB165" s="338"/>
      <c r="AC165" s="338"/>
      <c r="AD165" s="338"/>
      <c r="AE165" s="338"/>
      <c r="AF165" s="338"/>
      <c r="AG165" s="338"/>
      <c r="AH165" s="338"/>
      <c r="AI165" s="338"/>
      <c r="AJ165" s="338"/>
      <c r="AK165" s="338"/>
      <c r="AL165" s="338"/>
      <c r="AM165" s="338"/>
      <c r="AN165" s="338"/>
      <c r="AO165" s="338"/>
      <c r="AP165" s="338"/>
      <c r="AQ165" s="338"/>
      <c r="AR165" s="338"/>
      <c r="AS165" s="338"/>
      <c r="AT165" s="338"/>
      <c r="AU165" s="338"/>
      <c r="AV165" s="338"/>
      <c r="AW165" s="338"/>
      <c r="AX165" s="338"/>
      <c r="AY165" s="338"/>
      <c r="AZ165" s="338"/>
      <c r="BA165" s="338"/>
      <c r="BB165" s="338"/>
      <c r="BC165" s="338"/>
      <c r="BD165" s="338"/>
      <c r="BE165" s="338"/>
      <c r="BF165" s="338"/>
      <c r="BG165" s="338"/>
      <c r="BH165" s="338"/>
      <c r="BI165" s="338"/>
      <c r="BJ165" s="338"/>
      <c r="BK165" s="338"/>
      <c r="BL165" s="338"/>
      <c r="BM165" s="338"/>
      <c r="BN165" s="338"/>
      <c r="BO165" s="338"/>
      <c r="BP165" s="338"/>
      <c r="BQ165" s="338"/>
      <c r="BR165" s="338"/>
      <c r="BS165" s="338"/>
      <c r="BT165" s="338"/>
      <c r="BU165" s="338"/>
      <c r="BV165" s="338"/>
      <c r="BW165" s="338"/>
      <c r="BX165" s="338"/>
      <c r="BY165" s="338"/>
      <c r="BZ165" s="338"/>
      <c r="CA165" s="338"/>
      <c r="CB165" s="338"/>
      <c r="CC165" s="338"/>
      <c r="CD165" s="338"/>
      <c r="CE165" s="338"/>
      <c r="CF165" s="338"/>
      <c r="CG165" s="338"/>
      <c r="CH165" s="338"/>
      <c r="CI165" s="338"/>
      <c r="CJ165" s="338"/>
      <c r="CK165" s="338"/>
      <c r="CL165" s="338"/>
    </row>
    <row r="166" ht="14.2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40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338"/>
      <c r="AB166" s="338"/>
      <c r="AC166" s="338"/>
      <c r="AD166" s="338"/>
      <c r="AE166" s="338"/>
      <c r="AF166" s="338"/>
      <c r="AG166" s="338"/>
      <c r="AH166" s="338"/>
      <c r="AI166" s="338"/>
      <c r="AJ166" s="338"/>
      <c r="AK166" s="338"/>
      <c r="AL166" s="338"/>
      <c r="AM166" s="338"/>
      <c r="AN166" s="338"/>
      <c r="AO166" s="338"/>
      <c r="AP166" s="338"/>
      <c r="AQ166" s="338"/>
      <c r="AR166" s="338"/>
      <c r="AS166" s="338"/>
      <c r="AT166" s="338"/>
      <c r="AU166" s="338"/>
      <c r="AV166" s="338"/>
      <c r="AW166" s="338"/>
      <c r="AX166" s="338"/>
      <c r="AY166" s="338"/>
      <c r="AZ166" s="338"/>
      <c r="BA166" s="338"/>
      <c r="BB166" s="338"/>
      <c r="BC166" s="338"/>
      <c r="BD166" s="338"/>
      <c r="BE166" s="338"/>
      <c r="BF166" s="338"/>
      <c r="BG166" s="338"/>
      <c r="BH166" s="338"/>
      <c r="BI166" s="338"/>
      <c r="BJ166" s="338"/>
      <c r="BK166" s="338"/>
      <c r="BL166" s="338"/>
      <c r="BM166" s="338"/>
      <c r="BN166" s="338"/>
      <c r="BO166" s="338"/>
      <c r="BP166" s="338"/>
      <c r="BQ166" s="338"/>
      <c r="BR166" s="338"/>
      <c r="BS166" s="338"/>
      <c r="BT166" s="338"/>
      <c r="BU166" s="338"/>
      <c r="BV166" s="338"/>
      <c r="BW166" s="338"/>
      <c r="BX166" s="338"/>
      <c r="BY166" s="338"/>
      <c r="BZ166" s="338"/>
      <c r="CA166" s="338"/>
      <c r="CB166" s="338"/>
      <c r="CC166" s="338"/>
      <c r="CD166" s="338"/>
      <c r="CE166" s="338"/>
      <c r="CF166" s="338"/>
      <c r="CG166" s="338"/>
      <c r="CH166" s="338"/>
      <c r="CI166" s="338"/>
      <c r="CJ166" s="338"/>
      <c r="CK166" s="338"/>
      <c r="CL166" s="338"/>
    </row>
    <row r="167" ht="14.2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40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  <c r="AA167" s="338"/>
      <c r="AB167" s="338"/>
      <c r="AC167" s="338"/>
      <c r="AD167" s="338"/>
      <c r="AE167" s="338"/>
      <c r="AF167" s="338"/>
      <c r="AG167" s="338"/>
      <c r="AH167" s="338"/>
      <c r="AI167" s="338"/>
      <c r="AJ167" s="338"/>
      <c r="AK167" s="338"/>
      <c r="AL167" s="338"/>
      <c r="AM167" s="338"/>
      <c r="AN167" s="338"/>
      <c r="AO167" s="338"/>
      <c r="AP167" s="338"/>
      <c r="AQ167" s="338"/>
      <c r="AR167" s="338"/>
      <c r="AS167" s="338"/>
      <c r="AT167" s="338"/>
      <c r="AU167" s="338"/>
      <c r="AV167" s="338"/>
      <c r="AW167" s="338"/>
      <c r="AX167" s="338"/>
      <c r="AY167" s="338"/>
      <c r="AZ167" s="338"/>
      <c r="BA167" s="338"/>
      <c r="BB167" s="338"/>
      <c r="BC167" s="338"/>
      <c r="BD167" s="338"/>
      <c r="BE167" s="338"/>
      <c r="BF167" s="338"/>
      <c r="BG167" s="338"/>
      <c r="BH167" s="338"/>
      <c r="BI167" s="338"/>
      <c r="BJ167" s="338"/>
      <c r="BK167" s="338"/>
      <c r="BL167" s="338"/>
      <c r="BM167" s="338"/>
      <c r="BN167" s="338"/>
      <c r="BO167" s="338"/>
      <c r="BP167" s="338"/>
      <c r="BQ167" s="338"/>
      <c r="BR167" s="338"/>
      <c r="BS167" s="338"/>
      <c r="BT167" s="338"/>
      <c r="BU167" s="338"/>
      <c r="BV167" s="338"/>
      <c r="BW167" s="338"/>
      <c r="BX167" s="338"/>
      <c r="BY167" s="338"/>
      <c r="BZ167" s="338"/>
      <c r="CA167" s="338"/>
      <c r="CB167" s="338"/>
      <c r="CC167" s="338"/>
      <c r="CD167" s="338"/>
      <c r="CE167" s="338"/>
      <c r="CF167" s="338"/>
      <c r="CG167" s="338"/>
      <c r="CH167" s="338"/>
      <c r="CI167" s="338"/>
      <c r="CJ167" s="338"/>
      <c r="CK167" s="338"/>
      <c r="CL167" s="338"/>
    </row>
    <row r="168" ht="14.2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40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  <c r="AA168" s="338"/>
      <c r="AB168" s="338"/>
      <c r="AC168" s="338"/>
      <c r="AD168" s="338"/>
      <c r="AE168" s="338"/>
      <c r="AF168" s="338"/>
      <c r="AG168" s="338"/>
      <c r="AH168" s="338"/>
      <c r="AI168" s="338"/>
      <c r="AJ168" s="338"/>
      <c r="AK168" s="338"/>
      <c r="AL168" s="338"/>
      <c r="AM168" s="338"/>
      <c r="AN168" s="338"/>
      <c r="AO168" s="338"/>
      <c r="AP168" s="338"/>
      <c r="AQ168" s="338"/>
      <c r="AR168" s="338"/>
      <c r="AS168" s="338"/>
      <c r="AT168" s="338"/>
      <c r="AU168" s="338"/>
      <c r="AV168" s="338"/>
      <c r="AW168" s="338"/>
      <c r="AX168" s="338"/>
      <c r="AY168" s="338"/>
      <c r="AZ168" s="338"/>
      <c r="BA168" s="338"/>
      <c r="BB168" s="338"/>
      <c r="BC168" s="338"/>
      <c r="BD168" s="338"/>
      <c r="BE168" s="338"/>
      <c r="BF168" s="338"/>
      <c r="BG168" s="338"/>
      <c r="BH168" s="338"/>
      <c r="BI168" s="338"/>
      <c r="BJ168" s="338"/>
      <c r="BK168" s="338"/>
      <c r="BL168" s="338"/>
      <c r="BM168" s="338"/>
      <c r="BN168" s="338"/>
      <c r="BO168" s="338"/>
      <c r="BP168" s="338"/>
      <c r="BQ168" s="338"/>
      <c r="BR168" s="338"/>
      <c r="BS168" s="338"/>
      <c r="BT168" s="338"/>
      <c r="BU168" s="338"/>
      <c r="BV168" s="338"/>
      <c r="BW168" s="338"/>
      <c r="BX168" s="338"/>
      <c r="BY168" s="338"/>
      <c r="BZ168" s="338"/>
      <c r="CA168" s="338"/>
      <c r="CB168" s="338"/>
      <c r="CC168" s="338"/>
      <c r="CD168" s="338"/>
      <c r="CE168" s="338"/>
      <c r="CF168" s="338"/>
      <c r="CG168" s="338"/>
      <c r="CH168" s="338"/>
      <c r="CI168" s="338"/>
      <c r="CJ168" s="338"/>
      <c r="CK168" s="338"/>
      <c r="CL168" s="338"/>
    </row>
    <row r="169" ht="14.2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40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338"/>
      <c r="AJ169" s="338"/>
      <c r="AK169" s="338"/>
      <c r="AL169" s="338"/>
      <c r="AM169" s="338"/>
      <c r="AN169" s="338"/>
      <c r="AO169" s="338"/>
      <c r="AP169" s="338"/>
      <c r="AQ169" s="338"/>
      <c r="AR169" s="338"/>
      <c r="AS169" s="338"/>
      <c r="AT169" s="338"/>
      <c r="AU169" s="338"/>
      <c r="AV169" s="338"/>
      <c r="AW169" s="338"/>
      <c r="AX169" s="338"/>
      <c r="AY169" s="338"/>
      <c r="AZ169" s="338"/>
      <c r="BA169" s="338"/>
      <c r="BB169" s="338"/>
      <c r="BC169" s="338"/>
      <c r="BD169" s="338"/>
      <c r="BE169" s="338"/>
      <c r="BF169" s="338"/>
      <c r="BG169" s="338"/>
      <c r="BH169" s="338"/>
      <c r="BI169" s="338"/>
      <c r="BJ169" s="338"/>
      <c r="BK169" s="338"/>
      <c r="BL169" s="338"/>
      <c r="BM169" s="338"/>
      <c r="BN169" s="338"/>
      <c r="BO169" s="338"/>
      <c r="BP169" s="338"/>
      <c r="BQ169" s="338"/>
      <c r="BR169" s="338"/>
      <c r="BS169" s="338"/>
      <c r="BT169" s="338"/>
      <c r="BU169" s="338"/>
      <c r="BV169" s="338"/>
      <c r="BW169" s="338"/>
      <c r="BX169" s="338"/>
      <c r="BY169" s="338"/>
      <c r="BZ169" s="338"/>
      <c r="CA169" s="338"/>
      <c r="CB169" s="338"/>
      <c r="CC169" s="338"/>
      <c r="CD169" s="338"/>
      <c r="CE169" s="338"/>
      <c r="CF169" s="338"/>
      <c r="CG169" s="338"/>
      <c r="CH169" s="338"/>
      <c r="CI169" s="338"/>
      <c r="CJ169" s="338"/>
      <c r="CK169" s="338"/>
      <c r="CL169" s="338"/>
    </row>
    <row r="170" ht="14.2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40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  <c r="AA170" s="338"/>
      <c r="AB170" s="338"/>
      <c r="AC170" s="338"/>
      <c r="AD170" s="338"/>
      <c r="AE170" s="338"/>
      <c r="AF170" s="338"/>
      <c r="AG170" s="338"/>
      <c r="AH170" s="338"/>
      <c r="AI170" s="338"/>
      <c r="AJ170" s="338"/>
      <c r="AK170" s="338"/>
      <c r="AL170" s="338"/>
      <c r="AM170" s="338"/>
      <c r="AN170" s="338"/>
      <c r="AO170" s="338"/>
      <c r="AP170" s="338"/>
      <c r="AQ170" s="338"/>
      <c r="AR170" s="338"/>
      <c r="AS170" s="338"/>
      <c r="AT170" s="338"/>
      <c r="AU170" s="338"/>
      <c r="AV170" s="338"/>
      <c r="AW170" s="338"/>
      <c r="AX170" s="338"/>
      <c r="AY170" s="338"/>
      <c r="AZ170" s="338"/>
      <c r="BA170" s="338"/>
      <c r="BB170" s="338"/>
      <c r="BC170" s="338"/>
      <c r="BD170" s="338"/>
      <c r="BE170" s="338"/>
      <c r="BF170" s="338"/>
      <c r="BG170" s="338"/>
      <c r="BH170" s="338"/>
      <c r="BI170" s="338"/>
      <c r="BJ170" s="338"/>
      <c r="BK170" s="338"/>
      <c r="BL170" s="338"/>
      <c r="BM170" s="338"/>
      <c r="BN170" s="338"/>
      <c r="BO170" s="338"/>
      <c r="BP170" s="338"/>
      <c r="BQ170" s="338"/>
      <c r="BR170" s="338"/>
      <c r="BS170" s="338"/>
      <c r="BT170" s="338"/>
      <c r="BU170" s="338"/>
      <c r="BV170" s="338"/>
      <c r="BW170" s="338"/>
      <c r="BX170" s="338"/>
      <c r="BY170" s="338"/>
      <c r="BZ170" s="338"/>
      <c r="CA170" s="338"/>
      <c r="CB170" s="338"/>
      <c r="CC170" s="338"/>
      <c r="CD170" s="338"/>
      <c r="CE170" s="338"/>
      <c r="CF170" s="338"/>
      <c r="CG170" s="338"/>
      <c r="CH170" s="338"/>
      <c r="CI170" s="338"/>
      <c r="CJ170" s="338"/>
      <c r="CK170" s="338"/>
      <c r="CL170" s="338"/>
    </row>
    <row r="171" ht="14.2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40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  <c r="AC171" s="338"/>
      <c r="AD171" s="338"/>
      <c r="AE171" s="338"/>
      <c r="AF171" s="338"/>
      <c r="AG171" s="338"/>
      <c r="AH171" s="338"/>
      <c r="AI171" s="338"/>
      <c r="AJ171" s="338"/>
      <c r="AK171" s="338"/>
      <c r="AL171" s="338"/>
      <c r="AM171" s="338"/>
      <c r="AN171" s="338"/>
      <c r="AO171" s="338"/>
      <c r="AP171" s="338"/>
      <c r="AQ171" s="338"/>
      <c r="AR171" s="338"/>
      <c r="AS171" s="338"/>
      <c r="AT171" s="338"/>
      <c r="AU171" s="338"/>
      <c r="AV171" s="338"/>
      <c r="AW171" s="338"/>
      <c r="AX171" s="338"/>
      <c r="AY171" s="338"/>
      <c r="AZ171" s="338"/>
      <c r="BA171" s="338"/>
      <c r="BB171" s="338"/>
      <c r="BC171" s="338"/>
      <c r="BD171" s="338"/>
      <c r="BE171" s="338"/>
      <c r="BF171" s="338"/>
      <c r="BG171" s="338"/>
      <c r="BH171" s="338"/>
      <c r="BI171" s="338"/>
      <c r="BJ171" s="338"/>
      <c r="BK171" s="338"/>
      <c r="BL171" s="338"/>
      <c r="BM171" s="338"/>
      <c r="BN171" s="338"/>
      <c r="BO171" s="338"/>
      <c r="BP171" s="338"/>
      <c r="BQ171" s="338"/>
      <c r="BR171" s="338"/>
      <c r="BS171" s="338"/>
      <c r="BT171" s="338"/>
      <c r="BU171" s="338"/>
      <c r="BV171" s="338"/>
      <c r="BW171" s="338"/>
      <c r="BX171" s="338"/>
      <c r="BY171" s="338"/>
      <c r="BZ171" s="338"/>
      <c r="CA171" s="338"/>
      <c r="CB171" s="338"/>
      <c r="CC171" s="338"/>
      <c r="CD171" s="338"/>
      <c r="CE171" s="338"/>
      <c r="CF171" s="338"/>
      <c r="CG171" s="338"/>
      <c r="CH171" s="338"/>
      <c r="CI171" s="338"/>
      <c r="CJ171" s="338"/>
      <c r="CK171" s="338"/>
      <c r="CL171" s="338"/>
    </row>
    <row r="172" ht="14.2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40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8"/>
      <c r="AV172" s="338"/>
      <c r="AW172" s="338"/>
      <c r="AX172" s="338"/>
      <c r="AY172" s="338"/>
      <c r="AZ172" s="338"/>
      <c r="BA172" s="338"/>
      <c r="BB172" s="338"/>
      <c r="BC172" s="338"/>
      <c r="BD172" s="338"/>
      <c r="BE172" s="338"/>
      <c r="BF172" s="338"/>
      <c r="BG172" s="338"/>
      <c r="BH172" s="338"/>
      <c r="BI172" s="338"/>
      <c r="BJ172" s="338"/>
      <c r="BK172" s="338"/>
      <c r="BL172" s="338"/>
      <c r="BM172" s="338"/>
      <c r="BN172" s="338"/>
      <c r="BO172" s="338"/>
      <c r="BP172" s="338"/>
      <c r="BQ172" s="338"/>
      <c r="BR172" s="338"/>
      <c r="BS172" s="338"/>
      <c r="BT172" s="338"/>
      <c r="BU172" s="338"/>
      <c r="BV172" s="338"/>
      <c r="BW172" s="338"/>
      <c r="BX172" s="338"/>
      <c r="BY172" s="338"/>
      <c r="BZ172" s="338"/>
      <c r="CA172" s="338"/>
      <c r="CB172" s="338"/>
      <c r="CC172" s="338"/>
      <c r="CD172" s="338"/>
      <c r="CE172" s="338"/>
      <c r="CF172" s="338"/>
      <c r="CG172" s="338"/>
      <c r="CH172" s="338"/>
      <c r="CI172" s="338"/>
      <c r="CJ172" s="338"/>
      <c r="CK172" s="338"/>
      <c r="CL172" s="338"/>
    </row>
    <row r="173" ht="14.2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40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8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  <c r="AV173" s="338"/>
      <c r="AW173" s="338"/>
      <c r="AX173" s="338"/>
      <c r="AY173" s="338"/>
      <c r="AZ173" s="338"/>
      <c r="BA173" s="338"/>
      <c r="BB173" s="338"/>
      <c r="BC173" s="338"/>
      <c r="BD173" s="338"/>
      <c r="BE173" s="338"/>
      <c r="BF173" s="338"/>
      <c r="BG173" s="338"/>
      <c r="BH173" s="338"/>
      <c r="BI173" s="338"/>
      <c r="BJ173" s="338"/>
      <c r="BK173" s="338"/>
      <c r="BL173" s="338"/>
      <c r="BM173" s="338"/>
      <c r="BN173" s="338"/>
      <c r="BO173" s="338"/>
      <c r="BP173" s="338"/>
      <c r="BQ173" s="338"/>
      <c r="BR173" s="338"/>
      <c r="BS173" s="338"/>
      <c r="BT173" s="338"/>
      <c r="BU173" s="338"/>
      <c r="BV173" s="338"/>
      <c r="BW173" s="338"/>
      <c r="BX173" s="338"/>
      <c r="BY173" s="338"/>
      <c r="BZ173" s="338"/>
      <c r="CA173" s="338"/>
      <c r="CB173" s="338"/>
      <c r="CC173" s="338"/>
      <c r="CD173" s="338"/>
      <c r="CE173" s="338"/>
      <c r="CF173" s="338"/>
      <c r="CG173" s="338"/>
      <c r="CH173" s="338"/>
      <c r="CI173" s="338"/>
      <c r="CJ173" s="338"/>
      <c r="CK173" s="338"/>
      <c r="CL173" s="338"/>
    </row>
    <row r="174" ht="14.2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40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338"/>
      <c r="AB174" s="338"/>
      <c r="AC174" s="338"/>
      <c r="AD174" s="338"/>
      <c r="AE174" s="338"/>
      <c r="AF174" s="338"/>
      <c r="AG174" s="338"/>
      <c r="AH174" s="338"/>
      <c r="AI174" s="338"/>
      <c r="AJ174" s="338"/>
      <c r="AK174" s="338"/>
      <c r="AL174" s="338"/>
      <c r="AM174" s="338"/>
      <c r="AN174" s="338"/>
      <c r="AO174" s="338"/>
      <c r="AP174" s="338"/>
      <c r="AQ174" s="338"/>
      <c r="AR174" s="338"/>
      <c r="AS174" s="338"/>
      <c r="AT174" s="338"/>
      <c r="AU174" s="338"/>
      <c r="AV174" s="338"/>
      <c r="AW174" s="338"/>
      <c r="AX174" s="338"/>
      <c r="AY174" s="338"/>
      <c r="AZ174" s="338"/>
      <c r="BA174" s="338"/>
      <c r="BB174" s="338"/>
      <c r="BC174" s="338"/>
      <c r="BD174" s="338"/>
      <c r="BE174" s="338"/>
      <c r="BF174" s="338"/>
      <c r="BG174" s="338"/>
      <c r="BH174" s="338"/>
      <c r="BI174" s="338"/>
      <c r="BJ174" s="338"/>
      <c r="BK174" s="338"/>
      <c r="BL174" s="338"/>
      <c r="BM174" s="338"/>
      <c r="BN174" s="338"/>
      <c r="BO174" s="338"/>
      <c r="BP174" s="338"/>
      <c r="BQ174" s="338"/>
      <c r="BR174" s="338"/>
      <c r="BS174" s="338"/>
      <c r="BT174" s="338"/>
      <c r="BU174" s="338"/>
      <c r="BV174" s="338"/>
      <c r="BW174" s="338"/>
      <c r="BX174" s="338"/>
      <c r="BY174" s="338"/>
      <c r="BZ174" s="338"/>
      <c r="CA174" s="338"/>
      <c r="CB174" s="338"/>
      <c r="CC174" s="338"/>
      <c r="CD174" s="338"/>
      <c r="CE174" s="338"/>
      <c r="CF174" s="338"/>
      <c r="CG174" s="338"/>
      <c r="CH174" s="338"/>
      <c r="CI174" s="338"/>
      <c r="CJ174" s="338"/>
      <c r="CK174" s="338"/>
      <c r="CL174" s="338"/>
    </row>
    <row r="175" ht="14.2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40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338"/>
      <c r="AJ175" s="338"/>
      <c r="AK175" s="338"/>
      <c r="AL175" s="338"/>
      <c r="AM175" s="338"/>
      <c r="AN175" s="338"/>
      <c r="AO175" s="338"/>
      <c r="AP175" s="338"/>
      <c r="AQ175" s="338"/>
      <c r="AR175" s="338"/>
      <c r="AS175" s="338"/>
      <c r="AT175" s="338"/>
      <c r="AU175" s="338"/>
      <c r="AV175" s="338"/>
      <c r="AW175" s="338"/>
      <c r="AX175" s="338"/>
      <c r="AY175" s="338"/>
      <c r="AZ175" s="338"/>
      <c r="BA175" s="338"/>
      <c r="BB175" s="338"/>
      <c r="BC175" s="338"/>
      <c r="BD175" s="338"/>
      <c r="BE175" s="338"/>
      <c r="BF175" s="338"/>
      <c r="BG175" s="338"/>
      <c r="BH175" s="338"/>
      <c r="BI175" s="338"/>
      <c r="BJ175" s="338"/>
      <c r="BK175" s="338"/>
      <c r="BL175" s="338"/>
      <c r="BM175" s="338"/>
      <c r="BN175" s="338"/>
      <c r="BO175" s="338"/>
      <c r="BP175" s="338"/>
      <c r="BQ175" s="338"/>
      <c r="BR175" s="338"/>
      <c r="BS175" s="338"/>
      <c r="BT175" s="338"/>
      <c r="BU175" s="338"/>
      <c r="BV175" s="338"/>
      <c r="BW175" s="338"/>
      <c r="BX175" s="338"/>
      <c r="BY175" s="338"/>
      <c r="BZ175" s="338"/>
      <c r="CA175" s="338"/>
      <c r="CB175" s="338"/>
      <c r="CC175" s="338"/>
      <c r="CD175" s="338"/>
      <c r="CE175" s="338"/>
      <c r="CF175" s="338"/>
      <c r="CG175" s="338"/>
      <c r="CH175" s="338"/>
      <c r="CI175" s="338"/>
      <c r="CJ175" s="338"/>
      <c r="CK175" s="338"/>
      <c r="CL175" s="338"/>
    </row>
    <row r="176" ht="14.2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40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  <c r="AA176" s="338"/>
      <c r="AB176" s="338"/>
      <c r="AC176" s="338"/>
      <c r="AD176" s="338"/>
      <c r="AE176" s="338"/>
      <c r="AF176" s="338"/>
      <c r="AG176" s="338"/>
      <c r="AH176" s="338"/>
      <c r="AI176" s="338"/>
      <c r="AJ176" s="338"/>
      <c r="AK176" s="338"/>
      <c r="AL176" s="338"/>
      <c r="AM176" s="338"/>
      <c r="AN176" s="338"/>
      <c r="AO176" s="338"/>
      <c r="AP176" s="338"/>
      <c r="AQ176" s="338"/>
      <c r="AR176" s="338"/>
      <c r="AS176" s="338"/>
      <c r="AT176" s="338"/>
      <c r="AU176" s="338"/>
      <c r="AV176" s="338"/>
      <c r="AW176" s="338"/>
      <c r="AX176" s="338"/>
      <c r="AY176" s="338"/>
      <c r="AZ176" s="338"/>
      <c r="BA176" s="338"/>
      <c r="BB176" s="338"/>
      <c r="BC176" s="338"/>
      <c r="BD176" s="338"/>
      <c r="BE176" s="338"/>
      <c r="BF176" s="338"/>
      <c r="BG176" s="338"/>
      <c r="BH176" s="338"/>
      <c r="BI176" s="338"/>
      <c r="BJ176" s="338"/>
      <c r="BK176" s="338"/>
      <c r="BL176" s="338"/>
      <c r="BM176" s="338"/>
      <c r="BN176" s="338"/>
      <c r="BO176" s="338"/>
      <c r="BP176" s="338"/>
      <c r="BQ176" s="338"/>
      <c r="BR176" s="338"/>
      <c r="BS176" s="338"/>
      <c r="BT176" s="338"/>
      <c r="BU176" s="338"/>
      <c r="BV176" s="338"/>
      <c r="BW176" s="338"/>
      <c r="BX176" s="338"/>
      <c r="BY176" s="338"/>
      <c r="BZ176" s="338"/>
      <c r="CA176" s="338"/>
      <c r="CB176" s="338"/>
      <c r="CC176" s="338"/>
      <c r="CD176" s="338"/>
      <c r="CE176" s="338"/>
      <c r="CF176" s="338"/>
      <c r="CG176" s="338"/>
      <c r="CH176" s="338"/>
      <c r="CI176" s="338"/>
      <c r="CJ176" s="338"/>
      <c r="CK176" s="338"/>
      <c r="CL176" s="338"/>
    </row>
    <row r="177" ht="14.2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40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  <c r="AA177" s="338"/>
      <c r="AB177" s="338"/>
      <c r="AC177" s="338"/>
      <c r="AD177" s="338"/>
      <c r="AE177" s="338"/>
      <c r="AF177" s="338"/>
      <c r="AG177" s="338"/>
      <c r="AH177" s="338"/>
      <c r="AI177" s="338"/>
      <c r="AJ177" s="338"/>
      <c r="AK177" s="338"/>
      <c r="AL177" s="338"/>
      <c r="AM177" s="338"/>
      <c r="AN177" s="338"/>
      <c r="AO177" s="338"/>
      <c r="AP177" s="338"/>
      <c r="AQ177" s="338"/>
      <c r="AR177" s="338"/>
      <c r="AS177" s="338"/>
      <c r="AT177" s="338"/>
      <c r="AU177" s="338"/>
      <c r="AV177" s="338"/>
      <c r="AW177" s="338"/>
      <c r="AX177" s="338"/>
      <c r="AY177" s="338"/>
      <c r="AZ177" s="338"/>
      <c r="BA177" s="338"/>
      <c r="BB177" s="338"/>
      <c r="BC177" s="338"/>
      <c r="BD177" s="338"/>
      <c r="BE177" s="338"/>
      <c r="BF177" s="338"/>
      <c r="BG177" s="338"/>
      <c r="BH177" s="338"/>
      <c r="BI177" s="338"/>
      <c r="BJ177" s="338"/>
      <c r="BK177" s="338"/>
      <c r="BL177" s="338"/>
      <c r="BM177" s="338"/>
      <c r="BN177" s="338"/>
      <c r="BO177" s="338"/>
      <c r="BP177" s="338"/>
      <c r="BQ177" s="338"/>
      <c r="BR177" s="338"/>
      <c r="BS177" s="338"/>
      <c r="BT177" s="338"/>
      <c r="BU177" s="338"/>
      <c r="BV177" s="338"/>
      <c r="BW177" s="338"/>
      <c r="BX177" s="338"/>
      <c r="BY177" s="338"/>
      <c r="BZ177" s="338"/>
      <c r="CA177" s="338"/>
      <c r="CB177" s="338"/>
      <c r="CC177" s="338"/>
      <c r="CD177" s="338"/>
      <c r="CE177" s="338"/>
      <c r="CF177" s="338"/>
      <c r="CG177" s="338"/>
      <c r="CH177" s="338"/>
      <c r="CI177" s="338"/>
      <c r="CJ177" s="338"/>
      <c r="CK177" s="338"/>
      <c r="CL177" s="338"/>
    </row>
    <row r="178" ht="14.2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40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  <c r="AC178" s="338"/>
      <c r="AD178" s="338"/>
      <c r="AE178" s="338"/>
      <c r="AF178" s="338"/>
      <c r="AG178" s="338"/>
      <c r="AH178" s="338"/>
      <c r="AI178" s="338"/>
      <c r="AJ178" s="338"/>
      <c r="AK178" s="338"/>
      <c r="AL178" s="338"/>
      <c r="AM178" s="338"/>
      <c r="AN178" s="338"/>
      <c r="AO178" s="338"/>
      <c r="AP178" s="338"/>
      <c r="AQ178" s="338"/>
      <c r="AR178" s="338"/>
      <c r="AS178" s="338"/>
      <c r="AT178" s="338"/>
      <c r="AU178" s="338"/>
      <c r="AV178" s="338"/>
      <c r="AW178" s="338"/>
      <c r="AX178" s="338"/>
      <c r="AY178" s="338"/>
      <c r="AZ178" s="338"/>
      <c r="BA178" s="338"/>
      <c r="BB178" s="338"/>
      <c r="BC178" s="338"/>
      <c r="BD178" s="338"/>
      <c r="BE178" s="338"/>
      <c r="BF178" s="338"/>
      <c r="BG178" s="338"/>
      <c r="BH178" s="338"/>
      <c r="BI178" s="338"/>
      <c r="BJ178" s="338"/>
      <c r="BK178" s="338"/>
      <c r="BL178" s="338"/>
      <c r="BM178" s="338"/>
      <c r="BN178" s="338"/>
      <c r="BO178" s="338"/>
      <c r="BP178" s="338"/>
      <c r="BQ178" s="338"/>
      <c r="BR178" s="338"/>
      <c r="BS178" s="338"/>
      <c r="BT178" s="338"/>
      <c r="BU178" s="338"/>
      <c r="BV178" s="338"/>
      <c r="BW178" s="338"/>
      <c r="BX178" s="338"/>
      <c r="BY178" s="338"/>
      <c r="BZ178" s="338"/>
      <c r="CA178" s="338"/>
      <c r="CB178" s="338"/>
      <c r="CC178" s="338"/>
      <c r="CD178" s="338"/>
      <c r="CE178" s="338"/>
      <c r="CF178" s="338"/>
      <c r="CG178" s="338"/>
      <c r="CH178" s="338"/>
      <c r="CI178" s="338"/>
      <c r="CJ178" s="338"/>
      <c r="CK178" s="338"/>
      <c r="CL178" s="338"/>
    </row>
    <row r="179" ht="14.2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40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8"/>
      <c r="AH179" s="338"/>
      <c r="AI179" s="338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8"/>
      <c r="AU179" s="338"/>
      <c r="AV179" s="338"/>
      <c r="AW179" s="338"/>
      <c r="AX179" s="338"/>
      <c r="AY179" s="338"/>
      <c r="AZ179" s="338"/>
      <c r="BA179" s="338"/>
      <c r="BB179" s="338"/>
      <c r="BC179" s="338"/>
      <c r="BD179" s="338"/>
      <c r="BE179" s="338"/>
      <c r="BF179" s="338"/>
      <c r="BG179" s="338"/>
      <c r="BH179" s="338"/>
      <c r="BI179" s="338"/>
      <c r="BJ179" s="338"/>
      <c r="BK179" s="338"/>
      <c r="BL179" s="338"/>
      <c r="BM179" s="338"/>
      <c r="BN179" s="338"/>
      <c r="BO179" s="338"/>
      <c r="BP179" s="338"/>
      <c r="BQ179" s="338"/>
      <c r="BR179" s="338"/>
      <c r="BS179" s="338"/>
      <c r="BT179" s="338"/>
      <c r="BU179" s="338"/>
      <c r="BV179" s="338"/>
      <c r="BW179" s="338"/>
      <c r="BX179" s="338"/>
      <c r="BY179" s="338"/>
      <c r="BZ179" s="338"/>
      <c r="CA179" s="338"/>
      <c r="CB179" s="338"/>
      <c r="CC179" s="338"/>
      <c r="CD179" s="338"/>
      <c r="CE179" s="338"/>
      <c r="CF179" s="338"/>
      <c r="CG179" s="338"/>
      <c r="CH179" s="338"/>
      <c r="CI179" s="338"/>
      <c r="CJ179" s="338"/>
      <c r="CK179" s="338"/>
      <c r="CL179" s="338"/>
    </row>
    <row r="180" ht="14.2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40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  <c r="AC180" s="338"/>
      <c r="AD180" s="338"/>
      <c r="AE180" s="338"/>
      <c r="AF180" s="338"/>
      <c r="AG180" s="338"/>
      <c r="AH180" s="338"/>
      <c r="AI180" s="338"/>
      <c r="AJ180" s="338"/>
      <c r="AK180" s="338"/>
      <c r="AL180" s="338"/>
      <c r="AM180" s="338"/>
      <c r="AN180" s="338"/>
      <c r="AO180" s="338"/>
      <c r="AP180" s="338"/>
      <c r="AQ180" s="338"/>
      <c r="AR180" s="338"/>
      <c r="AS180" s="338"/>
      <c r="AT180" s="338"/>
      <c r="AU180" s="338"/>
      <c r="AV180" s="338"/>
      <c r="AW180" s="338"/>
      <c r="AX180" s="338"/>
      <c r="AY180" s="338"/>
      <c r="AZ180" s="338"/>
      <c r="BA180" s="338"/>
      <c r="BB180" s="338"/>
      <c r="BC180" s="338"/>
      <c r="BD180" s="338"/>
      <c r="BE180" s="338"/>
      <c r="BF180" s="338"/>
      <c r="BG180" s="338"/>
      <c r="BH180" s="338"/>
      <c r="BI180" s="338"/>
      <c r="BJ180" s="338"/>
      <c r="BK180" s="338"/>
      <c r="BL180" s="338"/>
      <c r="BM180" s="338"/>
      <c r="BN180" s="338"/>
      <c r="BO180" s="338"/>
      <c r="BP180" s="338"/>
      <c r="BQ180" s="338"/>
      <c r="BR180" s="338"/>
      <c r="BS180" s="338"/>
      <c r="BT180" s="338"/>
      <c r="BU180" s="338"/>
      <c r="BV180" s="338"/>
      <c r="BW180" s="338"/>
      <c r="BX180" s="338"/>
      <c r="BY180" s="338"/>
      <c r="BZ180" s="338"/>
      <c r="CA180" s="338"/>
      <c r="CB180" s="338"/>
      <c r="CC180" s="338"/>
      <c r="CD180" s="338"/>
      <c r="CE180" s="338"/>
      <c r="CF180" s="338"/>
      <c r="CG180" s="338"/>
      <c r="CH180" s="338"/>
      <c r="CI180" s="338"/>
      <c r="CJ180" s="338"/>
      <c r="CK180" s="338"/>
      <c r="CL180" s="338"/>
    </row>
    <row r="181" ht="14.2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40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338"/>
      <c r="AJ181" s="338"/>
      <c r="AK181" s="338"/>
      <c r="AL181" s="338"/>
      <c r="AM181" s="338"/>
      <c r="AN181" s="338"/>
      <c r="AO181" s="338"/>
      <c r="AP181" s="338"/>
      <c r="AQ181" s="338"/>
      <c r="AR181" s="338"/>
      <c r="AS181" s="338"/>
      <c r="AT181" s="338"/>
      <c r="AU181" s="338"/>
      <c r="AV181" s="338"/>
      <c r="AW181" s="338"/>
      <c r="AX181" s="338"/>
      <c r="AY181" s="338"/>
      <c r="AZ181" s="338"/>
      <c r="BA181" s="338"/>
      <c r="BB181" s="338"/>
      <c r="BC181" s="338"/>
      <c r="BD181" s="338"/>
      <c r="BE181" s="338"/>
      <c r="BF181" s="338"/>
      <c r="BG181" s="338"/>
      <c r="BH181" s="338"/>
      <c r="BI181" s="338"/>
      <c r="BJ181" s="338"/>
      <c r="BK181" s="338"/>
      <c r="BL181" s="338"/>
      <c r="BM181" s="338"/>
      <c r="BN181" s="338"/>
      <c r="BO181" s="338"/>
      <c r="BP181" s="338"/>
      <c r="BQ181" s="338"/>
      <c r="BR181" s="338"/>
      <c r="BS181" s="338"/>
      <c r="BT181" s="338"/>
      <c r="BU181" s="338"/>
      <c r="BV181" s="338"/>
      <c r="BW181" s="338"/>
      <c r="BX181" s="338"/>
      <c r="BY181" s="338"/>
      <c r="BZ181" s="338"/>
      <c r="CA181" s="338"/>
      <c r="CB181" s="338"/>
      <c r="CC181" s="338"/>
      <c r="CD181" s="338"/>
      <c r="CE181" s="338"/>
      <c r="CF181" s="338"/>
      <c r="CG181" s="338"/>
      <c r="CH181" s="338"/>
      <c r="CI181" s="338"/>
      <c r="CJ181" s="338"/>
      <c r="CK181" s="338"/>
      <c r="CL181" s="338"/>
    </row>
    <row r="182" ht="14.2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40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  <c r="AC182" s="338"/>
      <c r="AD182" s="338"/>
      <c r="AE182" s="338"/>
      <c r="AF182" s="338"/>
      <c r="AG182" s="338"/>
      <c r="AH182" s="338"/>
      <c r="AI182" s="338"/>
      <c r="AJ182" s="338"/>
      <c r="AK182" s="338"/>
      <c r="AL182" s="338"/>
      <c r="AM182" s="338"/>
      <c r="AN182" s="338"/>
      <c r="AO182" s="338"/>
      <c r="AP182" s="338"/>
      <c r="AQ182" s="338"/>
      <c r="AR182" s="338"/>
      <c r="AS182" s="338"/>
      <c r="AT182" s="338"/>
      <c r="AU182" s="338"/>
      <c r="AV182" s="338"/>
      <c r="AW182" s="338"/>
      <c r="AX182" s="338"/>
      <c r="AY182" s="338"/>
      <c r="AZ182" s="338"/>
      <c r="BA182" s="338"/>
      <c r="BB182" s="338"/>
      <c r="BC182" s="338"/>
      <c r="BD182" s="338"/>
      <c r="BE182" s="338"/>
      <c r="BF182" s="338"/>
      <c r="BG182" s="338"/>
      <c r="BH182" s="338"/>
      <c r="BI182" s="338"/>
      <c r="BJ182" s="338"/>
      <c r="BK182" s="338"/>
      <c r="BL182" s="338"/>
      <c r="BM182" s="338"/>
      <c r="BN182" s="338"/>
      <c r="BO182" s="338"/>
      <c r="BP182" s="338"/>
      <c r="BQ182" s="338"/>
      <c r="BR182" s="338"/>
      <c r="BS182" s="338"/>
      <c r="BT182" s="338"/>
      <c r="BU182" s="338"/>
      <c r="BV182" s="338"/>
      <c r="BW182" s="338"/>
      <c r="BX182" s="338"/>
      <c r="BY182" s="338"/>
      <c r="BZ182" s="338"/>
      <c r="CA182" s="338"/>
      <c r="CB182" s="338"/>
      <c r="CC182" s="338"/>
      <c r="CD182" s="338"/>
      <c r="CE182" s="338"/>
      <c r="CF182" s="338"/>
      <c r="CG182" s="338"/>
      <c r="CH182" s="338"/>
      <c r="CI182" s="338"/>
      <c r="CJ182" s="338"/>
      <c r="CK182" s="338"/>
      <c r="CL182" s="338"/>
    </row>
    <row r="183" ht="14.2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40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  <c r="AC183" s="338"/>
      <c r="AD183" s="338"/>
      <c r="AE183" s="338"/>
      <c r="AF183" s="338"/>
      <c r="AG183" s="338"/>
      <c r="AH183" s="338"/>
      <c r="AI183" s="338"/>
      <c r="AJ183" s="338"/>
      <c r="AK183" s="338"/>
      <c r="AL183" s="338"/>
      <c r="AM183" s="338"/>
      <c r="AN183" s="338"/>
      <c r="AO183" s="338"/>
      <c r="AP183" s="338"/>
      <c r="AQ183" s="338"/>
      <c r="AR183" s="338"/>
      <c r="AS183" s="338"/>
      <c r="AT183" s="338"/>
      <c r="AU183" s="338"/>
      <c r="AV183" s="338"/>
      <c r="AW183" s="338"/>
      <c r="AX183" s="338"/>
      <c r="AY183" s="338"/>
      <c r="AZ183" s="338"/>
      <c r="BA183" s="338"/>
      <c r="BB183" s="338"/>
      <c r="BC183" s="338"/>
      <c r="BD183" s="338"/>
      <c r="BE183" s="338"/>
      <c r="BF183" s="338"/>
      <c r="BG183" s="338"/>
      <c r="BH183" s="338"/>
      <c r="BI183" s="338"/>
      <c r="BJ183" s="338"/>
      <c r="BK183" s="338"/>
      <c r="BL183" s="338"/>
      <c r="BM183" s="338"/>
      <c r="BN183" s="338"/>
      <c r="BO183" s="338"/>
      <c r="BP183" s="338"/>
      <c r="BQ183" s="338"/>
      <c r="BR183" s="338"/>
      <c r="BS183" s="338"/>
      <c r="BT183" s="338"/>
      <c r="BU183" s="338"/>
      <c r="BV183" s="338"/>
      <c r="BW183" s="338"/>
      <c r="BX183" s="338"/>
      <c r="BY183" s="338"/>
      <c r="BZ183" s="338"/>
      <c r="CA183" s="338"/>
      <c r="CB183" s="338"/>
      <c r="CC183" s="338"/>
      <c r="CD183" s="338"/>
      <c r="CE183" s="338"/>
      <c r="CF183" s="338"/>
      <c r="CG183" s="338"/>
      <c r="CH183" s="338"/>
      <c r="CI183" s="338"/>
      <c r="CJ183" s="338"/>
      <c r="CK183" s="338"/>
      <c r="CL183" s="338"/>
    </row>
    <row r="184" ht="14.2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40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  <c r="AC184" s="338"/>
      <c r="AD184" s="338"/>
      <c r="AE184" s="338"/>
      <c r="AF184" s="338"/>
      <c r="AG184" s="338"/>
      <c r="AH184" s="338"/>
      <c r="AI184" s="338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8"/>
      <c r="AU184" s="338"/>
      <c r="AV184" s="338"/>
      <c r="AW184" s="338"/>
      <c r="AX184" s="338"/>
      <c r="AY184" s="338"/>
      <c r="AZ184" s="338"/>
      <c r="BA184" s="338"/>
      <c r="BB184" s="338"/>
      <c r="BC184" s="338"/>
      <c r="BD184" s="338"/>
      <c r="BE184" s="338"/>
      <c r="BF184" s="338"/>
      <c r="BG184" s="338"/>
      <c r="BH184" s="338"/>
      <c r="BI184" s="338"/>
      <c r="BJ184" s="338"/>
      <c r="BK184" s="338"/>
      <c r="BL184" s="338"/>
      <c r="BM184" s="338"/>
      <c r="BN184" s="338"/>
      <c r="BO184" s="338"/>
      <c r="BP184" s="338"/>
      <c r="BQ184" s="338"/>
      <c r="BR184" s="338"/>
      <c r="BS184" s="338"/>
      <c r="BT184" s="338"/>
      <c r="BU184" s="338"/>
      <c r="BV184" s="338"/>
      <c r="BW184" s="338"/>
      <c r="BX184" s="338"/>
      <c r="BY184" s="338"/>
      <c r="BZ184" s="338"/>
      <c r="CA184" s="338"/>
      <c r="CB184" s="338"/>
      <c r="CC184" s="338"/>
      <c r="CD184" s="338"/>
      <c r="CE184" s="338"/>
      <c r="CF184" s="338"/>
      <c r="CG184" s="338"/>
      <c r="CH184" s="338"/>
      <c r="CI184" s="338"/>
      <c r="CJ184" s="338"/>
      <c r="CK184" s="338"/>
      <c r="CL184" s="338"/>
    </row>
    <row r="185" ht="14.2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40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  <c r="AC185" s="338"/>
      <c r="AD185" s="338"/>
      <c r="AE185" s="338"/>
      <c r="AF185" s="338"/>
      <c r="AG185" s="338"/>
      <c r="AH185" s="338"/>
      <c r="AI185" s="338"/>
      <c r="AJ185" s="338"/>
      <c r="AK185" s="338"/>
      <c r="AL185" s="338"/>
      <c r="AM185" s="338"/>
      <c r="AN185" s="338"/>
      <c r="AO185" s="338"/>
      <c r="AP185" s="338"/>
      <c r="AQ185" s="338"/>
      <c r="AR185" s="338"/>
      <c r="AS185" s="338"/>
      <c r="AT185" s="338"/>
      <c r="AU185" s="338"/>
      <c r="AV185" s="338"/>
      <c r="AW185" s="338"/>
      <c r="AX185" s="338"/>
      <c r="AY185" s="338"/>
      <c r="AZ185" s="338"/>
      <c r="BA185" s="338"/>
      <c r="BB185" s="338"/>
      <c r="BC185" s="338"/>
      <c r="BD185" s="338"/>
      <c r="BE185" s="338"/>
      <c r="BF185" s="338"/>
      <c r="BG185" s="338"/>
      <c r="BH185" s="338"/>
      <c r="BI185" s="338"/>
      <c r="BJ185" s="338"/>
      <c r="BK185" s="338"/>
      <c r="BL185" s="338"/>
      <c r="BM185" s="338"/>
      <c r="BN185" s="338"/>
      <c r="BO185" s="338"/>
      <c r="BP185" s="338"/>
      <c r="BQ185" s="338"/>
      <c r="BR185" s="338"/>
      <c r="BS185" s="338"/>
      <c r="BT185" s="338"/>
      <c r="BU185" s="338"/>
      <c r="BV185" s="338"/>
      <c r="BW185" s="338"/>
      <c r="BX185" s="338"/>
      <c r="BY185" s="338"/>
      <c r="BZ185" s="338"/>
      <c r="CA185" s="338"/>
      <c r="CB185" s="338"/>
      <c r="CC185" s="338"/>
      <c r="CD185" s="338"/>
      <c r="CE185" s="338"/>
      <c r="CF185" s="338"/>
      <c r="CG185" s="338"/>
      <c r="CH185" s="338"/>
      <c r="CI185" s="338"/>
      <c r="CJ185" s="338"/>
      <c r="CK185" s="338"/>
      <c r="CL185" s="338"/>
    </row>
    <row r="186" ht="14.2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40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8"/>
      <c r="AH186" s="338"/>
      <c r="AI186" s="338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  <c r="AV186" s="338"/>
      <c r="AW186" s="338"/>
      <c r="AX186" s="338"/>
      <c r="AY186" s="338"/>
      <c r="AZ186" s="338"/>
      <c r="BA186" s="338"/>
      <c r="BB186" s="338"/>
      <c r="BC186" s="338"/>
      <c r="BD186" s="338"/>
      <c r="BE186" s="338"/>
      <c r="BF186" s="338"/>
      <c r="BG186" s="338"/>
      <c r="BH186" s="338"/>
      <c r="BI186" s="338"/>
      <c r="BJ186" s="338"/>
      <c r="BK186" s="338"/>
      <c r="BL186" s="338"/>
      <c r="BM186" s="338"/>
      <c r="BN186" s="338"/>
      <c r="BO186" s="338"/>
      <c r="BP186" s="338"/>
      <c r="BQ186" s="338"/>
      <c r="BR186" s="338"/>
      <c r="BS186" s="338"/>
      <c r="BT186" s="338"/>
      <c r="BU186" s="338"/>
      <c r="BV186" s="338"/>
      <c r="BW186" s="338"/>
      <c r="BX186" s="338"/>
      <c r="BY186" s="338"/>
      <c r="BZ186" s="338"/>
      <c r="CA186" s="338"/>
      <c r="CB186" s="338"/>
      <c r="CC186" s="338"/>
      <c r="CD186" s="338"/>
      <c r="CE186" s="338"/>
      <c r="CF186" s="338"/>
      <c r="CG186" s="338"/>
      <c r="CH186" s="338"/>
      <c r="CI186" s="338"/>
      <c r="CJ186" s="338"/>
      <c r="CK186" s="338"/>
      <c r="CL186" s="338"/>
    </row>
    <row r="187" ht="14.2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40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  <c r="AC187" s="338"/>
      <c r="AD187" s="338"/>
      <c r="AE187" s="338"/>
      <c r="AF187" s="338"/>
      <c r="AG187" s="338"/>
      <c r="AH187" s="338"/>
      <c r="AI187" s="338"/>
      <c r="AJ187" s="338"/>
      <c r="AK187" s="338"/>
      <c r="AL187" s="338"/>
      <c r="AM187" s="338"/>
      <c r="AN187" s="338"/>
      <c r="AO187" s="338"/>
      <c r="AP187" s="338"/>
      <c r="AQ187" s="338"/>
      <c r="AR187" s="338"/>
      <c r="AS187" s="338"/>
      <c r="AT187" s="338"/>
      <c r="AU187" s="338"/>
      <c r="AV187" s="338"/>
      <c r="AW187" s="338"/>
      <c r="AX187" s="338"/>
      <c r="AY187" s="338"/>
      <c r="AZ187" s="338"/>
      <c r="BA187" s="338"/>
      <c r="BB187" s="338"/>
      <c r="BC187" s="338"/>
      <c r="BD187" s="338"/>
      <c r="BE187" s="338"/>
      <c r="BF187" s="338"/>
      <c r="BG187" s="338"/>
      <c r="BH187" s="338"/>
      <c r="BI187" s="338"/>
      <c r="BJ187" s="338"/>
      <c r="BK187" s="338"/>
      <c r="BL187" s="338"/>
      <c r="BM187" s="338"/>
      <c r="BN187" s="338"/>
      <c r="BO187" s="338"/>
      <c r="BP187" s="338"/>
      <c r="BQ187" s="338"/>
      <c r="BR187" s="338"/>
      <c r="BS187" s="338"/>
      <c r="BT187" s="338"/>
      <c r="BU187" s="338"/>
      <c r="BV187" s="338"/>
      <c r="BW187" s="338"/>
      <c r="BX187" s="338"/>
      <c r="BY187" s="338"/>
      <c r="BZ187" s="338"/>
      <c r="CA187" s="338"/>
      <c r="CB187" s="338"/>
      <c r="CC187" s="338"/>
      <c r="CD187" s="338"/>
      <c r="CE187" s="338"/>
      <c r="CF187" s="338"/>
      <c r="CG187" s="338"/>
      <c r="CH187" s="338"/>
      <c r="CI187" s="338"/>
      <c r="CJ187" s="338"/>
      <c r="CK187" s="338"/>
      <c r="CL187" s="338"/>
    </row>
    <row r="188" ht="14.2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40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  <c r="AC188" s="338"/>
      <c r="AD188" s="338"/>
      <c r="AE188" s="338"/>
      <c r="AF188" s="338"/>
      <c r="AG188" s="338"/>
      <c r="AH188" s="338"/>
      <c r="AI188" s="338"/>
      <c r="AJ188" s="338"/>
      <c r="AK188" s="338"/>
      <c r="AL188" s="338"/>
      <c r="AM188" s="338"/>
      <c r="AN188" s="338"/>
      <c r="AO188" s="338"/>
      <c r="AP188" s="338"/>
      <c r="AQ188" s="338"/>
      <c r="AR188" s="338"/>
      <c r="AS188" s="338"/>
      <c r="AT188" s="338"/>
      <c r="AU188" s="338"/>
      <c r="AV188" s="338"/>
      <c r="AW188" s="338"/>
      <c r="AX188" s="338"/>
      <c r="AY188" s="338"/>
      <c r="AZ188" s="338"/>
      <c r="BA188" s="338"/>
      <c r="BB188" s="338"/>
      <c r="BC188" s="338"/>
      <c r="BD188" s="338"/>
      <c r="BE188" s="338"/>
      <c r="BF188" s="338"/>
      <c r="BG188" s="338"/>
      <c r="BH188" s="338"/>
      <c r="BI188" s="338"/>
      <c r="BJ188" s="338"/>
      <c r="BK188" s="338"/>
      <c r="BL188" s="338"/>
      <c r="BM188" s="338"/>
      <c r="BN188" s="338"/>
      <c r="BO188" s="338"/>
      <c r="BP188" s="338"/>
      <c r="BQ188" s="338"/>
      <c r="BR188" s="338"/>
      <c r="BS188" s="338"/>
      <c r="BT188" s="338"/>
      <c r="BU188" s="338"/>
      <c r="BV188" s="338"/>
      <c r="BW188" s="338"/>
      <c r="BX188" s="338"/>
      <c r="BY188" s="338"/>
      <c r="BZ188" s="338"/>
      <c r="CA188" s="338"/>
      <c r="CB188" s="338"/>
      <c r="CC188" s="338"/>
      <c r="CD188" s="338"/>
      <c r="CE188" s="338"/>
      <c r="CF188" s="338"/>
      <c r="CG188" s="338"/>
      <c r="CH188" s="338"/>
      <c r="CI188" s="338"/>
      <c r="CJ188" s="338"/>
      <c r="CK188" s="338"/>
      <c r="CL188" s="338"/>
    </row>
    <row r="189" ht="14.2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40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  <c r="AC189" s="338"/>
      <c r="AD189" s="338"/>
      <c r="AE189" s="338"/>
      <c r="AF189" s="338"/>
      <c r="AG189" s="338"/>
      <c r="AH189" s="338"/>
      <c r="AI189" s="338"/>
      <c r="AJ189" s="338"/>
      <c r="AK189" s="338"/>
      <c r="AL189" s="338"/>
      <c r="AM189" s="338"/>
      <c r="AN189" s="338"/>
      <c r="AO189" s="338"/>
      <c r="AP189" s="338"/>
      <c r="AQ189" s="338"/>
      <c r="AR189" s="338"/>
      <c r="AS189" s="338"/>
      <c r="AT189" s="338"/>
      <c r="AU189" s="338"/>
      <c r="AV189" s="338"/>
      <c r="AW189" s="338"/>
      <c r="AX189" s="338"/>
      <c r="AY189" s="338"/>
      <c r="AZ189" s="338"/>
      <c r="BA189" s="338"/>
      <c r="BB189" s="338"/>
      <c r="BC189" s="338"/>
      <c r="BD189" s="338"/>
      <c r="BE189" s="338"/>
      <c r="BF189" s="338"/>
      <c r="BG189" s="338"/>
      <c r="BH189" s="338"/>
      <c r="BI189" s="338"/>
      <c r="BJ189" s="338"/>
      <c r="BK189" s="338"/>
      <c r="BL189" s="338"/>
      <c r="BM189" s="338"/>
      <c r="BN189" s="338"/>
      <c r="BO189" s="338"/>
      <c r="BP189" s="338"/>
      <c r="BQ189" s="338"/>
      <c r="BR189" s="338"/>
      <c r="BS189" s="338"/>
      <c r="BT189" s="338"/>
      <c r="BU189" s="338"/>
      <c r="BV189" s="338"/>
      <c r="BW189" s="338"/>
      <c r="BX189" s="338"/>
      <c r="BY189" s="338"/>
      <c r="BZ189" s="338"/>
      <c r="CA189" s="338"/>
      <c r="CB189" s="338"/>
      <c r="CC189" s="338"/>
      <c r="CD189" s="338"/>
      <c r="CE189" s="338"/>
      <c r="CF189" s="338"/>
      <c r="CG189" s="338"/>
      <c r="CH189" s="338"/>
      <c r="CI189" s="338"/>
      <c r="CJ189" s="338"/>
      <c r="CK189" s="338"/>
      <c r="CL189" s="338"/>
    </row>
    <row r="190" ht="14.2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40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  <c r="AC190" s="338"/>
      <c r="AD190" s="338"/>
      <c r="AE190" s="338"/>
      <c r="AF190" s="338"/>
      <c r="AG190" s="338"/>
      <c r="AH190" s="338"/>
      <c r="AI190" s="338"/>
      <c r="AJ190" s="338"/>
      <c r="AK190" s="338"/>
      <c r="AL190" s="338"/>
      <c r="AM190" s="338"/>
      <c r="AN190" s="338"/>
      <c r="AO190" s="338"/>
      <c r="AP190" s="338"/>
      <c r="AQ190" s="338"/>
      <c r="AR190" s="338"/>
      <c r="AS190" s="338"/>
      <c r="AT190" s="338"/>
      <c r="AU190" s="338"/>
      <c r="AV190" s="338"/>
      <c r="AW190" s="338"/>
      <c r="AX190" s="338"/>
      <c r="AY190" s="338"/>
      <c r="AZ190" s="338"/>
      <c r="BA190" s="338"/>
      <c r="BB190" s="338"/>
      <c r="BC190" s="338"/>
      <c r="BD190" s="338"/>
      <c r="BE190" s="338"/>
      <c r="BF190" s="338"/>
      <c r="BG190" s="338"/>
      <c r="BH190" s="338"/>
      <c r="BI190" s="338"/>
      <c r="BJ190" s="338"/>
      <c r="BK190" s="338"/>
      <c r="BL190" s="338"/>
      <c r="BM190" s="338"/>
      <c r="BN190" s="338"/>
      <c r="BO190" s="338"/>
      <c r="BP190" s="338"/>
      <c r="BQ190" s="338"/>
      <c r="BR190" s="338"/>
      <c r="BS190" s="338"/>
      <c r="BT190" s="338"/>
      <c r="BU190" s="338"/>
      <c r="BV190" s="338"/>
      <c r="BW190" s="338"/>
      <c r="BX190" s="338"/>
      <c r="BY190" s="338"/>
      <c r="BZ190" s="338"/>
      <c r="CA190" s="338"/>
      <c r="CB190" s="338"/>
      <c r="CC190" s="338"/>
      <c r="CD190" s="338"/>
      <c r="CE190" s="338"/>
      <c r="CF190" s="338"/>
      <c r="CG190" s="338"/>
      <c r="CH190" s="338"/>
      <c r="CI190" s="338"/>
      <c r="CJ190" s="338"/>
      <c r="CK190" s="338"/>
      <c r="CL190" s="338"/>
    </row>
    <row r="191" ht="14.2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40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  <c r="AC191" s="338"/>
      <c r="AD191" s="338"/>
      <c r="AE191" s="338"/>
      <c r="AF191" s="338"/>
      <c r="AG191" s="338"/>
      <c r="AH191" s="338"/>
      <c r="AI191" s="338"/>
      <c r="AJ191" s="338"/>
      <c r="AK191" s="338"/>
      <c r="AL191" s="338"/>
      <c r="AM191" s="338"/>
      <c r="AN191" s="338"/>
      <c r="AO191" s="338"/>
      <c r="AP191" s="338"/>
      <c r="AQ191" s="338"/>
      <c r="AR191" s="338"/>
      <c r="AS191" s="338"/>
      <c r="AT191" s="338"/>
      <c r="AU191" s="338"/>
      <c r="AV191" s="338"/>
      <c r="AW191" s="338"/>
      <c r="AX191" s="338"/>
      <c r="AY191" s="338"/>
      <c r="AZ191" s="338"/>
      <c r="BA191" s="338"/>
      <c r="BB191" s="338"/>
      <c r="BC191" s="338"/>
      <c r="BD191" s="338"/>
      <c r="BE191" s="338"/>
      <c r="BF191" s="338"/>
      <c r="BG191" s="338"/>
      <c r="BH191" s="338"/>
      <c r="BI191" s="338"/>
      <c r="BJ191" s="338"/>
      <c r="BK191" s="338"/>
      <c r="BL191" s="338"/>
      <c r="BM191" s="338"/>
      <c r="BN191" s="338"/>
      <c r="BO191" s="338"/>
      <c r="BP191" s="338"/>
      <c r="BQ191" s="338"/>
      <c r="BR191" s="338"/>
      <c r="BS191" s="338"/>
      <c r="BT191" s="338"/>
      <c r="BU191" s="338"/>
      <c r="BV191" s="338"/>
      <c r="BW191" s="338"/>
      <c r="BX191" s="338"/>
      <c r="BY191" s="338"/>
      <c r="BZ191" s="338"/>
      <c r="CA191" s="338"/>
      <c r="CB191" s="338"/>
      <c r="CC191" s="338"/>
      <c r="CD191" s="338"/>
      <c r="CE191" s="338"/>
      <c r="CF191" s="338"/>
      <c r="CG191" s="338"/>
      <c r="CH191" s="338"/>
      <c r="CI191" s="338"/>
      <c r="CJ191" s="338"/>
      <c r="CK191" s="338"/>
      <c r="CL191" s="338"/>
    </row>
    <row r="192" ht="14.2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40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  <c r="AC192" s="338"/>
      <c r="AD192" s="338"/>
      <c r="AE192" s="338"/>
      <c r="AF192" s="338"/>
      <c r="AG192" s="338"/>
      <c r="AH192" s="338"/>
      <c r="AI192" s="338"/>
      <c r="AJ192" s="338"/>
      <c r="AK192" s="338"/>
      <c r="AL192" s="338"/>
      <c r="AM192" s="338"/>
      <c r="AN192" s="338"/>
      <c r="AO192" s="338"/>
      <c r="AP192" s="338"/>
      <c r="AQ192" s="338"/>
      <c r="AR192" s="338"/>
      <c r="AS192" s="338"/>
      <c r="AT192" s="338"/>
      <c r="AU192" s="338"/>
      <c r="AV192" s="338"/>
      <c r="AW192" s="338"/>
      <c r="AX192" s="338"/>
      <c r="AY192" s="338"/>
      <c r="AZ192" s="338"/>
      <c r="BA192" s="338"/>
      <c r="BB192" s="338"/>
      <c r="BC192" s="338"/>
      <c r="BD192" s="338"/>
      <c r="BE192" s="338"/>
      <c r="BF192" s="338"/>
      <c r="BG192" s="338"/>
      <c r="BH192" s="338"/>
      <c r="BI192" s="338"/>
      <c r="BJ192" s="338"/>
      <c r="BK192" s="338"/>
      <c r="BL192" s="338"/>
      <c r="BM192" s="338"/>
      <c r="BN192" s="338"/>
      <c r="BO192" s="338"/>
      <c r="BP192" s="338"/>
      <c r="BQ192" s="338"/>
      <c r="BR192" s="338"/>
      <c r="BS192" s="338"/>
      <c r="BT192" s="338"/>
      <c r="BU192" s="338"/>
      <c r="BV192" s="338"/>
      <c r="BW192" s="338"/>
      <c r="BX192" s="338"/>
      <c r="BY192" s="338"/>
      <c r="BZ192" s="338"/>
      <c r="CA192" s="338"/>
      <c r="CB192" s="338"/>
      <c r="CC192" s="338"/>
      <c r="CD192" s="338"/>
      <c r="CE192" s="338"/>
      <c r="CF192" s="338"/>
      <c r="CG192" s="338"/>
      <c r="CH192" s="338"/>
      <c r="CI192" s="338"/>
      <c r="CJ192" s="338"/>
      <c r="CK192" s="338"/>
      <c r="CL192" s="338"/>
    </row>
    <row r="193" ht="14.2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40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  <c r="AC193" s="338"/>
      <c r="AD193" s="338"/>
      <c r="AE193" s="338"/>
      <c r="AF193" s="338"/>
      <c r="AG193" s="338"/>
      <c r="AH193" s="338"/>
      <c r="AI193" s="338"/>
      <c r="AJ193" s="338"/>
      <c r="AK193" s="338"/>
      <c r="AL193" s="338"/>
      <c r="AM193" s="338"/>
      <c r="AN193" s="338"/>
      <c r="AO193" s="338"/>
      <c r="AP193" s="338"/>
      <c r="AQ193" s="338"/>
      <c r="AR193" s="338"/>
      <c r="AS193" s="338"/>
      <c r="AT193" s="338"/>
      <c r="AU193" s="338"/>
      <c r="AV193" s="338"/>
      <c r="AW193" s="338"/>
      <c r="AX193" s="338"/>
      <c r="AY193" s="338"/>
      <c r="AZ193" s="338"/>
      <c r="BA193" s="338"/>
      <c r="BB193" s="338"/>
      <c r="BC193" s="338"/>
      <c r="BD193" s="338"/>
      <c r="BE193" s="338"/>
      <c r="BF193" s="338"/>
      <c r="BG193" s="338"/>
      <c r="BH193" s="338"/>
      <c r="BI193" s="338"/>
      <c r="BJ193" s="338"/>
      <c r="BK193" s="338"/>
      <c r="BL193" s="338"/>
      <c r="BM193" s="338"/>
      <c r="BN193" s="338"/>
      <c r="BO193" s="338"/>
      <c r="BP193" s="338"/>
      <c r="BQ193" s="338"/>
      <c r="BR193" s="338"/>
      <c r="BS193" s="338"/>
      <c r="BT193" s="338"/>
      <c r="BU193" s="338"/>
      <c r="BV193" s="338"/>
      <c r="BW193" s="338"/>
      <c r="BX193" s="338"/>
      <c r="BY193" s="338"/>
      <c r="BZ193" s="338"/>
      <c r="CA193" s="338"/>
      <c r="CB193" s="338"/>
      <c r="CC193" s="338"/>
      <c r="CD193" s="338"/>
      <c r="CE193" s="338"/>
      <c r="CF193" s="338"/>
      <c r="CG193" s="338"/>
      <c r="CH193" s="338"/>
      <c r="CI193" s="338"/>
      <c r="CJ193" s="338"/>
      <c r="CK193" s="338"/>
      <c r="CL193" s="338"/>
    </row>
    <row r="194" ht="14.2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40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  <c r="AC194" s="338"/>
      <c r="AD194" s="338"/>
      <c r="AE194" s="338"/>
      <c r="AF194" s="338"/>
      <c r="AG194" s="338"/>
      <c r="AH194" s="338"/>
      <c r="AI194" s="338"/>
      <c r="AJ194" s="338"/>
      <c r="AK194" s="338"/>
      <c r="AL194" s="338"/>
      <c r="AM194" s="338"/>
      <c r="AN194" s="338"/>
      <c r="AO194" s="338"/>
      <c r="AP194" s="338"/>
      <c r="AQ194" s="338"/>
      <c r="AR194" s="338"/>
      <c r="AS194" s="338"/>
      <c r="AT194" s="338"/>
      <c r="AU194" s="338"/>
      <c r="AV194" s="338"/>
      <c r="AW194" s="338"/>
      <c r="AX194" s="338"/>
      <c r="AY194" s="338"/>
      <c r="AZ194" s="338"/>
      <c r="BA194" s="338"/>
      <c r="BB194" s="338"/>
      <c r="BC194" s="338"/>
      <c r="BD194" s="338"/>
      <c r="BE194" s="338"/>
      <c r="BF194" s="338"/>
      <c r="BG194" s="338"/>
      <c r="BH194" s="338"/>
      <c r="BI194" s="338"/>
      <c r="BJ194" s="338"/>
      <c r="BK194" s="338"/>
      <c r="BL194" s="338"/>
      <c r="BM194" s="338"/>
      <c r="BN194" s="338"/>
      <c r="BO194" s="338"/>
      <c r="BP194" s="338"/>
      <c r="BQ194" s="338"/>
      <c r="BR194" s="338"/>
      <c r="BS194" s="338"/>
      <c r="BT194" s="338"/>
      <c r="BU194" s="338"/>
      <c r="BV194" s="338"/>
      <c r="BW194" s="338"/>
      <c r="BX194" s="338"/>
      <c r="BY194" s="338"/>
      <c r="BZ194" s="338"/>
      <c r="CA194" s="338"/>
      <c r="CB194" s="338"/>
      <c r="CC194" s="338"/>
      <c r="CD194" s="338"/>
      <c r="CE194" s="338"/>
      <c r="CF194" s="338"/>
      <c r="CG194" s="338"/>
      <c r="CH194" s="338"/>
      <c r="CI194" s="338"/>
      <c r="CJ194" s="338"/>
      <c r="CK194" s="338"/>
      <c r="CL194" s="338"/>
    </row>
    <row r="195" ht="14.2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40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  <c r="AC195" s="338"/>
      <c r="AD195" s="338"/>
      <c r="AE195" s="338"/>
      <c r="AF195" s="338"/>
      <c r="AG195" s="338"/>
      <c r="AH195" s="338"/>
      <c r="AI195" s="338"/>
      <c r="AJ195" s="338"/>
      <c r="AK195" s="338"/>
      <c r="AL195" s="338"/>
      <c r="AM195" s="338"/>
      <c r="AN195" s="338"/>
      <c r="AO195" s="338"/>
      <c r="AP195" s="338"/>
      <c r="AQ195" s="338"/>
      <c r="AR195" s="338"/>
      <c r="AS195" s="338"/>
      <c r="AT195" s="338"/>
      <c r="AU195" s="338"/>
      <c r="AV195" s="338"/>
      <c r="AW195" s="338"/>
      <c r="AX195" s="338"/>
      <c r="AY195" s="338"/>
      <c r="AZ195" s="338"/>
      <c r="BA195" s="338"/>
      <c r="BB195" s="338"/>
      <c r="BC195" s="338"/>
      <c r="BD195" s="338"/>
      <c r="BE195" s="338"/>
      <c r="BF195" s="338"/>
      <c r="BG195" s="338"/>
      <c r="BH195" s="338"/>
      <c r="BI195" s="338"/>
      <c r="BJ195" s="338"/>
      <c r="BK195" s="338"/>
      <c r="BL195" s="338"/>
      <c r="BM195" s="338"/>
      <c r="BN195" s="338"/>
      <c r="BO195" s="338"/>
      <c r="BP195" s="338"/>
      <c r="BQ195" s="338"/>
      <c r="BR195" s="338"/>
      <c r="BS195" s="338"/>
      <c r="BT195" s="338"/>
      <c r="BU195" s="338"/>
      <c r="BV195" s="338"/>
      <c r="BW195" s="338"/>
      <c r="BX195" s="338"/>
      <c r="BY195" s="338"/>
      <c r="BZ195" s="338"/>
      <c r="CA195" s="338"/>
      <c r="CB195" s="338"/>
      <c r="CC195" s="338"/>
      <c r="CD195" s="338"/>
      <c r="CE195" s="338"/>
      <c r="CF195" s="338"/>
      <c r="CG195" s="338"/>
      <c r="CH195" s="338"/>
      <c r="CI195" s="338"/>
      <c r="CJ195" s="338"/>
      <c r="CK195" s="338"/>
      <c r="CL195" s="338"/>
    </row>
    <row r="196" ht="14.2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40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  <c r="AC196" s="338"/>
      <c r="AD196" s="338"/>
      <c r="AE196" s="338"/>
      <c r="AF196" s="338"/>
      <c r="AG196" s="338"/>
      <c r="AH196" s="338"/>
      <c r="AI196" s="338"/>
      <c r="AJ196" s="338"/>
      <c r="AK196" s="338"/>
      <c r="AL196" s="338"/>
      <c r="AM196" s="338"/>
      <c r="AN196" s="338"/>
      <c r="AO196" s="338"/>
      <c r="AP196" s="338"/>
      <c r="AQ196" s="338"/>
      <c r="AR196" s="338"/>
      <c r="AS196" s="338"/>
      <c r="AT196" s="338"/>
      <c r="AU196" s="338"/>
      <c r="AV196" s="338"/>
      <c r="AW196" s="338"/>
      <c r="AX196" s="338"/>
      <c r="AY196" s="338"/>
      <c r="AZ196" s="338"/>
      <c r="BA196" s="338"/>
      <c r="BB196" s="338"/>
      <c r="BC196" s="338"/>
      <c r="BD196" s="338"/>
      <c r="BE196" s="338"/>
      <c r="BF196" s="338"/>
      <c r="BG196" s="338"/>
      <c r="BH196" s="338"/>
      <c r="BI196" s="338"/>
      <c r="BJ196" s="338"/>
      <c r="BK196" s="338"/>
      <c r="BL196" s="338"/>
      <c r="BM196" s="338"/>
      <c r="BN196" s="338"/>
      <c r="BO196" s="338"/>
      <c r="BP196" s="338"/>
      <c r="BQ196" s="338"/>
      <c r="BR196" s="338"/>
      <c r="BS196" s="338"/>
      <c r="BT196" s="338"/>
      <c r="BU196" s="338"/>
      <c r="BV196" s="338"/>
      <c r="BW196" s="338"/>
      <c r="BX196" s="338"/>
      <c r="BY196" s="338"/>
      <c r="BZ196" s="338"/>
      <c r="CA196" s="338"/>
      <c r="CB196" s="338"/>
      <c r="CC196" s="338"/>
      <c r="CD196" s="338"/>
      <c r="CE196" s="338"/>
      <c r="CF196" s="338"/>
      <c r="CG196" s="338"/>
      <c r="CH196" s="338"/>
      <c r="CI196" s="338"/>
      <c r="CJ196" s="338"/>
      <c r="CK196" s="338"/>
      <c r="CL196" s="338"/>
    </row>
    <row r="197" ht="14.2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40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  <c r="AC197" s="338"/>
      <c r="AD197" s="338"/>
      <c r="AE197" s="338"/>
      <c r="AF197" s="338"/>
      <c r="AG197" s="338"/>
      <c r="AH197" s="338"/>
      <c r="AI197" s="338"/>
      <c r="AJ197" s="338"/>
      <c r="AK197" s="338"/>
      <c r="AL197" s="338"/>
      <c r="AM197" s="338"/>
      <c r="AN197" s="338"/>
      <c r="AO197" s="338"/>
      <c r="AP197" s="338"/>
      <c r="AQ197" s="338"/>
      <c r="AR197" s="338"/>
      <c r="AS197" s="338"/>
      <c r="AT197" s="338"/>
      <c r="AU197" s="338"/>
      <c r="AV197" s="338"/>
      <c r="AW197" s="338"/>
      <c r="AX197" s="338"/>
      <c r="AY197" s="338"/>
      <c r="AZ197" s="338"/>
      <c r="BA197" s="338"/>
      <c r="BB197" s="338"/>
      <c r="BC197" s="338"/>
      <c r="BD197" s="338"/>
      <c r="BE197" s="338"/>
      <c r="BF197" s="338"/>
      <c r="BG197" s="338"/>
      <c r="BH197" s="338"/>
      <c r="BI197" s="338"/>
      <c r="BJ197" s="338"/>
      <c r="BK197" s="338"/>
      <c r="BL197" s="338"/>
      <c r="BM197" s="338"/>
      <c r="BN197" s="338"/>
      <c r="BO197" s="338"/>
      <c r="BP197" s="338"/>
      <c r="BQ197" s="338"/>
      <c r="BR197" s="338"/>
      <c r="BS197" s="338"/>
      <c r="BT197" s="338"/>
      <c r="BU197" s="338"/>
      <c r="BV197" s="338"/>
      <c r="BW197" s="338"/>
      <c r="BX197" s="338"/>
      <c r="BY197" s="338"/>
      <c r="BZ197" s="338"/>
      <c r="CA197" s="338"/>
      <c r="CB197" s="338"/>
      <c r="CC197" s="338"/>
      <c r="CD197" s="338"/>
      <c r="CE197" s="338"/>
      <c r="CF197" s="338"/>
      <c r="CG197" s="338"/>
      <c r="CH197" s="338"/>
      <c r="CI197" s="338"/>
      <c r="CJ197" s="338"/>
      <c r="CK197" s="338"/>
      <c r="CL197" s="338"/>
    </row>
    <row r="198" ht="14.2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40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  <c r="AC198" s="338"/>
      <c r="AD198" s="338"/>
      <c r="AE198" s="338"/>
      <c r="AF198" s="338"/>
      <c r="AG198" s="338"/>
      <c r="AH198" s="338"/>
      <c r="AI198" s="338"/>
      <c r="AJ198" s="338"/>
      <c r="AK198" s="338"/>
      <c r="AL198" s="338"/>
      <c r="AM198" s="338"/>
      <c r="AN198" s="338"/>
      <c r="AO198" s="338"/>
      <c r="AP198" s="338"/>
      <c r="AQ198" s="338"/>
      <c r="AR198" s="338"/>
      <c r="AS198" s="338"/>
      <c r="AT198" s="338"/>
      <c r="AU198" s="338"/>
      <c r="AV198" s="338"/>
      <c r="AW198" s="338"/>
      <c r="AX198" s="338"/>
      <c r="AY198" s="338"/>
      <c r="AZ198" s="338"/>
      <c r="BA198" s="338"/>
      <c r="BB198" s="338"/>
      <c r="BC198" s="338"/>
      <c r="BD198" s="338"/>
      <c r="BE198" s="338"/>
      <c r="BF198" s="338"/>
      <c r="BG198" s="338"/>
      <c r="BH198" s="338"/>
      <c r="BI198" s="338"/>
      <c r="BJ198" s="338"/>
      <c r="BK198" s="338"/>
      <c r="BL198" s="338"/>
      <c r="BM198" s="338"/>
      <c r="BN198" s="338"/>
      <c r="BO198" s="338"/>
      <c r="BP198" s="338"/>
      <c r="BQ198" s="338"/>
      <c r="BR198" s="338"/>
      <c r="BS198" s="338"/>
      <c r="BT198" s="338"/>
      <c r="BU198" s="338"/>
      <c r="BV198" s="338"/>
      <c r="BW198" s="338"/>
      <c r="BX198" s="338"/>
      <c r="BY198" s="338"/>
      <c r="BZ198" s="338"/>
      <c r="CA198" s="338"/>
      <c r="CB198" s="338"/>
      <c r="CC198" s="338"/>
      <c r="CD198" s="338"/>
      <c r="CE198" s="338"/>
      <c r="CF198" s="338"/>
      <c r="CG198" s="338"/>
      <c r="CH198" s="338"/>
      <c r="CI198" s="338"/>
      <c r="CJ198" s="338"/>
      <c r="CK198" s="338"/>
      <c r="CL198" s="338"/>
    </row>
    <row r="199" ht="14.2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40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  <c r="AC199" s="338"/>
      <c r="AD199" s="338"/>
      <c r="AE199" s="338"/>
      <c r="AF199" s="338"/>
      <c r="AG199" s="338"/>
      <c r="AH199" s="338"/>
      <c r="AI199" s="338"/>
      <c r="AJ199" s="338"/>
      <c r="AK199" s="338"/>
      <c r="AL199" s="338"/>
      <c r="AM199" s="338"/>
      <c r="AN199" s="338"/>
      <c r="AO199" s="338"/>
      <c r="AP199" s="338"/>
      <c r="AQ199" s="338"/>
      <c r="AR199" s="338"/>
      <c r="AS199" s="338"/>
      <c r="AT199" s="338"/>
      <c r="AU199" s="338"/>
      <c r="AV199" s="338"/>
      <c r="AW199" s="338"/>
      <c r="AX199" s="338"/>
      <c r="AY199" s="338"/>
      <c r="AZ199" s="338"/>
      <c r="BA199" s="338"/>
      <c r="BB199" s="338"/>
      <c r="BC199" s="338"/>
      <c r="BD199" s="338"/>
      <c r="BE199" s="338"/>
      <c r="BF199" s="338"/>
      <c r="BG199" s="338"/>
      <c r="BH199" s="338"/>
      <c r="BI199" s="338"/>
      <c r="BJ199" s="338"/>
      <c r="BK199" s="338"/>
      <c r="BL199" s="338"/>
      <c r="BM199" s="338"/>
      <c r="BN199" s="338"/>
      <c r="BO199" s="338"/>
      <c r="BP199" s="338"/>
      <c r="BQ199" s="338"/>
      <c r="BR199" s="338"/>
      <c r="BS199" s="338"/>
      <c r="BT199" s="338"/>
      <c r="BU199" s="338"/>
      <c r="BV199" s="338"/>
      <c r="BW199" s="338"/>
      <c r="BX199" s="338"/>
      <c r="BY199" s="338"/>
      <c r="BZ199" s="338"/>
      <c r="CA199" s="338"/>
      <c r="CB199" s="338"/>
      <c r="CC199" s="338"/>
      <c r="CD199" s="338"/>
      <c r="CE199" s="338"/>
      <c r="CF199" s="338"/>
      <c r="CG199" s="338"/>
      <c r="CH199" s="338"/>
      <c r="CI199" s="338"/>
      <c r="CJ199" s="338"/>
      <c r="CK199" s="338"/>
      <c r="CL199" s="338"/>
    </row>
    <row r="200" ht="14.2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40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8"/>
      <c r="AH200" s="338"/>
      <c r="AI200" s="338"/>
      <c r="AJ200" s="338"/>
      <c r="AK200" s="338"/>
      <c r="AL200" s="338"/>
      <c r="AM200" s="338"/>
      <c r="AN200" s="338"/>
      <c r="AO200" s="338"/>
      <c r="AP200" s="338"/>
      <c r="AQ200" s="338"/>
      <c r="AR200" s="338"/>
      <c r="AS200" s="338"/>
      <c r="AT200" s="338"/>
      <c r="AU200" s="338"/>
      <c r="AV200" s="338"/>
      <c r="AW200" s="338"/>
      <c r="AX200" s="338"/>
      <c r="AY200" s="338"/>
      <c r="AZ200" s="338"/>
      <c r="BA200" s="338"/>
      <c r="BB200" s="338"/>
      <c r="BC200" s="338"/>
      <c r="BD200" s="338"/>
      <c r="BE200" s="338"/>
      <c r="BF200" s="338"/>
      <c r="BG200" s="338"/>
      <c r="BH200" s="338"/>
      <c r="BI200" s="338"/>
      <c r="BJ200" s="338"/>
      <c r="BK200" s="338"/>
      <c r="BL200" s="338"/>
      <c r="BM200" s="338"/>
      <c r="BN200" s="338"/>
      <c r="BO200" s="338"/>
      <c r="BP200" s="338"/>
      <c r="BQ200" s="338"/>
      <c r="BR200" s="338"/>
      <c r="BS200" s="338"/>
      <c r="BT200" s="338"/>
      <c r="BU200" s="338"/>
      <c r="BV200" s="338"/>
      <c r="BW200" s="338"/>
      <c r="BX200" s="338"/>
      <c r="BY200" s="338"/>
      <c r="BZ200" s="338"/>
      <c r="CA200" s="338"/>
      <c r="CB200" s="338"/>
      <c r="CC200" s="338"/>
      <c r="CD200" s="338"/>
      <c r="CE200" s="338"/>
      <c r="CF200" s="338"/>
      <c r="CG200" s="338"/>
      <c r="CH200" s="338"/>
      <c r="CI200" s="338"/>
      <c r="CJ200" s="338"/>
      <c r="CK200" s="338"/>
      <c r="CL200" s="338"/>
    </row>
    <row r="201" ht="14.2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40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8"/>
      <c r="AH201" s="338"/>
      <c r="AI201" s="338"/>
      <c r="AJ201" s="338"/>
      <c r="AK201" s="338"/>
      <c r="AL201" s="338"/>
      <c r="AM201" s="338"/>
      <c r="AN201" s="338"/>
      <c r="AO201" s="338"/>
      <c r="AP201" s="338"/>
      <c r="AQ201" s="338"/>
      <c r="AR201" s="338"/>
      <c r="AS201" s="338"/>
      <c r="AT201" s="338"/>
      <c r="AU201" s="338"/>
      <c r="AV201" s="338"/>
      <c r="AW201" s="338"/>
      <c r="AX201" s="338"/>
      <c r="AY201" s="338"/>
      <c r="AZ201" s="338"/>
      <c r="BA201" s="338"/>
      <c r="BB201" s="338"/>
      <c r="BC201" s="338"/>
      <c r="BD201" s="338"/>
      <c r="BE201" s="338"/>
      <c r="BF201" s="338"/>
      <c r="BG201" s="338"/>
      <c r="BH201" s="338"/>
      <c r="BI201" s="338"/>
      <c r="BJ201" s="338"/>
      <c r="BK201" s="338"/>
      <c r="BL201" s="338"/>
      <c r="BM201" s="338"/>
      <c r="BN201" s="338"/>
      <c r="BO201" s="338"/>
      <c r="BP201" s="338"/>
      <c r="BQ201" s="338"/>
      <c r="BR201" s="338"/>
      <c r="BS201" s="338"/>
      <c r="BT201" s="338"/>
      <c r="BU201" s="338"/>
      <c r="BV201" s="338"/>
      <c r="BW201" s="338"/>
      <c r="BX201" s="338"/>
      <c r="BY201" s="338"/>
      <c r="BZ201" s="338"/>
      <c r="CA201" s="338"/>
      <c r="CB201" s="338"/>
      <c r="CC201" s="338"/>
      <c r="CD201" s="338"/>
      <c r="CE201" s="338"/>
      <c r="CF201" s="338"/>
      <c r="CG201" s="338"/>
      <c r="CH201" s="338"/>
      <c r="CI201" s="338"/>
      <c r="CJ201" s="338"/>
      <c r="CK201" s="338"/>
      <c r="CL201" s="338"/>
    </row>
    <row r="202" ht="14.2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40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8"/>
      <c r="AH202" s="338"/>
      <c r="AI202" s="338"/>
      <c r="AJ202" s="338"/>
      <c r="AK202" s="338"/>
      <c r="AL202" s="338"/>
      <c r="AM202" s="338"/>
      <c r="AN202" s="338"/>
      <c r="AO202" s="338"/>
      <c r="AP202" s="338"/>
      <c r="AQ202" s="338"/>
      <c r="AR202" s="338"/>
      <c r="AS202" s="338"/>
      <c r="AT202" s="338"/>
      <c r="AU202" s="338"/>
      <c r="AV202" s="338"/>
      <c r="AW202" s="338"/>
      <c r="AX202" s="338"/>
      <c r="AY202" s="338"/>
      <c r="AZ202" s="338"/>
      <c r="BA202" s="338"/>
      <c r="BB202" s="338"/>
      <c r="BC202" s="338"/>
      <c r="BD202" s="338"/>
      <c r="BE202" s="338"/>
      <c r="BF202" s="338"/>
      <c r="BG202" s="338"/>
      <c r="BH202" s="338"/>
      <c r="BI202" s="338"/>
      <c r="BJ202" s="338"/>
      <c r="BK202" s="338"/>
      <c r="BL202" s="338"/>
      <c r="BM202" s="338"/>
      <c r="BN202" s="338"/>
      <c r="BO202" s="338"/>
      <c r="BP202" s="338"/>
      <c r="BQ202" s="338"/>
      <c r="BR202" s="338"/>
      <c r="BS202" s="338"/>
      <c r="BT202" s="338"/>
      <c r="BU202" s="338"/>
      <c r="BV202" s="338"/>
      <c r="BW202" s="338"/>
      <c r="BX202" s="338"/>
      <c r="BY202" s="338"/>
      <c r="BZ202" s="338"/>
      <c r="CA202" s="338"/>
      <c r="CB202" s="338"/>
      <c r="CC202" s="338"/>
      <c r="CD202" s="338"/>
      <c r="CE202" s="338"/>
      <c r="CF202" s="338"/>
      <c r="CG202" s="338"/>
      <c r="CH202" s="338"/>
      <c r="CI202" s="338"/>
      <c r="CJ202" s="338"/>
      <c r="CK202" s="338"/>
      <c r="CL202" s="338"/>
    </row>
    <row r="203" ht="14.2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40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  <c r="AC203" s="338"/>
      <c r="AD203" s="338"/>
      <c r="AE203" s="338"/>
      <c r="AF203" s="338"/>
      <c r="AG203" s="338"/>
      <c r="AH203" s="338"/>
      <c r="AI203" s="338"/>
      <c r="AJ203" s="338"/>
      <c r="AK203" s="338"/>
      <c r="AL203" s="338"/>
      <c r="AM203" s="338"/>
      <c r="AN203" s="338"/>
      <c r="AO203" s="338"/>
      <c r="AP203" s="338"/>
      <c r="AQ203" s="338"/>
      <c r="AR203" s="338"/>
      <c r="AS203" s="338"/>
      <c r="AT203" s="338"/>
      <c r="AU203" s="338"/>
      <c r="AV203" s="338"/>
      <c r="AW203" s="338"/>
      <c r="AX203" s="338"/>
      <c r="AY203" s="338"/>
      <c r="AZ203" s="338"/>
      <c r="BA203" s="338"/>
      <c r="BB203" s="338"/>
      <c r="BC203" s="338"/>
      <c r="BD203" s="338"/>
      <c r="BE203" s="338"/>
      <c r="BF203" s="338"/>
      <c r="BG203" s="338"/>
      <c r="BH203" s="338"/>
      <c r="BI203" s="338"/>
      <c r="BJ203" s="338"/>
      <c r="BK203" s="338"/>
      <c r="BL203" s="338"/>
      <c r="BM203" s="338"/>
      <c r="BN203" s="338"/>
      <c r="BO203" s="338"/>
      <c r="BP203" s="338"/>
      <c r="BQ203" s="338"/>
      <c r="BR203" s="338"/>
      <c r="BS203" s="338"/>
      <c r="BT203" s="338"/>
      <c r="BU203" s="338"/>
      <c r="BV203" s="338"/>
      <c r="BW203" s="338"/>
      <c r="BX203" s="338"/>
      <c r="BY203" s="338"/>
      <c r="BZ203" s="338"/>
      <c r="CA203" s="338"/>
      <c r="CB203" s="338"/>
      <c r="CC203" s="338"/>
      <c r="CD203" s="338"/>
      <c r="CE203" s="338"/>
      <c r="CF203" s="338"/>
      <c r="CG203" s="338"/>
      <c r="CH203" s="338"/>
      <c r="CI203" s="338"/>
      <c r="CJ203" s="338"/>
      <c r="CK203" s="338"/>
      <c r="CL203" s="338"/>
    </row>
    <row r="204" ht="14.2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40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  <c r="AC204" s="338"/>
      <c r="AD204" s="338"/>
      <c r="AE204" s="338"/>
      <c r="AF204" s="338"/>
      <c r="AG204" s="338"/>
      <c r="AH204" s="338"/>
      <c r="AI204" s="338"/>
      <c r="AJ204" s="338"/>
      <c r="AK204" s="338"/>
      <c r="AL204" s="338"/>
      <c r="AM204" s="338"/>
      <c r="AN204" s="338"/>
      <c r="AO204" s="338"/>
      <c r="AP204" s="338"/>
      <c r="AQ204" s="338"/>
      <c r="AR204" s="338"/>
      <c r="AS204" s="338"/>
      <c r="AT204" s="338"/>
      <c r="AU204" s="338"/>
      <c r="AV204" s="338"/>
      <c r="AW204" s="338"/>
      <c r="AX204" s="338"/>
      <c r="AY204" s="338"/>
      <c r="AZ204" s="338"/>
      <c r="BA204" s="338"/>
      <c r="BB204" s="338"/>
      <c r="BC204" s="338"/>
      <c r="BD204" s="338"/>
      <c r="BE204" s="338"/>
      <c r="BF204" s="338"/>
      <c r="BG204" s="338"/>
      <c r="BH204" s="338"/>
      <c r="BI204" s="338"/>
      <c r="BJ204" s="338"/>
      <c r="BK204" s="338"/>
      <c r="BL204" s="338"/>
      <c r="BM204" s="338"/>
      <c r="BN204" s="338"/>
      <c r="BO204" s="338"/>
      <c r="BP204" s="338"/>
      <c r="BQ204" s="338"/>
      <c r="BR204" s="338"/>
      <c r="BS204" s="338"/>
      <c r="BT204" s="338"/>
      <c r="BU204" s="338"/>
      <c r="BV204" s="338"/>
      <c r="BW204" s="338"/>
      <c r="BX204" s="338"/>
      <c r="BY204" s="338"/>
      <c r="BZ204" s="338"/>
      <c r="CA204" s="338"/>
      <c r="CB204" s="338"/>
      <c r="CC204" s="338"/>
      <c r="CD204" s="338"/>
      <c r="CE204" s="338"/>
      <c r="CF204" s="338"/>
      <c r="CG204" s="338"/>
      <c r="CH204" s="338"/>
      <c r="CI204" s="338"/>
      <c r="CJ204" s="338"/>
      <c r="CK204" s="338"/>
      <c r="CL204" s="338"/>
    </row>
    <row r="205" ht="14.2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40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  <c r="AC205" s="338"/>
      <c r="AD205" s="338"/>
      <c r="AE205" s="338"/>
      <c r="AF205" s="338"/>
      <c r="AG205" s="338"/>
      <c r="AH205" s="338"/>
      <c r="AI205" s="338"/>
      <c r="AJ205" s="338"/>
      <c r="AK205" s="338"/>
      <c r="AL205" s="338"/>
      <c r="AM205" s="338"/>
      <c r="AN205" s="338"/>
      <c r="AO205" s="338"/>
      <c r="AP205" s="338"/>
      <c r="AQ205" s="338"/>
      <c r="AR205" s="338"/>
      <c r="AS205" s="338"/>
      <c r="AT205" s="338"/>
      <c r="AU205" s="338"/>
      <c r="AV205" s="338"/>
      <c r="AW205" s="338"/>
      <c r="AX205" s="338"/>
      <c r="AY205" s="338"/>
      <c r="AZ205" s="338"/>
      <c r="BA205" s="338"/>
      <c r="BB205" s="338"/>
      <c r="BC205" s="338"/>
      <c r="BD205" s="338"/>
      <c r="BE205" s="338"/>
      <c r="BF205" s="338"/>
      <c r="BG205" s="338"/>
      <c r="BH205" s="338"/>
      <c r="BI205" s="338"/>
      <c r="BJ205" s="338"/>
      <c r="BK205" s="338"/>
      <c r="BL205" s="338"/>
      <c r="BM205" s="338"/>
      <c r="BN205" s="338"/>
      <c r="BO205" s="338"/>
      <c r="BP205" s="338"/>
      <c r="BQ205" s="338"/>
      <c r="BR205" s="338"/>
      <c r="BS205" s="338"/>
      <c r="BT205" s="338"/>
      <c r="BU205" s="338"/>
      <c r="BV205" s="338"/>
      <c r="BW205" s="338"/>
      <c r="BX205" s="338"/>
      <c r="BY205" s="338"/>
      <c r="BZ205" s="338"/>
      <c r="CA205" s="338"/>
      <c r="CB205" s="338"/>
      <c r="CC205" s="338"/>
      <c r="CD205" s="338"/>
      <c r="CE205" s="338"/>
      <c r="CF205" s="338"/>
      <c r="CG205" s="338"/>
      <c r="CH205" s="338"/>
      <c r="CI205" s="338"/>
      <c r="CJ205" s="338"/>
      <c r="CK205" s="338"/>
      <c r="CL205" s="338"/>
    </row>
    <row r="206" ht="14.2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40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  <c r="AC206" s="338"/>
      <c r="AD206" s="338"/>
      <c r="AE206" s="338"/>
      <c r="AF206" s="338"/>
      <c r="AG206" s="338"/>
      <c r="AH206" s="338"/>
      <c r="AI206" s="338"/>
      <c r="AJ206" s="338"/>
      <c r="AK206" s="338"/>
      <c r="AL206" s="338"/>
      <c r="AM206" s="338"/>
      <c r="AN206" s="338"/>
      <c r="AO206" s="338"/>
      <c r="AP206" s="338"/>
      <c r="AQ206" s="338"/>
      <c r="AR206" s="338"/>
      <c r="AS206" s="338"/>
      <c r="AT206" s="338"/>
      <c r="AU206" s="338"/>
      <c r="AV206" s="338"/>
      <c r="AW206" s="338"/>
      <c r="AX206" s="338"/>
      <c r="AY206" s="338"/>
      <c r="AZ206" s="338"/>
      <c r="BA206" s="338"/>
      <c r="BB206" s="338"/>
      <c r="BC206" s="338"/>
      <c r="BD206" s="338"/>
      <c r="BE206" s="338"/>
      <c r="BF206" s="338"/>
      <c r="BG206" s="338"/>
      <c r="BH206" s="338"/>
      <c r="BI206" s="338"/>
      <c r="BJ206" s="338"/>
      <c r="BK206" s="338"/>
      <c r="BL206" s="338"/>
      <c r="BM206" s="338"/>
      <c r="BN206" s="338"/>
      <c r="BO206" s="338"/>
      <c r="BP206" s="338"/>
      <c r="BQ206" s="338"/>
      <c r="BR206" s="338"/>
      <c r="BS206" s="338"/>
      <c r="BT206" s="338"/>
      <c r="BU206" s="338"/>
      <c r="BV206" s="338"/>
      <c r="BW206" s="338"/>
      <c r="BX206" s="338"/>
      <c r="BY206" s="338"/>
      <c r="BZ206" s="338"/>
      <c r="CA206" s="338"/>
      <c r="CB206" s="338"/>
      <c r="CC206" s="338"/>
      <c r="CD206" s="338"/>
      <c r="CE206" s="338"/>
      <c r="CF206" s="338"/>
      <c r="CG206" s="338"/>
      <c r="CH206" s="338"/>
      <c r="CI206" s="338"/>
      <c r="CJ206" s="338"/>
      <c r="CK206" s="338"/>
      <c r="CL206" s="338"/>
    </row>
    <row r="207" ht="14.2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40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  <c r="AC207" s="338"/>
      <c r="AD207" s="338"/>
      <c r="AE207" s="338"/>
      <c r="AF207" s="338"/>
      <c r="AG207" s="338"/>
      <c r="AH207" s="338"/>
      <c r="AI207" s="338"/>
      <c r="AJ207" s="338"/>
      <c r="AK207" s="338"/>
      <c r="AL207" s="338"/>
      <c r="AM207" s="338"/>
      <c r="AN207" s="338"/>
      <c r="AO207" s="338"/>
      <c r="AP207" s="338"/>
      <c r="AQ207" s="338"/>
      <c r="AR207" s="338"/>
      <c r="AS207" s="338"/>
      <c r="AT207" s="338"/>
      <c r="AU207" s="338"/>
      <c r="AV207" s="338"/>
      <c r="AW207" s="338"/>
      <c r="AX207" s="338"/>
      <c r="AY207" s="338"/>
      <c r="AZ207" s="338"/>
      <c r="BA207" s="338"/>
      <c r="BB207" s="338"/>
      <c r="BC207" s="338"/>
      <c r="BD207" s="338"/>
      <c r="BE207" s="338"/>
      <c r="BF207" s="338"/>
      <c r="BG207" s="338"/>
      <c r="BH207" s="338"/>
      <c r="BI207" s="338"/>
      <c r="BJ207" s="338"/>
      <c r="BK207" s="338"/>
      <c r="BL207" s="338"/>
      <c r="BM207" s="338"/>
      <c r="BN207" s="338"/>
      <c r="BO207" s="338"/>
      <c r="BP207" s="338"/>
      <c r="BQ207" s="338"/>
      <c r="BR207" s="338"/>
      <c r="BS207" s="338"/>
      <c r="BT207" s="338"/>
      <c r="BU207" s="338"/>
      <c r="BV207" s="338"/>
      <c r="BW207" s="338"/>
      <c r="BX207" s="338"/>
      <c r="BY207" s="338"/>
      <c r="BZ207" s="338"/>
      <c r="CA207" s="338"/>
      <c r="CB207" s="338"/>
      <c r="CC207" s="338"/>
      <c r="CD207" s="338"/>
      <c r="CE207" s="338"/>
      <c r="CF207" s="338"/>
      <c r="CG207" s="338"/>
      <c r="CH207" s="338"/>
      <c r="CI207" s="338"/>
      <c r="CJ207" s="338"/>
      <c r="CK207" s="338"/>
      <c r="CL207" s="338"/>
    </row>
    <row r="208" ht="14.2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40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  <c r="AC208" s="338"/>
      <c r="AD208" s="338"/>
      <c r="AE208" s="338"/>
      <c r="AF208" s="338"/>
      <c r="AG208" s="338"/>
      <c r="AH208" s="338"/>
      <c r="AI208" s="338"/>
      <c r="AJ208" s="338"/>
      <c r="AK208" s="338"/>
      <c r="AL208" s="338"/>
      <c r="AM208" s="338"/>
      <c r="AN208" s="338"/>
      <c r="AO208" s="338"/>
      <c r="AP208" s="338"/>
      <c r="AQ208" s="338"/>
      <c r="AR208" s="338"/>
      <c r="AS208" s="338"/>
      <c r="AT208" s="338"/>
      <c r="AU208" s="338"/>
      <c r="AV208" s="338"/>
      <c r="AW208" s="338"/>
      <c r="AX208" s="338"/>
      <c r="AY208" s="338"/>
      <c r="AZ208" s="338"/>
      <c r="BA208" s="338"/>
      <c r="BB208" s="338"/>
      <c r="BC208" s="338"/>
      <c r="BD208" s="338"/>
      <c r="BE208" s="338"/>
      <c r="BF208" s="338"/>
      <c r="BG208" s="338"/>
      <c r="BH208" s="338"/>
      <c r="BI208" s="338"/>
      <c r="BJ208" s="338"/>
      <c r="BK208" s="338"/>
      <c r="BL208" s="338"/>
      <c r="BM208" s="338"/>
      <c r="BN208" s="338"/>
      <c r="BO208" s="338"/>
      <c r="BP208" s="338"/>
      <c r="BQ208" s="338"/>
      <c r="BR208" s="338"/>
      <c r="BS208" s="338"/>
      <c r="BT208" s="338"/>
      <c r="BU208" s="338"/>
      <c r="BV208" s="338"/>
      <c r="BW208" s="338"/>
      <c r="BX208" s="338"/>
      <c r="BY208" s="338"/>
      <c r="BZ208" s="338"/>
      <c r="CA208" s="338"/>
      <c r="CB208" s="338"/>
      <c r="CC208" s="338"/>
      <c r="CD208" s="338"/>
      <c r="CE208" s="338"/>
      <c r="CF208" s="338"/>
      <c r="CG208" s="338"/>
      <c r="CH208" s="338"/>
      <c r="CI208" s="338"/>
      <c r="CJ208" s="338"/>
      <c r="CK208" s="338"/>
      <c r="CL208" s="338"/>
    </row>
    <row r="209" ht="14.2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40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  <c r="AC209" s="338"/>
      <c r="AD209" s="338"/>
      <c r="AE209" s="338"/>
      <c r="AF209" s="338"/>
      <c r="AG209" s="338"/>
      <c r="AH209" s="338"/>
      <c r="AI209" s="338"/>
      <c r="AJ209" s="338"/>
      <c r="AK209" s="338"/>
      <c r="AL209" s="338"/>
      <c r="AM209" s="338"/>
      <c r="AN209" s="338"/>
      <c r="AO209" s="338"/>
      <c r="AP209" s="338"/>
      <c r="AQ209" s="338"/>
      <c r="AR209" s="338"/>
      <c r="AS209" s="338"/>
      <c r="AT209" s="338"/>
      <c r="AU209" s="338"/>
      <c r="AV209" s="338"/>
      <c r="AW209" s="338"/>
      <c r="AX209" s="338"/>
      <c r="AY209" s="338"/>
      <c r="AZ209" s="338"/>
      <c r="BA209" s="338"/>
      <c r="BB209" s="338"/>
      <c r="BC209" s="338"/>
      <c r="BD209" s="338"/>
      <c r="BE209" s="338"/>
      <c r="BF209" s="338"/>
      <c r="BG209" s="338"/>
      <c r="BH209" s="338"/>
      <c r="BI209" s="338"/>
      <c r="BJ209" s="338"/>
      <c r="BK209" s="338"/>
      <c r="BL209" s="338"/>
      <c r="BM209" s="338"/>
      <c r="BN209" s="338"/>
      <c r="BO209" s="338"/>
      <c r="BP209" s="338"/>
      <c r="BQ209" s="338"/>
      <c r="BR209" s="338"/>
      <c r="BS209" s="338"/>
      <c r="BT209" s="338"/>
      <c r="BU209" s="338"/>
      <c r="BV209" s="338"/>
      <c r="BW209" s="338"/>
      <c r="BX209" s="338"/>
      <c r="BY209" s="338"/>
      <c r="BZ209" s="338"/>
      <c r="CA209" s="338"/>
      <c r="CB209" s="338"/>
      <c r="CC209" s="338"/>
      <c r="CD209" s="338"/>
      <c r="CE209" s="338"/>
      <c r="CF209" s="338"/>
      <c r="CG209" s="338"/>
      <c r="CH209" s="338"/>
      <c r="CI209" s="338"/>
      <c r="CJ209" s="338"/>
      <c r="CK209" s="338"/>
      <c r="CL209" s="338"/>
    </row>
    <row r="210" ht="14.2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40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  <c r="AC210" s="338"/>
      <c r="AD210" s="338"/>
      <c r="AE210" s="338"/>
      <c r="AF210" s="338"/>
      <c r="AG210" s="338"/>
      <c r="AH210" s="338"/>
      <c r="AI210" s="338"/>
      <c r="AJ210" s="338"/>
      <c r="AK210" s="338"/>
      <c r="AL210" s="338"/>
      <c r="AM210" s="338"/>
      <c r="AN210" s="338"/>
      <c r="AO210" s="338"/>
      <c r="AP210" s="338"/>
      <c r="AQ210" s="338"/>
      <c r="AR210" s="338"/>
      <c r="AS210" s="338"/>
      <c r="AT210" s="338"/>
      <c r="AU210" s="338"/>
      <c r="AV210" s="338"/>
      <c r="AW210" s="338"/>
      <c r="AX210" s="338"/>
      <c r="AY210" s="338"/>
      <c r="AZ210" s="338"/>
      <c r="BA210" s="338"/>
      <c r="BB210" s="338"/>
      <c r="BC210" s="338"/>
      <c r="BD210" s="338"/>
      <c r="BE210" s="338"/>
      <c r="BF210" s="338"/>
      <c r="BG210" s="338"/>
      <c r="BH210" s="338"/>
      <c r="BI210" s="338"/>
      <c r="BJ210" s="338"/>
      <c r="BK210" s="338"/>
      <c r="BL210" s="338"/>
      <c r="BM210" s="338"/>
      <c r="BN210" s="338"/>
      <c r="BO210" s="338"/>
      <c r="BP210" s="338"/>
      <c r="BQ210" s="338"/>
      <c r="BR210" s="338"/>
      <c r="BS210" s="338"/>
      <c r="BT210" s="338"/>
      <c r="BU210" s="338"/>
      <c r="BV210" s="338"/>
      <c r="BW210" s="338"/>
      <c r="BX210" s="338"/>
      <c r="BY210" s="338"/>
      <c r="BZ210" s="338"/>
      <c r="CA210" s="338"/>
      <c r="CB210" s="338"/>
      <c r="CC210" s="338"/>
      <c r="CD210" s="338"/>
      <c r="CE210" s="338"/>
      <c r="CF210" s="338"/>
      <c r="CG210" s="338"/>
      <c r="CH210" s="338"/>
      <c r="CI210" s="338"/>
      <c r="CJ210" s="338"/>
      <c r="CK210" s="338"/>
      <c r="CL210" s="338"/>
    </row>
    <row r="211" ht="14.2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40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  <c r="AC211" s="338"/>
      <c r="AD211" s="338"/>
      <c r="AE211" s="338"/>
      <c r="AF211" s="338"/>
      <c r="AG211" s="338"/>
      <c r="AH211" s="338"/>
      <c r="AI211" s="338"/>
      <c r="AJ211" s="338"/>
      <c r="AK211" s="338"/>
      <c r="AL211" s="338"/>
      <c r="AM211" s="338"/>
      <c r="AN211" s="338"/>
      <c r="AO211" s="338"/>
      <c r="AP211" s="338"/>
      <c r="AQ211" s="338"/>
      <c r="AR211" s="338"/>
      <c r="AS211" s="338"/>
      <c r="AT211" s="338"/>
      <c r="AU211" s="338"/>
      <c r="AV211" s="338"/>
      <c r="AW211" s="338"/>
      <c r="AX211" s="338"/>
      <c r="AY211" s="338"/>
      <c r="AZ211" s="338"/>
      <c r="BA211" s="338"/>
      <c r="BB211" s="338"/>
      <c r="BC211" s="338"/>
      <c r="BD211" s="338"/>
      <c r="BE211" s="338"/>
      <c r="BF211" s="338"/>
      <c r="BG211" s="338"/>
      <c r="BH211" s="338"/>
      <c r="BI211" s="338"/>
      <c r="BJ211" s="338"/>
      <c r="BK211" s="338"/>
      <c r="BL211" s="338"/>
      <c r="BM211" s="338"/>
      <c r="BN211" s="338"/>
      <c r="BO211" s="338"/>
      <c r="BP211" s="338"/>
      <c r="BQ211" s="338"/>
      <c r="BR211" s="338"/>
      <c r="BS211" s="338"/>
      <c r="BT211" s="338"/>
      <c r="BU211" s="338"/>
      <c r="BV211" s="338"/>
      <c r="BW211" s="338"/>
      <c r="BX211" s="338"/>
      <c r="BY211" s="338"/>
      <c r="BZ211" s="338"/>
      <c r="CA211" s="338"/>
      <c r="CB211" s="338"/>
      <c r="CC211" s="338"/>
      <c r="CD211" s="338"/>
      <c r="CE211" s="338"/>
      <c r="CF211" s="338"/>
      <c r="CG211" s="338"/>
      <c r="CH211" s="338"/>
      <c r="CI211" s="338"/>
      <c r="CJ211" s="338"/>
      <c r="CK211" s="338"/>
      <c r="CL211" s="338"/>
    </row>
    <row r="212" ht="14.2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40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  <c r="AC212" s="338"/>
      <c r="AD212" s="338"/>
      <c r="AE212" s="338"/>
      <c r="AF212" s="338"/>
      <c r="AG212" s="338"/>
      <c r="AH212" s="338"/>
      <c r="AI212" s="338"/>
      <c r="AJ212" s="338"/>
      <c r="AK212" s="338"/>
      <c r="AL212" s="338"/>
      <c r="AM212" s="338"/>
      <c r="AN212" s="338"/>
      <c r="AO212" s="338"/>
      <c r="AP212" s="338"/>
      <c r="AQ212" s="338"/>
      <c r="AR212" s="338"/>
      <c r="AS212" s="338"/>
      <c r="AT212" s="338"/>
      <c r="AU212" s="338"/>
      <c r="AV212" s="338"/>
      <c r="AW212" s="338"/>
      <c r="AX212" s="338"/>
      <c r="AY212" s="338"/>
      <c r="AZ212" s="338"/>
      <c r="BA212" s="338"/>
      <c r="BB212" s="338"/>
      <c r="BC212" s="338"/>
      <c r="BD212" s="338"/>
      <c r="BE212" s="338"/>
      <c r="BF212" s="338"/>
      <c r="BG212" s="338"/>
      <c r="BH212" s="338"/>
      <c r="BI212" s="338"/>
      <c r="BJ212" s="338"/>
      <c r="BK212" s="338"/>
      <c r="BL212" s="338"/>
      <c r="BM212" s="338"/>
      <c r="BN212" s="338"/>
      <c r="BO212" s="338"/>
      <c r="BP212" s="338"/>
      <c r="BQ212" s="338"/>
      <c r="BR212" s="338"/>
      <c r="BS212" s="338"/>
      <c r="BT212" s="338"/>
      <c r="BU212" s="338"/>
      <c r="BV212" s="338"/>
      <c r="BW212" s="338"/>
      <c r="BX212" s="338"/>
      <c r="BY212" s="338"/>
      <c r="BZ212" s="338"/>
      <c r="CA212" s="338"/>
      <c r="CB212" s="338"/>
      <c r="CC212" s="338"/>
      <c r="CD212" s="338"/>
      <c r="CE212" s="338"/>
      <c r="CF212" s="338"/>
      <c r="CG212" s="338"/>
      <c r="CH212" s="338"/>
      <c r="CI212" s="338"/>
      <c r="CJ212" s="338"/>
      <c r="CK212" s="338"/>
      <c r="CL212" s="338"/>
    </row>
    <row r="213" ht="14.2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40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  <c r="AC213" s="338"/>
      <c r="AD213" s="338"/>
      <c r="AE213" s="338"/>
      <c r="AF213" s="338"/>
      <c r="AG213" s="338"/>
      <c r="AH213" s="338"/>
      <c r="AI213" s="338"/>
      <c r="AJ213" s="338"/>
      <c r="AK213" s="338"/>
      <c r="AL213" s="338"/>
      <c r="AM213" s="338"/>
      <c r="AN213" s="338"/>
      <c r="AO213" s="338"/>
      <c r="AP213" s="338"/>
      <c r="AQ213" s="338"/>
      <c r="AR213" s="338"/>
      <c r="AS213" s="338"/>
      <c r="AT213" s="338"/>
      <c r="AU213" s="338"/>
      <c r="AV213" s="338"/>
      <c r="AW213" s="338"/>
      <c r="AX213" s="338"/>
      <c r="AY213" s="338"/>
      <c r="AZ213" s="338"/>
      <c r="BA213" s="338"/>
      <c r="BB213" s="338"/>
      <c r="BC213" s="338"/>
      <c r="BD213" s="338"/>
      <c r="BE213" s="338"/>
      <c r="BF213" s="338"/>
      <c r="BG213" s="338"/>
      <c r="BH213" s="338"/>
      <c r="BI213" s="338"/>
      <c r="BJ213" s="338"/>
      <c r="BK213" s="338"/>
      <c r="BL213" s="338"/>
      <c r="BM213" s="338"/>
      <c r="BN213" s="338"/>
      <c r="BO213" s="338"/>
      <c r="BP213" s="338"/>
      <c r="BQ213" s="338"/>
      <c r="BR213" s="338"/>
      <c r="BS213" s="338"/>
      <c r="BT213" s="338"/>
      <c r="BU213" s="338"/>
      <c r="BV213" s="338"/>
      <c r="BW213" s="338"/>
      <c r="BX213" s="338"/>
      <c r="BY213" s="338"/>
      <c r="BZ213" s="338"/>
      <c r="CA213" s="338"/>
      <c r="CB213" s="338"/>
      <c r="CC213" s="338"/>
      <c r="CD213" s="338"/>
      <c r="CE213" s="338"/>
      <c r="CF213" s="338"/>
      <c r="CG213" s="338"/>
      <c r="CH213" s="338"/>
      <c r="CI213" s="338"/>
      <c r="CJ213" s="338"/>
      <c r="CK213" s="338"/>
      <c r="CL213" s="338"/>
    </row>
    <row r="214" ht="14.2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40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  <c r="AC214" s="338"/>
      <c r="AD214" s="338"/>
      <c r="AE214" s="338"/>
      <c r="AF214" s="338"/>
      <c r="AG214" s="338"/>
      <c r="AH214" s="338"/>
      <c r="AI214" s="338"/>
      <c r="AJ214" s="338"/>
      <c r="AK214" s="338"/>
      <c r="AL214" s="338"/>
      <c r="AM214" s="338"/>
      <c r="AN214" s="338"/>
      <c r="AO214" s="338"/>
      <c r="AP214" s="338"/>
      <c r="AQ214" s="338"/>
      <c r="AR214" s="338"/>
      <c r="AS214" s="338"/>
      <c r="AT214" s="338"/>
      <c r="AU214" s="338"/>
      <c r="AV214" s="338"/>
      <c r="AW214" s="338"/>
      <c r="AX214" s="338"/>
      <c r="AY214" s="338"/>
      <c r="AZ214" s="338"/>
      <c r="BA214" s="338"/>
      <c r="BB214" s="338"/>
      <c r="BC214" s="338"/>
      <c r="BD214" s="338"/>
      <c r="BE214" s="338"/>
      <c r="BF214" s="338"/>
      <c r="BG214" s="338"/>
      <c r="BH214" s="338"/>
      <c r="BI214" s="338"/>
      <c r="BJ214" s="338"/>
      <c r="BK214" s="338"/>
      <c r="BL214" s="338"/>
      <c r="BM214" s="338"/>
      <c r="BN214" s="338"/>
      <c r="BO214" s="338"/>
      <c r="BP214" s="338"/>
      <c r="BQ214" s="338"/>
      <c r="BR214" s="338"/>
      <c r="BS214" s="338"/>
      <c r="BT214" s="338"/>
      <c r="BU214" s="338"/>
      <c r="BV214" s="338"/>
      <c r="BW214" s="338"/>
      <c r="BX214" s="338"/>
      <c r="BY214" s="338"/>
      <c r="BZ214" s="338"/>
      <c r="CA214" s="338"/>
      <c r="CB214" s="338"/>
      <c r="CC214" s="338"/>
      <c r="CD214" s="338"/>
      <c r="CE214" s="338"/>
      <c r="CF214" s="338"/>
      <c r="CG214" s="338"/>
      <c r="CH214" s="338"/>
      <c r="CI214" s="338"/>
      <c r="CJ214" s="338"/>
      <c r="CK214" s="338"/>
      <c r="CL214" s="338"/>
    </row>
    <row r="215" ht="14.2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40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  <c r="AC215" s="338"/>
      <c r="AD215" s="338"/>
      <c r="AE215" s="338"/>
      <c r="AF215" s="338"/>
      <c r="AG215" s="338"/>
      <c r="AH215" s="338"/>
      <c r="AI215" s="338"/>
      <c r="AJ215" s="338"/>
      <c r="AK215" s="338"/>
      <c r="AL215" s="338"/>
      <c r="AM215" s="338"/>
      <c r="AN215" s="338"/>
      <c r="AO215" s="338"/>
      <c r="AP215" s="338"/>
      <c r="AQ215" s="338"/>
      <c r="AR215" s="338"/>
      <c r="AS215" s="338"/>
      <c r="AT215" s="338"/>
      <c r="AU215" s="338"/>
      <c r="AV215" s="338"/>
      <c r="AW215" s="338"/>
      <c r="AX215" s="338"/>
      <c r="AY215" s="338"/>
      <c r="AZ215" s="338"/>
      <c r="BA215" s="338"/>
      <c r="BB215" s="338"/>
      <c r="BC215" s="338"/>
      <c r="BD215" s="338"/>
      <c r="BE215" s="338"/>
      <c r="BF215" s="338"/>
      <c r="BG215" s="338"/>
      <c r="BH215" s="338"/>
      <c r="BI215" s="338"/>
      <c r="BJ215" s="338"/>
      <c r="BK215" s="338"/>
      <c r="BL215" s="338"/>
      <c r="BM215" s="338"/>
      <c r="BN215" s="338"/>
      <c r="BO215" s="338"/>
      <c r="BP215" s="338"/>
      <c r="BQ215" s="338"/>
      <c r="BR215" s="338"/>
      <c r="BS215" s="338"/>
      <c r="BT215" s="338"/>
      <c r="BU215" s="338"/>
      <c r="BV215" s="338"/>
      <c r="BW215" s="338"/>
      <c r="BX215" s="338"/>
      <c r="BY215" s="338"/>
      <c r="BZ215" s="338"/>
      <c r="CA215" s="338"/>
      <c r="CB215" s="338"/>
      <c r="CC215" s="338"/>
      <c r="CD215" s="338"/>
      <c r="CE215" s="338"/>
      <c r="CF215" s="338"/>
      <c r="CG215" s="338"/>
      <c r="CH215" s="338"/>
      <c r="CI215" s="338"/>
      <c r="CJ215" s="338"/>
      <c r="CK215" s="338"/>
      <c r="CL215" s="338"/>
    </row>
    <row r="216" ht="14.2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40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  <c r="AC216" s="338"/>
      <c r="AD216" s="338"/>
      <c r="AE216" s="338"/>
      <c r="AF216" s="338"/>
      <c r="AG216" s="338"/>
      <c r="AH216" s="338"/>
      <c r="AI216" s="338"/>
      <c r="AJ216" s="338"/>
      <c r="AK216" s="338"/>
      <c r="AL216" s="338"/>
      <c r="AM216" s="338"/>
      <c r="AN216" s="338"/>
      <c r="AO216" s="338"/>
      <c r="AP216" s="338"/>
      <c r="AQ216" s="338"/>
      <c r="AR216" s="338"/>
      <c r="AS216" s="338"/>
      <c r="AT216" s="338"/>
      <c r="AU216" s="338"/>
      <c r="AV216" s="338"/>
      <c r="AW216" s="338"/>
      <c r="AX216" s="338"/>
      <c r="AY216" s="338"/>
      <c r="AZ216" s="338"/>
      <c r="BA216" s="338"/>
      <c r="BB216" s="338"/>
      <c r="BC216" s="338"/>
      <c r="BD216" s="338"/>
      <c r="BE216" s="338"/>
      <c r="BF216" s="338"/>
      <c r="BG216" s="338"/>
      <c r="BH216" s="338"/>
      <c r="BI216" s="338"/>
      <c r="BJ216" s="338"/>
      <c r="BK216" s="338"/>
      <c r="BL216" s="338"/>
      <c r="BM216" s="338"/>
      <c r="BN216" s="338"/>
      <c r="BO216" s="338"/>
      <c r="BP216" s="338"/>
      <c r="BQ216" s="338"/>
      <c r="BR216" s="338"/>
      <c r="BS216" s="338"/>
      <c r="BT216" s="338"/>
      <c r="BU216" s="338"/>
      <c r="BV216" s="338"/>
      <c r="BW216" s="338"/>
      <c r="BX216" s="338"/>
      <c r="BY216" s="338"/>
      <c r="BZ216" s="338"/>
      <c r="CA216" s="338"/>
      <c r="CB216" s="338"/>
      <c r="CC216" s="338"/>
      <c r="CD216" s="338"/>
      <c r="CE216" s="338"/>
      <c r="CF216" s="338"/>
      <c r="CG216" s="338"/>
      <c r="CH216" s="338"/>
      <c r="CI216" s="338"/>
      <c r="CJ216" s="338"/>
      <c r="CK216" s="338"/>
      <c r="CL216" s="338"/>
    </row>
    <row r="217" ht="14.2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40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  <c r="AC217" s="338"/>
      <c r="AD217" s="338"/>
      <c r="AE217" s="338"/>
      <c r="AF217" s="338"/>
      <c r="AG217" s="338"/>
      <c r="AH217" s="338"/>
      <c r="AI217" s="338"/>
      <c r="AJ217" s="338"/>
      <c r="AK217" s="338"/>
      <c r="AL217" s="338"/>
      <c r="AM217" s="338"/>
      <c r="AN217" s="338"/>
      <c r="AO217" s="338"/>
      <c r="AP217" s="338"/>
      <c r="AQ217" s="338"/>
      <c r="AR217" s="338"/>
      <c r="AS217" s="338"/>
      <c r="AT217" s="338"/>
      <c r="AU217" s="338"/>
      <c r="AV217" s="338"/>
      <c r="AW217" s="338"/>
      <c r="AX217" s="338"/>
      <c r="AY217" s="338"/>
      <c r="AZ217" s="338"/>
      <c r="BA217" s="338"/>
      <c r="BB217" s="338"/>
      <c r="BC217" s="338"/>
      <c r="BD217" s="338"/>
      <c r="BE217" s="338"/>
      <c r="BF217" s="338"/>
      <c r="BG217" s="338"/>
      <c r="BH217" s="338"/>
      <c r="BI217" s="338"/>
      <c r="BJ217" s="338"/>
      <c r="BK217" s="338"/>
      <c r="BL217" s="338"/>
      <c r="BM217" s="338"/>
      <c r="BN217" s="338"/>
      <c r="BO217" s="338"/>
      <c r="BP217" s="338"/>
      <c r="BQ217" s="338"/>
      <c r="BR217" s="338"/>
      <c r="BS217" s="338"/>
      <c r="BT217" s="338"/>
      <c r="BU217" s="338"/>
      <c r="BV217" s="338"/>
      <c r="BW217" s="338"/>
      <c r="BX217" s="338"/>
      <c r="BY217" s="338"/>
      <c r="BZ217" s="338"/>
      <c r="CA217" s="338"/>
      <c r="CB217" s="338"/>
      <c r="CC217" s="338"/>
      <c r="CD217" s="338"/>
      <c r="CE217" s="338"/>
      <c r="CF217" s="338"/>
      <c r="CG217" s="338"/>
      <c r="CH217" s="338"/>
      <c r="CI217" s="338"/>
      <c r="CJ217" s="338"/>
      <c r="CK217" s="338"/>
      <c r="CL217" s="338"/>
    </row>
    <row r="218" ht="14.2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40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  <c r="AC218" s="338"/>
      <c r="AD218" s="338"/>
      <c r="AE218" s="338"/>
      <c r="AF218" s="338"/>
      <c r="AG218" s="338"/>
      <c r="AH218" s="338"/>
      <c r="AI218" s="338"/>
      <c r="AJ218" s="338"/>
      <c r="AK218" s="338"/>
      <c r="AL218" s="338"/>
      <c r="AM218" s="338"/>
      <c r="AN218" s="338"/>
      <c r="AO218" s="338"/>
      <c r="AP218" s="338"/>
      <c r="AQ218" s="338"/>
      <c r="AR218" s="338"/>
      <c r="AS218" s="338"/>
      <c r="AT218" s="338"/>
      <c r="AU218" s="338"/>
      <c r="AV218" s="338"/>
      <c r="AW218" s="338"/>
      <c r="AX218" s="338"/>
      <c r="AY218" s="338"/>
      <c r="AZ218" s="338"/>
      <c r="BA218" s="338"/>
      <c r="BB218" s="338"/>
      <c r="BC218" s="338"/>
      <c r="BD218" s="338"/>
      <c r="BE218" s="338"/>
      <c r="BF218" s="338"/>
      <c r="BG218" s="338"/>
      <c r="BH218" s="338"/>
      <c r="BI218" s="338"/>
      <c r="BJ218" s="338"/>
      <c r="BK218" s="338"/>
      <c r="BL218" s="338"/>
      <c r="BM218" s="338"/>
      <c r="BN218" s="338"/>
      <c r="BO218" s="338"/>
      <c r="BP218" s="338"/>
      <c r="BQ218" s="338"/>
      <c r="BR218" s="338"/>
      <c r="BS218" s="338"/>
      <c r="BT218" s="338"/>
      <c r="BU218" s="338"/>
      <c r="BV218" s="338"/>
      <c r="BW218" s="338"/>
      <c r="BX218" s="338"/>
      <c r="BY218" s="338"/>
      <c r="BZ218" s="338"/>
      <c r="CA218" s="338"/>
      <c r="CB218" s="338"/>
      <c r="CC218" s="338"/>
      <c r="CD218" s="338"/>
      <c r="CE218" s="338"/>
      <c r="CF218" s="338"/>
      <c r="CG218" s="338"/>
      <c r="CH218" s="338"/>
      <c r="CI218" s="338"/>
      <c r="CJ218" s="338"/>
      <c r="CK218" s="338"/>
      <c r="CL218" s="338"/>
    </row>
    <row r="219" ht="14.2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40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  <c r="AC219" s="338"/>
      <c r="AD219" s="338"/>
      <c r="AE219" s="338"/>
      <c r="AF219" s="338"/>
      <c r="AG219" s="338"/>
      <c r="AH219" s="338"/>
      <c r="AI219" s="338"/>
      <c r="AJ219" s="338"/>
      <c r="AK219" s="338"/>
      <c r="AL219" s="338"/>
      <c r="AM219" s="338"/>
      <c r="AN219" s="338"/>
      <c r="AO219" s="338"/>
      <c r="AP219" s="338"/>
      <c r="AQ219" s="338"/>
      <c r="AR219" s="338"/>
      <c r="AS219" s="338"/>
      <c r="AT219" s="338"/>
      <c r="AU219" s="338"/>
      <c r="AV219" s="338"/>
      <c r="AW219" s="338"/>
      <c r="AX219" s="338"/>
      <c r="AY219" s="338"/>
      <c r="AZ219" s="338"/>
      <c r="BA219" s="338"/>
      <c r="BB219" s="338"/>
      <c r="BC219" s="338"/>
      <c r="BD219" s="338"/>
      <c r="BE219" s="338"/>
      <c r="BF219" s="338"/>
      <c r="BG219" s="338"/>
      <c r="BH219" s="338"/>
      <c r="BI219" s="338"/>
      <c r="BJ219" s="338"/>
      <c r="BK219" s="338"/>
      <c r="BL219" s="338"/>
      <c r="BM219" s="338"/>
      <c r="BN219" s="338"/>
      <c r="BO219" s="338"/>
      <c r="BP219" s="338"/>
      <c r="BQ219" s="338"/>
      <c r="BR219" s="338"/>
      <c r="BS219" s="338"/>
      <c r="BT219" s="338"/>
      <c r="BU219" s="338"/>
      <c r="BV219" s="338"/>
      <c r="BW219" s="338"/>
      <c r="BX219" s="338"/>
      <c r="BY219" s="338"/>
      <c r="BZ219" s="338"/>
      <c r="CA219" s="338"/>
      <c r="CB219" s="338"/>
      <c r="CC219" s="338"/>
      <c r="CD219" s="338"/>
      <c r="CE219" s="338"/>
      <c r="CF219" s="338"/>
      <c r="CG219" s="338"/>
      <c r="CH219" s="338"/>
      <c r="CI219" s="338"/>
      <c r="CJ219" s="338"/>
      <c r="CK219" s="338"/>
      <c r="CL219" s="338"/>
    </row>
    <row r="220" ht="14.2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40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  <c r="AC220" s="338"/>
      <c r="AD220" s="338"/>
      <c r="AE220" s="338"/>
      <c r="AF220" s="338"/>
      <c r="AG220" s="338"/>
      <c r="AH220" s="338"/>
      <c r="AI220" s="338"/>
      <c r="AJ220" s="338"/>
      <c r="AK220" s="338"/>
      <c r="AL220" s="338"/>
      <c r="AM220" s="338"/>
      <c r="AN220" s="338"/>
      <c r="AO220" s="338"/>
      <c r="AP220" s="338"/>
      <c r="AQ220" s="338"/>
      <c r="AR220" s="338"/>
      <c r="AS220" s="338"/>
      <c r="AT220" s="338"/>
      <c r="AU220" s="338"/>
      <c r="AV220" s="338"/>
      <c r="AW220" s="338"/>
      <c r="AX220" s="338"/>
      <c r="AY220" s="338"/>
      <c r="AZ220" s="338"/>
      <c r="BA220" s="338"/>
      <c r="BB220" s="338"/>
      <c r="BC220" s="338"/>
      <c r="BD220" s="338"/>
      <c r="BE220" s="338"/>
      <c r="BF220" s="338"/>
      <c r="BG220" s="338"/>
      <c r="BH220" s="338"/>
      <c r="BI220" s="338"/>
      <c r="BJ220" s="338"/>
      <c r="BK220" s="338"/>
      <c r="BL220" s="338"/>
      <c r="BM220" s="338"/>
      <c r="BN220" s="338"/>
      <c r="BO220" s="338"/>
      <c r="BP220" s="338"/>
      <c r="BQ220" s="338"/>
      <c r="BR220" s="338"/>
      <c r="BS220" s="338"/>
      <c r="BT220" s="338"/>
      <c r="BU220" s="338"/>
      <c r="BV220" s="338"/>
      <c r="BW220" s="338"/>
      <c r="BX220" s="338"/>
      <c r="BY220" s="338"/>
      <c r="BZ220" s="338"/>
      <c r="CA220" s="338"/>
      <c r="CB220" s="338"/>
      <c r="CC220" s="338"/>
      <c r="CD220" s="338"/>
      <c r="CE220" s="338"/>
      <c r="CF220" s="338"/>
      <c r="CG220" s="338"/>
      <c r="CH220" s="338"/>
      <c r="CI220" s="338"/>
      <c r="CJ220" s="338"/>
      <c r="CK220" s="338"/>
      <c r="CL220" s="338"/>
    </row>
    <row r="221" ht="14.2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40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  <c r="AC221" s="338"/>
      <c r="AD221" s="338"/>
      <c r="AE221" s="338"/>
      <c r="AF221" s="338"/>
      <c r="AG221" s="338"/>
      <c r="AH221" s="338"/>
      <c r="AI221" s="338"/>
      <c r="AJ221" s="338"/>
      <c r="AK221" s="338"/>
      <c r="AL221" s="338"/>
      <c r="AM221" s="338"/>
      <c r="AN221" s="338"/>
      <c r="AO221" s="338"/>
      <c r="AP221" s="338"/>
      <c r="AQ221" s="338"/>
      <c r="AR221" s="338"/>
      <c r="AS221" s="338"/>
      <c r="AT221" s="338"/>
      <c r="AU221" s="338"/>
      <c r="AV221" s="338"/>
      <c r="AW221" s="338"/>
      <c r="AX221" s="338"/>
      <c r="AY221" s="338"/>
      <c r="AZ221" s="338"/>
      <c r="BA221" s="338"/>
      <c r="BB221" s="338"/>
      <c r="BC221" s="338"/>
      <c r="BD221" s="338"/>
      <c r="BE221" s="338"/>
      <c r="BF221" s="338"/>
      <c r="BG221" s="338"/>
      <c r="BH221" s="338"/>
      <c r="BI221" s="338"/>
      <c r="BJ221" s="338"/>
      <c r="BK221" s="338"/>
      <c r="BL221" s="338"/>
      <c r="BM221" s="338"/>
      <c r="BN221" s="338"/>
      <c r="BO221" s="338"/>
      <c r="BP221" s="338"/>
      <c r="BQ221" s="338"/>
      <c r="BR221" s="338"/>
      <c r="BS221" s="338"/>
      <c r="BT221" s="338"/>
      <c r="BU221" s="338"/>
      <c r="BV221" s="338"/>
      <c r="BW221" s="338"/>
      <c r="BX221" s="338"/>
      <c r="BY221" s="338"/>
      <c r="BZ221" s="338"/>
      <c r="CA221" s="338"/>
      <c r="CB221" s="338"/>
      <c r="CC221" s="338"/>
      <c r="CD221" s="338"/>
      <c r="CE221" s="338"/>
      <c r="CF221" s="338"/>
      <c r="CG221" s="338"/>
      <c r="CH221" s="338"/>
      <c r="CI221" s="338"/>
      <c r="CJ221" s="338"/>
      <c r="CK221" s="338"/>
      <c r="CL221" s="338"/>
    </row>
    <row r="222" ht="14.2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40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  <c r="AC222" s="338"/>
      <c r="AD222" s="338"/>
      <c r="AE222" s="338"/>
      <c r="AF222" s="338"/>
      <c r="AG222" s="338"/>
      <c r="AH222" s="338"/>
      <c r="AI222" s="338"/>
      <c r="AJ222" s="338"/>
      <c r="AK222" s="338"/>
      <c r="AL222" s="338"/>
      <c r="AM222" s="338"/>
      <c r="AN222" s="338"/>
      <c r="AO222" s="338"/>
      <c r="AP222" s="338"/>
      <c r="AQ222" s="338"/>
      <c r="AR222" s="338"/>
      <c r="AS222" s="338"/>
      <c r="AT222" s="338"/>
      <c r="AU222" s="338"/>
      <c r="AV222" s="338"/>
      <c r="AW222" s="338"/>
      <c r="AX222" s="338"/>
      <c r="AY222" s="338"/>
      <c r="AZ222" s="338"/>
      <c r="BA222" s="338"/>
      <c r="BB222" s="338"/>
      <c r="BC222" s="338"/>
      <c r="BD222" s="338"/>
      <c r="BE222" s="338"/>
      <c r="BF222" s="338"/>
      <c r="BG222" s="338"/>
      <c r="BH222" s="338"/>
      <c r="BI222" s="338"/>
      <c r="BJ222" s="338"/>
      <c r="BK222" s="338"/>
      <c r="BL222" s="338"/>
      <c r="BM222" s="338"/>
      <c r="BN222" s="338"/>
      <c r="BO222" s="338"/>
      <c r="BP222" s="338"/>
      <c r="BQ222" s="338"/>
      <c r="BR222" s="338"/>
      <c r="BS222" s="338"/>
      <c r="BT222" s="338"/>
      <c r="BU222" s="338"/>
      <c r="BV222" s="338"/>
      <c r="BW222" s="338"/>
      <c r="BX222" s="338"/>
      <c r="BY222" s="338"/>
      <c r="BZ222" s="338"/>
      <c r="CA222" s="338"/>
      <c r="CB222" s="338"/>
      <c r="CC222" s="338"/>
      <c r="CD222" s="338"/>
      <c r="CE222" s="338"/>
      <c r="CF222" s="338"/>
      <c r="CG222" s="338"/>
      <c r="CH222" s="338"/>
      <c r="CI222" s="338"/>
      <c r="CJ222" s="338"/>
      <c r="CK222" s="338"/>
      <c r="CL222" s="338"/>
    </row>
    <row r="223" ht="14.2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40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  <c r="AC223" s="338"/>
      <c r="AD223" s="338"/>
      <c r="AE223" s="338"/>
      <c r="AF223" s="338"/>
      <c r="AG223" s="338"/>
      <c r="AH223" s="338"/>
      <c r="AI223" s="338"/>
      <c r="AJ223" s="338"/>
      <c r="AK223" s="338"/>
      <c r="AL223" s="338"/>
      <c r="AM223" s="338"/>
      <c r="AN223" s="338"/>
      <c r="AO223" s="338"/>
      <c r="AP223" s="338"/>
      <c r="AQ223" s="338"/>
      <c r="AR223" s="338"/>
      <c r="AS223" s="338"/>
      <c r="AT223" s="338"/>
      <c r="AU223" s="338"/>
      <c r="AV223" s="338"/>
      <c r="AW223" s="338"/>
      <c r="AX223" s="338"/>
      <c r="AY223" s="338"/>
      <c r="AZ223" s="338"/>
      <c r="BA223" s="338"/>
      <c r="BB223" s="338"/>
      <c r="BC223" s="338"/>
      <c r="BD223" s="338"/>
      <c r="BE223" s="338"/>
      <c r="BF223" s="338"/>
      <c r="BG223" s="338"/>
      <c r="BH223" s="338"/>
      <c r="BI223" s="338"/>
      <c r="BJ223" s="338"/>
      <c r="BK223" s="338"/>
      <c r="BL223" s="338"/>
      <c r="BM223" s="338"/>
      <c r="BN223" s="338"/>
      <c r="BO223" s="338"/>
      <c r="BP223" s="338"/>
      <c r="BQ223" s="338"/>
      <c r="BR223" s="338"/>
      <c r="BS223" s="338"/>
      <c r="BT223" s="338"/>
      <c r="BU223" s="338"/>
      <c r="BV223" s="338"/>
      <c r="BW223" s="338"/>
      <c r="BX223" s="338"/>
      <c r="BY223" s="338"/>
      <c r="BZ223" s="338"/>
      <c r="CA223" s="338"/>
      <c r="CB223" s="338"/>
      <c r="CC223" s="338"/>
      <c r="CD223" s="338"/>
      <c r="CE223" s="338"/>
      <c r="CF223" s="338"/>
      <c r="CG223" s="338"/>
      <c r="CH223" s="338"/>
      <c r="CI223" s="338"/>
      <c r="CJ223" s="338"/>
      <c r="CK223" s="338"/>
      <c r="CL223" s="338"/>
    </row>
    <row r="224" ht="14.2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40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  <c r="AC224" s="338"/>
      <c r="AD224" s="338"/>
      <c r="AE224" s="338"/>
      <c r="AF224" s="338"/>
      <c r="AG224" s="338"/>
      <c r="AH224" s="338"/>
      <c r="AI224" s="338"/>
      <c r="AJ224" s="338"/>
      <c r="AK224" s="338"/>
      <c r="AL224" s="338"/>
      <c r="AM224" s="338"/>
      <c r="AN224" s="338"/>
      <c r="AO224" s="338"/>
      <c r="AP224" s="338"/>
      <c r="AQ224" s="338"/>
      <c r="AR224" s="338"/>
      <c r="AS224" s="338"/>
      <c r="AT224" s="338"/>
      <c r="AU224" s="338"/>
      <c r="AV224" s="338"/>
      <c r="AW224" s="338"/>
      <c r="AX224" s="338"/>
      <c r="AY224" s="338"/>
      <c r="AZ224" s="338"/>
      <c r="BA224" s="338"/>
      <c r="BB224" s="338"/>
      <c r="BC224" s="338"/>
      <c r="BD224" s="338"/>
      <c r="BE224" s="338"/>
      <c r="BF224" s="338"/>
      <c r="BG224" s="338"/>
      <c r="BH224" s="338"/>
      <c r="BI224" s="338"/>
      <c r="BJ224" s="338"/>
      <c r="BK224" s="338"/>
      <c r="BL224" s="338"/>
      <c r="BM224" s="338"/>
      <c r="BN224" s="338"/>
      <c r="BO224" s="338"/>
      <c r="BP224" s="338"/>
      <c r="BQ224" s="338"/>
      <c r="BR224" s="338"/>
      <c r="BS224" s="338"/>
      <c r="BT224" s="338"/>
      <c r="BU224" s="338"/>
      <c r="BV224" s="338"/>
      <c r="BW224" s="338"/>
      <c r="BX224" s="338"/>
      <c r="BY224" s="338"/>
      <c r="BZ224" s="338"/>
      <c r="CA224" s="338"/>
      <c r="CB224" s="338"/>
      <c r="CC224" s="338"/>
      <c r="CD224" s="338"/>
      <c r="CE224" s="338"/>
      <c r="CF224" s="338"/>
      <c r="CG224" s="338"/>
      <c r="CH224" s="338"/>
      <c r="CI224" s="338"/>
      <c r="CJ224" s="338"/>
      <c r="CK224" s="338"/>
      <c r="CL224" s="338"/>
    </row>
    <row r="225" ht="14.2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40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  <c r="AC225" s="338"/>
      <c r="AD225" s="338"/>
      <c r="AE225" s="338"/>
      <c r="AF225" s="338"/>
      <c r="AG225" s="338"/>
      <c r="AH225" s="338"/>
      <c r="AI225" s="338"/>
      <c r="AJ225" s="338"/>
      <c r="AK225" s="338"/>
      <c r="AL225" s="338"/>
      <c r="AM225" s="338"/>
      <c r="AN225" s="338"/>
      <c r="AO225" s="338"/>
      <c r="AP225" s="338"/>
      <c r="AQ225" s="338"/>
      <c r="AR225" s="338"/>
      <c r="AS225" s="338"/>
      <c r="AT225" s="338"/>
      <c r="AU225" s="338"/>
      <c r="AV225" s="338"/>
      <c r="AW225" s="338"/>
      <c r="AX225" s="338"/>
      <c r="AY225" s="338"/>
      <c r="AZ225" s="338"/>
      <c r="BA225" s="338"/>
      <c r="BB225" s="338"/>
      <c r="BC225" s="338"/>
      <c r="BD225" s="338"/>
      <c r="BE225" s="338"/>
      <c r="BF225" s="338"/>
      <c r="BG225" s="338"/>
      <c r="BH225" s="338"/>
      <c r="BI225" s="338"/>
      <c r="BJ225" s="338"/>
      <c r="BK225" s="338"/>
      <c r="BL225" s="338"/>
      <c r="BM225" s="338"/>
      <c r="BN225" s="338"/>
      <c r="BO225" s="338"/>
      <c r="BP225" s="338"/>
      <c r="BQ225" s="338"/>
      <c r="BR225" s="338"/>
      <c r="BS225" s="338"/>
      <c r="BT225" s="338"/>
      <c r="BU225" s="338"/>
      <c r="BV225" s="338"/>
      <c r="BW225" s="338"/>
      <c r="BX225" s="338"/>
      <c r="BY225" s="338"/>
      <c r="BZ225" s="338"/>
      <c r="CA225" s="338"/>
      <c r="CB225" s="338"/>
      <c r="CC225" s="338"/>
      <c r="CD225" s="338"/>
      <c r="CE225" s="338"/>
      <c r="CF225" s="338"/>
      <c r="CG225" s="338"/>
      <c r="CH225" s="338"/>
      <c r="CI225" s="338"/>
      <c r="CJ225" s="338"/>
      <c r="CK225" s="338"/>
      <c r="CL225" s="338"/>
    </row>
    <row r="226" ht="14.2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40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  <c r="AC226" s="338"/>
      <c r="AD226" s="338"/>
      <c r="AE226" s="338"/>
      <c r="AF226" s="338"/>
      <c r="AG226" s="338"/>
      <c r="AH226" s="338"/>
      <c r="AI226" s="338"/>
      <c r="AJ226" s="338"/>
      <c r="AK226" s="338"/>
      <c r="AL226" s="338"/>
      <c r="AM226" s="338"/>
      <c r="AN226" s="338"/>
      <c r="AO226" s="338"/>
      <c r="AP226" s="338"/>
      <c r="AQ226" s="338"/>
      <c r="AR226" s="338"/>
      <c r="AS226" s="338"/>
      <c r="AT226" s="338"/>
      <c r="AU226" s="338"/>
      <c r="AV226" s="338"/>
      <c r="AW226" s="338"/>
      <c r="AX226" s="338"/>
      <c r="AY226" s="338"/>
      <c r="AZ226" s="338"/>
      <c r="BA226" s="338"/>
      <c r="BB226" s="338"/>
      <c r="BC226" s="338"/>
      <c r="BD226" s="338"/>
      <c r="BE226" s="338"/>
      <c r="BF226" s="338"/>
      <c r="BG226" s="338"/>
      <c r="BH226" s="338"/>
      <c r="BI226" s="338"/>
      <c r="BJ226" s="338"/>
      <c r="BK226" s="338"/>
      <c r="BL226" s="338"/>
      <c r="BM226" s="338"/>
      <c r="BN226" s="338"/>
      <c r="BO226" s="338"/>
      <c r="BP226" s="338"/>
      <c r="BQ226" s="338"/>
      <c r="BR226" s="338"/>
      <c r="BS226" s="338"/>
      <c r="BT226" s="338"/>
      <c r="BU226" s="338"/>
      <c r="BV226" s="338"/>
      <c r="BW226" s="338"/>
      <c r="BX226" s="338"/>
      <c r="BY226" s="338"/>
      <c r="BZ226" s="338"/>
      <c r="CA226" s="338"/>
      <c r="CB226" s="338"/>
      <c r="CC226" s="338"/>
      <c r="CD226" s="338"/>
      <c r="CE226" s="338"/>
      <c r="CF226" s="338"/>
      <c r="CG226" s="338"/>
      <c r="CH226" s="338"/>
      <c r="CI226" s="338"/>
      <c r="CJ226" s="338"/>
      <c r="CK226" s="338"/>
      <c r="CL226" s="338"/>
    </row>
    <row r="227" ht="14.2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40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  <c r="AC227" s="338"/>
      <c r="AD227" s="338"/>
      <c r="AE227" s="338"/>
      <c r="AF227" s="338"/>
      <c r="AG227" s="338"/>
      <c r="AH227" s="338"/>
      <c r="AI227" s="338"/>
      <c r="AJ227" s="338"/>
      <c r="AK227" s="338"/>
      <c r="AL227" s="338"/>
      <c r="AM227" s="338"/>
      <c r="AN227" s="338"/>
      <c r="AO227" s="338"/>
      <c r="AP227" s="338"/>
      <c r="AQ227" s="338"/>
      <c r="AR227" s="338"/>
      <c r="AS227" s="338"/>
      <c r="AT227" s="338"/>
      <c r="AU227" s="338"/>
      <c r="AV227" s="338"/>
      <c r="AW227" s="338"/>
      <c r="AX227" s="338"/>
      <c r="AY227" s="338"/>
      <c r="AZ227" s="338"/>
      <c r="BA227" s="338"/>
      <c r="BB227" s="338"/>
      <c r="BC227" s="338"/>
      <c r="BD227" s="338"/>
      <c r="BE227" s="338"/>
      <c r="BF227" s="338"/>
      <c r="BG227" s="338"/>
      <c r="BH227" s="338"/>
      <c r="BI227" s="338"/>
      <c r="BJ227" s="338"/>
      <c r="BK227" s="338"/>
      <c r="BL227" s="338"/>
      <c r="BM227" s="338"/>
      <c r="BN227" s="338"/>
      <c r="BO227" s="338"/>
      <c r="BP227" s="338"/>
      <c r="BQ227" s="338"/>
      <c r="BR227" s="338"/>
      <c r="BS227" s="338"/>
      <c r="BT227" s="338"/>
      <c r="BU227" s="338"/>
      <c r="BV227" s="338"/>
      <c r="BW227" s="338"/>
      <c r="BX227" s="338"/>
      <c r="BY227" s="338"/>
      <c r="BZ227" s="338"/>
      <c r="CA227" s="338"/>
      <c r="CB227" s="338"/>
      <c r="CC227" s="338"/>
      <c r="CD227" s="338"/>
      <c r="CE227" s="338"/>
      <c r="CF227" s="338"/>
      <c r="CG227" s="338"/>
      <c r="CH227" s="338"/>
      <c r="CI227" s="338"/>
      <c r="CJ227" s="338"/>
      <c r="CK227" s="338"/>
      <c r="CL227" s="338"/>
    </row>
    <row r="228" ht="14.2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40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  <c r="AC228" s="338"/>
      <c r="AD228" s="338"/>
      <c r="AE228" s="338"/>
      <c r="AF228" s="338"/>
      <c r="AG228" s="338"/>
      <c r="AH228" s="338"/>
      <c r="AI228" s="338"/>
      <c r="AJ228" s="338"/>
      <c r="AK228" s="338"/>
      <c r="AL228" s="338"/>
      <c r="AM228" s="338"/>
      <c r="AN228" s="338"/>
      <c r="AO228" s="338"/>
      <c r="AP228" s="338"/>
      <c r="AQ228" s="338"/>
      <c r="AR228" s="338"/>
      <c r="AS228" s="338"/>
      <c r="AT228" s="338"/>
      <c r="AU228" s="338"/>
      <c r="AV228" s="338"/>
      <c r="AW228" s="338"/>
      <c r="AX228" s="338"/>
      <c r="AY228" s="338"/>
      <c r="AZ228" s="338"/>
      <c r="BA228" s="338"/>
      <c r="BB228" s="338"/>
      <c r="BC228" s="338"/>
      <c r="BD228" s="338"/>
      <c r="BE228" s="338"/>
      <c r="BF228" s="338"/>
      <c r="BG228" s="338"/>
      <c r="BH228" s="338"/>
      <c r="BI228" s="338"/>
      <c r="BJ228" s="338"/>
      <c r="BK228" s="338"/>
      <c r="BL228" s="338"/>
      <c r="BM228" s="338"/>
      <c r="BN228" s="338"/>
      <c r="BO228" s="338"/>
      <c r="BP228" s="338"/>
      <c r="BQ228" s="338"/>
      <c r="BR228" s="338"/>
      <c r="BS228" s="338"/>
      <c r="BT228" s="338"/>
      <c r="BU228" s="338"/>
      <c r="BV228" s="338"/>
      <c r="BW228" s="338"/>
      <c r="BX228" s="338"/>
      <c r="BY228" s="338"/>
      <c r="BZ228" s="338"/>
      <c r="CA228" s="338"/>
      <c r="CB228" s="338"/>
      <c r="CC228" s="338"/>
      <c r="CD228" s="338"/>
      <c r="CE228" s="338"/>
      <c r="CF228" s="338"/>
      <c r="CG228" s="338"/>
      <c r="CH228" s="338"/>
      <c r="CI228" s="338"/>
      <c r="CJ228" s="338"/>
      <c r="CK228" s="338"/>
      <c r="CL228" s="338"/>
    </row>
    <row r="229" ht="14.2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40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  <c r="AC229" s="338"/>
      <c r="AD229" s="338"/>
      <c r="AE229" s="338"/>
      <c r="AF229" s="338"/>
      <c r="AG229" s="338"/>
      <c r="AH229" s="338"/>
      <c r="AI229" s="338"/>
      <c r="AJ229" s="338"/>
      <c r="AK229" s="338"/>
      <c r="AL229" s="338"/>
      <c r="AM229" s="338"/>
      <c r="AN229" s="338"/>
      <c r="AO229" s="338"/>
      <c r="AP229" s="338"/>
      <c r="AQ229" s="338"/>
      <c r="AR229" s="338"/>
      <c r="AS229" s="338"/>
      <c r="AT229" s="338"/>
      <c r="AU229" s="338"/>
      <c r="AV229" s="338"/>
      <c r="AW229" s="338"/>
      <c r="AX229" s="338"/>
      <c r="AY229" s="338"/>
      <c r="AZ229" s="338"/>
      <c r="BA229" s="338"/>
      <c r="BB229" s="338"/>
      <c r="BC229" s="338"/>
      <c r="BD229" s="338"/>
      <c r="BE229" s="338"/>
      <c r="BF229" s="338"/>
      <c r="BG229" s="338"/>
      <c r="BH229" s="338"/>
      <c r="BI229" s="338"/>
      <c r="BJ229" s="338"/>
      <c r="BK229" s="338"/>
      <c r="BL229" s="338"/>
      <c r="BM229" s="338"/>
      <c r="BN229" s="338"/>
      <c r="BO229" s="338"/>
      <c r="BP229" s="338"/>
      <c r="BQ229" s="338"/>
      <c r="BR229" s="338"/>
      <c r="BS229" s="338"/>
      <c r="BT229" s="338"/>
      <c r="BU229" s="338"/>
      <c r="BV229" s="338"/>
      <c r="BW229" s="338"/>
      <c r="BX229" s="338"/>
      <c r="BY229" s="338"/>
      <c r="BZ229" s="338"/>
      <c r="CA229" s="338"/>
      <c r="CB229" s="338"/>
      <c r="CC229" s="338"/>
      <c r="CD229" s="338"/>
      <c r="CE229" s="338"/>
      <c r="CF229" s="338"/>
      <c r="CG229" s="338"/>
      <c r="CH229" s="338"/>
      <c r="CI229" s="338"/>
      <c r="CJ229" s="338"/>
      <c r="CK229" s="338"/>
      <c r="CL229" s="338"/>
    </row>
    <row r="230" ht="14.2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40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  <c r="AC230" s="338"/>
      <c r="AD230" s="338"/>
      <c r="AE230" s="338"/>
      <c r="AF230" s="338"/>
      <c r="AG230" s="338"/>
      <c r="AH230" s="338"/>
      <c r="AI230" s="338"/>
      <c r="AJ230" s="338"/>
      <c r="AK230" s="338"/>
      <c r="AL230" s="338"/>
      <c r="AM230" s="338"/>
      <c r="AN230" s="338"/>
      <c r="AO230" s="338"/>
      <c r="AP230" s="338"/>
      <c r="AQ230" s="338"/>
      <c r="AR230" s="338"/>
      <c r="AS230" s="338"/>
      <c r="AT230" s="338"/>
      <c r="AU230" s="338"/>
      <c r="AV230" s="338"/>
      <c r="AW230" s="338"/>
      <c r="AX230" s="338"/>
      <c r="AY230" s="338"/>
      <c r="AZ230" s="338"/>
      <c r="BA230" s="338"/>
      <c r="BB230" s="338"/>
      <c r="BC230" s="338"/>
      <c r="BD230" s="338"/>
      <c r="BE230" s="338"/>
      <c r="BF230" s="338"/>
      <c r="BG230" s="338"/>
      <c r="BH230" s="338"/>
      <c r="BI230" s="338"/>
      <c r="BJ230" s="338"/>
      <c r="BK230" s="338"/>
      <c r="BL230" s="338"/>
      <c r="BM230" s="338"/>
      <c r="BN230" s="338"/>
      <c r="BO230" s="338"/>
      <c r="BP230" s="338"/>
      <c r="BQ230" s="338"/>
      <c r="BR230" s="338"/>
      <c r="BS230" s="338"/>
      <c r="BT230" s="338"/>
      <c r="BU230" s="338"/>
      <c r="BV230" s="338"/>
      <c r="BW230" s="338"/>
      <c r="BX230" s="338"/>
      <c r="BY230" s="338"/>
      <c r="BZ230" s="338"/>
      <c r="CA230" s="338"/>
      <c r="CB230" s="338"/>
      <c r="CC230" s="338"/>
      <c r="CD230" s="338"/>
      <c r="CE230" s="338"/>
      <c r="CF230" s="338"/>
      <c r="CG230" s="338"/>
      <c r="CH230" s="338"/>
      <c r="CI230" s="338"/>
      <c r="CJ230" s="338"/>
      <c r="CK230" s="338"/>
      <c r="CL230" s="338"/>
    </row>
    <row r="231" ht="14.2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40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  <c r="AC231" s="338"/>
      <c r="AD231" s="338"/>
      <c r="AE231" s="338"/>
      <c r="AF231" s="338"/>
      <c r="AG231" s="338"/>
      <c r="AH231" s="338"/>
      <c r="AI231" s="338"/>
      <c r="AJ231" s="338"/>
      <c r="AK231" s="338"/>
      <c r="AL231" s="338"/>
      <c r="AM231" s="338"/>
      <c r="AN231" s="338"/>
      <c r="AO231" s="338"/>
      <c r="AP231" s="338"/>
      <c r="AQ231" s="338"/>
      <c r="AR231" s="338"/>
      <c r="AS231" s="338"/>
      <c r="AT231" s="338"/>
      <c r="AU231" s="338"/>
      <c r="AV231" s="338"/>
      <c r="AW231" s="338"/>
      <c r="AX231" s="338"/>
      <c r="AY231" s="338"/>
      <c r="AZ231" s="338"/>
      <c r="BA231" s="338"/>
      <c r="BB231" s="338"/>
      <c r="BC231" s="338"/>
      <c r="BD231" s="338"/>
      <c r="BE231" s="338"/>
      <c r="BF231" s="338"/>
      <c r="BG231" s="338"/>
      <c r="BH231" s="338"/>
      <c r="BI231" s="338"/>
      <c r="BJ231" s="338"/>
      <c r="BK231" s="338"/>
      <c r="BL231" s="338"/>
      <c r="BM231" s="338"/>
      <c r="BN231" s="338"/>
      <c r="BO231" s="338"/>
      <c r="BP231" s="338"/>
      <c r="BQ231" s="338"/>
      <c r="BR231" s="338"/>
      <c r="BS231" s="338"/>
      <c r="BT231" s="338"/>
      <c r="BU231" s="338"/>
      <c r="BV231" s="338"/>
      <c r="BW231" s="338"/>
      <c r="BX231" s="338"/>
      <c r="BY231" s="338"/>
      <c r="BZ231" s="338"/>
      <c r="CA231" s="338"/>
      <c r="CB231" s="338"/>
      <c r="CC231" s="338"/>
      <c r="CD231" s="338"/>
      <c r="CE231" s="338"/>
      <c r="CF231" s="338"/>
      <c r="CG231" s="338"/>
      <c r="CH231" s="338"/>
      <c r="CI231" s="338"/>
      <c r="CJ231" s="338"/>
      <c r="CK231" s="338"/>
      <c r="CL231" s="338"/>
    </row>
    <row r="232" ht="14.2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40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  <c r="AC232" s="338"/>
      <c r="AD232" s="338"/>
      <c r="AE232" s="338"/>
      <c r="AF232" s="338"/>
      <c r="AG232" s="338"/>
      <c r="AH232" s="338"/>
      <c r="AI232" s="338"/>
      <c r="AJ232" s="338"/>
      <c r="AK232" s="338"/>
      <c r="AL232" s="338"/>
      <c r="AM232" s="338"/>
      <c r="AN232" s="338"/>
      <c r="AO232" s="338"/>
      <c r="AP232" s="338"/>
      <c r="AQ232" s="338"/>
      <c r="AR232" s="338"/>
      <c r="AS232" s="338"/>
      <c r="AT232" s="338"/>
      <c r="AU232" s="338"/>
      <c r="AV232" s="338"/>
      <c r="AW232" s="338"/>
      <c r="AX232" s="338"/>
      <c r="AY232" s="338"/>
      <c r="AZ232" s="338"/>
      <c r="BA232" s="338"/>
      <c r="BB232" s="338"/>
      <c r="BC232" s="338"/>
      <c r="BD232" s="338"/>
      <c r="BE232" s="338"/>
      <c r="BF232" s="338"/>
      <c r="BG232" s="338"/>
      <c r="BH232" s="338"/>
      <c r="BI232" s="338"/>
      <c r="BJ232" s="338"/>
      <c r="BK232" s="338"/>
      <c r="BL232" s="338"/>
      <c r="BM232" s="338"/>
      <c r="BN232" s="338"/>
      <c r="BO232" s="338"/>
      <c r="BP232" s="338"/>
      <c r="BQ232" s="338"/>
      <c r="BR232" s="338"/>
      <c r="BS232" s="338"/>
      <c r="BT232" s="338"/>
      <c r="BU232" s="338"/>
      <c r="BV232" s="338"/>
      <c r="BW232" s="338"/>
      <c r="BX232" s="338"/>
      <c r="BY232" s="338"/>
      <c r="BZ232" s="338"/>
      <c r="CA232" s="338"/>
      <c r="CB232" s="338"/>
      <c r="CC232" s="338"/>
      <c r="CD232" s="338"/>
      <c r="CE232" s="338"/>
      <c r="CF232" s="338"/>
      <c r="CG232" s="338"/>
      <c r="CH232" s="338"/>
      <c r="CI232" s="338"/>
      <c r="CJ232" s="338"/>
      <c r="CK232" s="338"/>
      <c r="CL232" s="338"/>
    </row>
    <row r="233" ht="14.2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40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  <c r="AC233" s="338"/>
      <c r="AD233" s="338"/>
      <c r="AE233" s="338"/>
      <c r="AF233" s="338"/>
      <c r="AG233" s="338"/>
      <c r="AH233" s="338"/>
      <c r="AI233" s="338"/>
      <c r="AJ233" s="338"/>
      <c r="AK233" s="338"/>
      <c r="AL233" s="338"/>
      <c r="AM233" s="338"/>
      <c r="AN233" s="338"/>
      <c r="AO233" s="338"/>
      <c r="AP233" s="338"/>
      <c r="AQ233" s="338"/>
      <c r="AR233" s="338"/>
      <c r="AS233" s="338"/>
      <c r="AT233" s="338"/>
      <c r="AU233" s="338"/>
      <c r="AV233" s="338"/>
      <c r="AW233" s="338"/>
      <c r="AX233" s="338"/>
      <c r="AY233" s="338"/>
      <c r="AZ233" s="338"/>
      <c r="BA233" s="338"/>
      <c r="BB233" s="338"/>
      <c r="BC233" s="338"/>
      <c r="BD233" s="338"/>
      <c r="BE233" s="338"/>
      <c r="BF233" s="338"/>
      <c r="BG233" s="338"/>
      <c r="BH233" s="338"/>
      <c r="BI233" s="338"/>
      <c r="BJ233" s="338"/>
      <c r="BK233" s="338"/>
      <c r="BL233" s="338"/>
      <c r="BM233" s="338"/>
      <c r="BN233" s="338"/>
      <c r="BO233" s="338"/>
      <c r="BP233" s="338"/>
      <c r="BQ233" s="338"/>
      <c r="BR233" s="338"/>
      <c r="BS233" s="338"/>
      <c r="BT233" s="338"/>
      <c r="BU233" s="338"/>
      <c r="BV233" s="338"/>
      <c r="BW233" s="338"/>
      <c r="BX233" s="338"/>
      <c r="BY233" s="338"/>
      <c r="BZ233" s="338"/>
      <c r="CA233" s="338"/>
      <c r="CB233" s="338"/>
      <c r="CC233" s="338"/>
      <c r="CD233" s="338"/>
      <c r="CE233" s="338"/>
      <c r="CF233" s="338"/>
      <c r="CG233" s="338"/>
      <c r="CH233" s="338"/>
      <c r="CI233" s="338"/>
      <c r="CJ233" s="338"/>
      <c r="CK233" s="338"/>
      <c r="CL233" s="338"/>
    </row>
    <row r="234" ht="14.2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40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  <c r="AC234" s="338"/>
      <c r="AD234" s="338"/>
      <c r="AE234" s="338"/>
      <c r="AF234" s="338"/>
      <c r="AG234" s="338"/>
      <c r="AH234" s="338"/>
      <c r="AI234" s="338"/>
      <c r="AJ234" s="338"/>
      <c r="AK234" s="338"/>
      <c r="AL234" s="338"/>
      <c r="AM234" s="338"/>
      <c r="AN234" s="338"/>
      <c r="AO234" s="338"/>
      <c r="AP234" s="338"/>
      <c r="AQ234" s="338"/>
      <c r="AR234" s="338"/>
      <c r="AS234" s="338"/>
      <c r="AT234" s="338"/>
      <c r="AU234" s="338"/>
      <c r="AV234" s="338"/>
      <c r="AW234" s="338"/>
      <c r="AX234" s="338"/>
      <c r="AY234" s="338"/>
      <c r="AZ234" s="338"/>
      <c r="BA234" s="338"/>
      <c r="BB234" s="338"/>
      <c r="BC234" s="338"/>
      <c r="BD234" s="338"/>
      <c r="BE234" s="338"/>
      <c r="BF234" s="338"/>
      <c r="BG234" s="338"/>
      <c r="BH234" s="338"/>
      <c r="BI234" s="338"/>
      <c r="BJ234" s="338"/>
      <c r="BK234" s="338"/>
      <c r="BL234" s="338"/>
      <c r="BM234" s="338"/>
      <c r="BN234" s="338"/>
      <c r="BO234" s="338"/>
      <c r="BP234" s="338"/>
      <c r="BQ234" s="338"/>
      <c r="BR234" s="338"/>
      <c r="BS234" s="338"/>
      <c r="BT234" s="338"/>
      <c r="BU234" s="338"/>
      <c r="BV234" s="338"/>
      <c r="BW234" s="338"/>
      <c r="BX234" s="338"/>
      <c r="BY234" s="338"/>
      <c r="BZ234" s="338"/>
      <c r="CA234" s="338"/>
      <c r="CB234" s="338"/>
      <c r="CC234" s="338"/>
      <c r="CD234" s="338"/>
      <c r="CE234" s="338"/>
      <c r="CF234" s="338"/>
      <c r="CG234" s="338"/>
      <c r="CH234" s="338"/>
      <c r="CI234" s="338"/>
      <c r="CJ234" s="338"/>
      <c r="CK234" s="338"/>
      <c r="CL234" s="338"/>
    </row>
    <row r="235" ht="14.2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40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  <c r="AC235" s="338"/>
      <c r="AD235" s="338"/>
      <c r="AE235" s="338"/>
      <c r="AF235" s="338"/>
      <c r="AG235" s="338"/>
      <c r="AH235" s="338"/>
      <c r="AI235" s="338"/>
      <c r="AJ235" s="338"/>
      <c r="AK235" s="338"/>
      <c r="AL235" s="338"/>
      <c r="AM235" s="338"/>
      <c r="AN235" s="338"/>
      <c r="AO235" s="338"/>
      <c r="AP235" s="338"/>
      <c r="AQ235" s="338"/>
      <c r="AR235" s="338"/>
      <c r="AS235" s="338"/>
      <c r="AT235" s="338"/>
      <c r="AU235" s="338"/>
      <c r="AV235" s="338"/>
      <c r="AW235" s="338"/>
      <c r="AX235" s="338"/>
      <c r="AY235" s="338"/>
      <c r="AZ235" s="338"/>
      <c r="BA235" s="338"/>
      <c r="BB235" s="338"/>
      <c r="BC235" s="338"/>
      <c r="BD235" s="338"/>
      <c r="BE235" s="338"/>
      <c r="BF235" s="338"/>
      <c r="BG235" s="338"/>
      <c r="BH235" s="338"/>
      <c r="BI235" s="338"/>
      <c r="BJ235" s="338"/>
      <c r="BK235" s="338"/>
      <c r="BL235" s="338"/>
      <c r="BM235" s="338"/>
      <c r="BN235" s="338"/>
      <c r="BO235" s="338"/>
      <c r="BP235" s="338"/>
      <c r="BQ235" s="338"/>
      <c r="BR235" s="338"/>
      <c r="BS235" s="338"/>
      <c r="BT235" s="338"/>
      <c r="BU235" s="338"/>
      <c r="BV235" s="338"/>
      <c r="BW235" s="338"/>
      <c r="BX235" s="338"/>
      <c r="BY235" s="338"/>
      <c r="BZ235" s="338"/>
      <c r="CA235" s="338"/>
      <c r="CB235" s="338"/>
      <c r="CC235" s="338"/>
      <c r="CD235" s="338"/>
      <c r="CE235" s="338"/>
      <c r="CF235" s="338"/>
      <c r="CG235" s="338"/>
      <c r="CH235" s="338"/>
      <c r="CI235" s="338"/>
      <c r="CJ235" s="338"/>
      <c r="CK235" s="338"/>
      <c r="CL235" s="338"/>
    </row>
    <row r="236" ht="14.2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40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  <c r="AC236" s="338"/>
      <c r="AD236" s="338"/>
      <c r="AE236" s="338"/>
      <c r="AF236" s="338"/>
      <c r="AG236" s="338"/>
      <c r="AH236" s="338"/>
      <c r="AI236" s="338"/>
      <c r="AJ236" s="338"/>
      <c r="AK236" s="338"/>
      <c r="AL236" s="338"/>
      <c r="AM236" s="338"/>
      <c r="AN236" s="338"/>
      <c r="AO236" s="338"/>
      <c r="AP236" s="338"/>
      <c r="AQ236" s="338"/>
      <c r="AR236" s="338"/>
      <c r="AS236" s="338"/>
      <c r="AT236" s="338"/>
      <c r="AU236" s="338"/>
      <c r="AV236" s="338"/>
      <c r="AW236" s="338"/>
      <c r="AX236" s="338"/>
      <c r="AY236" s="338"/>
      <c r="AZ236" s="338"/>
      <c r="BA236" s="338"/>
      <c r="BB236" s="338"/>
      <c r="BC236" s="338"/>
      <c r="BD236" s="338"/>
      <c r="BE236" s="338"/>
      <c r="BF236" s="338"/>
      <c r="BG236" s="338"/>
      <c r="BH236" s="338"/>
      <c r="BI236" s="338"/>
      <c r="BJ236" s="338"/>
      <c r="BK236" s="338"/>
      <c r="BL236" s="338"/>
      <c r="BM236" s="338"/>
      <c r="BN236" s="338"/>
      <c r="BO236" s="338"/>
      <c r="BP236" s="338"/>
      <c r="BQ236" s="338"/>
      <c r="BR236" s="338"/>
      <c r="BS236" s="338"/>
      <c r="BT236" s="338"/>
      <c r="BU236" s="338"/>
      <c r="BV236" s="338"/>
      <c r="BW236" s="338"/>
      <c r="BX236" s="338"/>
      <c r="BY236" s="338"/>
      <c r="BZ236" s="338"/>
      <c r="CA236" s="338"/>
      <c r="CB236" s="338"/>
      <c r="CC236" s="338"/>
      <c r="CD236" s="338"/>
      <c r="CE236" s="338"/>
      <c r="CF236" s="338"/>
      <c r="CG236" s="338"/>
      <c r="CH236" s="338"/>
      <c r="CI236" s="338"/>
      <c r="CJ236" s="338"/>
      <c r="CK236" s="338"/>
      <c r="CL236" s="338"/>
    </row>
    <row r="237" ht="14.2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40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  <c r="AC237" s="338"/>
      <c r="AD237" s="338"/>
      <c r="AE237" s="338"/>
      <c r="AF237" s="338"/>
      <c r="AG237" s="338"/>
      <c r="AH237" s="338"/>
      <c r="AI237" s="338"/>
      <c r="AJ237" s="338"/>
      <c r="AK237" s="338"/>
      <c r="AL237" s="338"/>
      <c r="AM237" s="338"/>
      <c r="AN237" s="338"/>
      <c r="AO237" s="338"/>
      <c r="AP237" s="338"/>
      <c r="AQ237" s="338"/>
      <c r="AR237" s="338"/>
      <c r="AS237" s="338"/>
      <c r="AT237" s="338"/>
      <c r="AU237" s="338"/>
      <c r="AV237" s="338"/>
      <c r="AW237" s="338"/>
      <c r="AX237" s="338"/>
      <c r="AY237" s="338"/>
      <c r="AZ237" s="338"/>
      <c r="BA237" s="338"/>
      <c r="BB237" s="338"/>
      <c r="BC237" s="338"/>
      <c r="BD237" s="338"/>
      <c r="BE237" s="338"/>
      <c r="BF237" s="338"/>
      <c r="BG237" s="338"/>
      <c r="BH237" s="338"/>
      <c r="BI237" s="338"/>
      <c r="BJ237" s="338"/>
      <c r="BK237" s="338"/>
      <c r="BL237" s="338"/>
      <c r="BM237" s="338"/>
      <c r="BN237" s="338"/>
      <c r="BO237" s="338"/>
      <c r="BP237" s="338"/>
      <c r="BQ237" s="338"/>
      <c r="BR237" s="338"/>
      <c r="BS237" s="338"/>
      <c r="BT237" s="338"/>
      <c r="BU237" s="338"/>
      <c r="BV237" s="338"/>
      <c r="BW237" s="338"/>
      <c r="BX237" s="338"/>
      <c r="BY237" s="338"/>
      <c r="BZ237" s="338"/>
      <c r="CA237" s="338"/>
      <c r="CB237" s="338"/>
      <c r="CC237" s="338"/>
      <c r="CD237" s="338"/>
      <c r="CE237" s="338"/>
      <c r="CF237" s="338"/>
      <c r="CG237" s="338"/>
      <c r="CH237" s="338"/>
      <c r="CI237" s="338"/>
      <c r="CJ237" s="338"/>
      <c r="CK237" s="338"/>
      <c r="CL237" s="338"/>
    </row>
    <row r="238" ht="14.2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40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  <c r="AC238" s="338"/>
      <c r="AD238" s="338"/>
      <c r="AE238" s="338"/>
      <c r="AF238" s="338"/>
      <c r="AG238" s="338"/>
      <c r="AH238" s="338"/>
      <c r="AI238" s="338"/>
      <c r="AJ238" s="338"/>
      <c r="AK238" s="338"/>
      <c r="AL238" s="338"/>
      <c r="AM238" s="338"/>
      <c r="AN238" s="338"/>
      <c r="AO238" s="338"/>
      <c r="AP238" s="338"/>
      <c r="AQ238" s="338"/>
      <c r="AR238" s="338"/>
      <c r="AS238" s="338"/>
      <c r="AT238" s="338"/>
      <c r="AU238" s="338"/>
      <c r="AV238" s="338"/>
      <c r="AW238" s="338"/>
      <c r="AX238" s="338"/>
      <c r="AY238" s="338"/>
      <c r="AZ238" s="338"/>
      <c r="BA238" s="338"/>
      <c r="BB238" s="338"/>
      <c r="BC238" s="338"/>
      <c r="BD238" s="338"/>
      <c r="BE238" s="338"/>
      <c r="BF238" s="338"/>
      <c r="BG238" s="338"/>
      <c r="BH238" s="338"/>
      <c r="BI238" s="338"/>
      <c r="BJ238" s="338"/>
      <c r="BK238" s="338"/>
      <c r="BL238" s="338"/>
      <c r="BM238" s="338"/>
      <c r="BN238" s="338"/>
      <c r="BO238" s="338"/>
      <c r="BP238" s="338"/>
      <c r="BQ238" s="338"/>
      <c r="BR238" s="338"/>
      <c r="BS238" s="338"/>
      <c r="BT238" s="338"/>
      <c r="BU238" s="338"/>
      <c r="BV238" s="338"/>
      <c r="BW238" s="338"/>
      <c r="BX238" s="338"/>
      <c r="BY238" s="338"/>
      <c r="BZ238" s="338"/>
      <c r="CA238" s="338"/>
      <c r="CB238" s="338"/>
      <c r="CC238" s="338"/>
      <c r="CD238" s="338"/>
      <c r="CE238" s="338"/>
      <c r="CF238" s="338"/>
      <c r="CG238" s="338"/>
      <c r="CH238" s="338"/>
      <c r="CI238" s="338"/>
      <c r="CJ238" s="338"/>
      <c r="CK238" s="338"/>
      <c r="CL238" s="338"/>
    </row>
    <row r="239" ht="14.2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40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  <c r="CF239" s="338"/>
      <c r="CG239" s="338"/>
      <c r="CH239" s="338"/>
      <c r="CI239" s="338"/>
      <c r="CJ239" s="338"/>
      <c r="CK239" s="338"/>
      <c r="CL239" s="338"/>
    </row>
    <row r="240" ht="14.2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40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  <c r="AC240" s="338"/>
      <c r="AD240" s="338"/>
      <c r="AE240" s="338"/>
      <c r="AF240" s="338"/>
      <c r="AG240" s="338"/>
      <c r="AH240" s="338"/>
      <c r="AI240" s="338"/>
      <c r="AJ240" s="338"/>
      <c r="AK240" s="338"/>
      <c r="AL240" s="338"/>
      <c r="AM240" s="338"/>
      <c r="AN240" s="338"/>
      <c r="AO240" s="338"/>
      <c r="AP240" s="338"/>
      <c r="AQ240" s="338"/>
      <c r="AR240" s="338"/>
      <c r="AS240" s="338"/>
      <c r="AT240" s="338"/>
      <c r="AU240" s="338"/>
      <c r="AV240" s="338"/>
      <c r="AW240" s="338"/>
      <c r="AX240" s="338"/>
      <c r="AY240" s="338"/>
      <c r="AZ240" s="338"/>
      <c r="BA240" s="338"/>
      <c r="BB240" s="338"/>
      <c r="BC240" s="338"/>
      <c r="BD240" s="338"/>
      <c r="BE240" s="338"/>
      <c r="BF240" s="338"/>
      <c r="BG240" s="338"/>
      <c r="BH240" s="338"/>
      <c r="BI240" s="338"/>
      <c r="BJ240" s="338"/>
      <c r="BK240" s="338"/>
      <c r="BL240" s="338"/>
      <c r="BM240" s="338"/>
      <c r="BN240" s="338"/>
      <c r="BO240" s="338"/>
      <c r="BP240" s="338"/>
      <c r="BQ240" s="338"/>
      <c r="BR240" s="338"/>
      <c r="BS240" s="338"/>
      <c r="BT240" s="338"/>
      <c r="BU240" s="338"/>
      <c r="BV240" s="338"/>
      <c r="BW240" s="338"/>
      <c r="BX240" s="338"/>
      <c r="BY240" s="338"/>
      <c r="BZ240" s="338"/>
      <c r="CA240" s="338"/>
      <c r="CB240" s="338"/>
      <c r="CC240" s="338"/>
      <c r="CD240" s="338"/>
      <c r="CE240" s="338"/>
      <c r="CF240" s="338"/>
      <c r="CG240" s="338"/>
      <c r="CH240" s="338"/>
      <c r="CI240" s="338"/>
      <c r="CJ240" s="338"/>
      <c r="CK240" s="338"/>
      <c r="CL240" s="338"/>
    </row>
    <row r="241" ht="14.2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40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  <c r="AC241" s="338"/>
      <c r="AD241" s="338"/>
      <c r="AE241" s="338"/>
      <c r="AF241" s="338"/>
      <c r="AG241" s="338"/>
      <c r="AH241" s="338"/>
      <c r="AI241" s="338"/>
      <c r="AJ241" s="338"/>
      <c r="AK241" s="338"/>
      <c r="AL241" s="338"/>
      <c r="AM241" s="338"/>
      <c r="AN241" s="338"/>
      <c r="AO241" s="338"/>
      <c r="AP241" s="338"/>
      <c r="AQ241" s="338"/>
      <c r="AR241" s="338"/>
      <c r="AS241" s="338"/>
      <c r="AT241" s="338"/>
      <c r="AU241" s="338"/>
      <c r="AV241" s="338"/>
      <c r="AW241" s="338"/>
      <c r="AX241" s="338"/>
      <c r="AY241" s="338"/>
      <c r="AZ241" s="338"/>
      <c r="BA241" s="338"/>
      <c r="BB241" s="338"/>
      <c r="BC241" s="338"/>
      <c r="BD241" s="338"/>
      <c r="BE241" s="338"/>
      <c r="BF241" s="338"/>
      <c r="BG241" s="338"/>
      <c r="BH241" s="338"/>
      <c r="BI241" s="338"/>
      <c r="BJ241" s="338"/>
      <c r="BK241" s="338"/>
      <c r="BL241" s="338"/>
      <c r="BM241" s="338"/>
      <c r="BN241" s="338"/>
      <c r="BO241" s="338"/>
      <c r="BP241" s="338"/>
      <c r="BQ241" s="338"/>
      <c r="BR241" s="338"/>
      <c r="BS241" s="338"/>
      <c r="BT241" s="338"/>
      <c r="BU241" s="338"/>
      <c r="BV241" s="338"/>
      <c r="BW241" s="338"/>
      <c r="BX241" s="338"/>
      <c r="BY241" s="338"/>
      <c r="BZ241" s="338"/>
      <c r="CA241" s="338"/>
      <c r="CB241" s="338"/>
      <c r="CC241" s="338"/>
      <c r="CD241" s="338"/>
      <c r="CE241" s="338"/>
      <c r="CF241" s="338"/>
      <c r="CG241" s="338"/>
      <c r="CH241" s="338"/>
      <c r="CI241" s="338"/>
      <c r="CJ241" s="338"/>
      <c r="CK241" s="338"/>
      <c r="CL241" s="338"/>
    </row>
    <row r="242" ht="14.2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40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  <c r="AI242" s="338"/>
      <c r="AJ242" s="338"/>
      <c r="AK242" s="338"/>
      <c r="AL242" s="338"/>
      <c r="AM242" s="338"/>
      <c r="AN242" s="338"/>
      <c r="AO242" s="338"/>
      <c r="AP242" s="338"/>
      <c r="AQ242" s="338"/>
      <c r="AR242" s="338"/>
      <c r="AS242" s="338"/>
      <c r="AT242" s="338"/>
      <c r="AU242" s="338"/>
      <c r="AV242" s="338"/>
      <c r="AW242" s="338"/>
      <c r="AX242" s="338"/>
      <c r="AY242" s="338"/>
      <c r="AZ242" s="338"/>
      <c r="BA242" s="338"/>
      <c r="BB242" s="338"/>
      <c r="BC242" s="338"/>
      <c r="BD242" s="338"/>
      <c r="BE242" s="338"/>
      <c r="BF242" s="338"/>
      <c r="BG242" s="338"/>
      <c r="BH242" s="338"/>
      <c r="BI242" s="338"/>
      <c r="BJ242" s="338"/>
      <c r="BK242" s="338"/>
      <c r="BL242" s="338"/>
      <c r="BM242" s="338"/>
      <c r="BN242" s="338"/>
      <c r="BO242" s="338"/>
      <c r="BP242" s="338"/>
      <c r="BQ242" s="338"/>
      <c r="BR242" s="338"/>
      <c r="BS242" s="338"/>
      <c r="BT242" s="338"/>
      <c r="BU242" s="338"/>
      <c r="BV242" s="338"/>
      <c r="BW242" s="338"/>
      <c r="BX242" s="338"/>
      <c r="BY242" s="338"/>
      <c r="BZ242" s="338"/>
      <c r="CA242" s="338"/>
      <c r="CB242" s="338"/>
      <c r="CC242" s="338"/>
      <c r="CD242" s="338"/>
      <c r="CE242" s="338"/>
      <c r="CF242" s="338"/>
      <c r="CG242" s="338"/>
      <c r="CH242" s="338"/>
      <c r="CI242" s="338"/>
      <c r="CJ242" s="338"/>
      <c r="CK242" s="338"/>
      <c r="CL242" s="338"/>
    </row>
    <row r="243" ht="14.2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40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  <c r="AI243" s="338"/>
      <c r="AJ243" s="338"/>
      <c r="AK243" s="338"/>
      <c r="AL243" s="338"/>
      <c r="AM243" s="338"/>
      <c r="AN243" s="338"/>
      <c r="AO243" s="338"/>
      <c r="AP243" s="338"/>
      <c r="AQ243" s="338"/>
      <c r="AR243" s="338"/>
      <c r="AS243" s="338"/>
      <c r="AT243" s="338"/>
      <c r="AU243" s="338"/>
      <c r="AV243" s="338"/>
      <c r="AW243" s="338"/>
      <c r="AX243" s="338"/>
      <c r="AY243" s="338"/>
      <c r="AZ243" s="338"/>
      <c r="BA243" s="338"/>
      <c r="BB243" s="338"/>
      <c r="BC243" s="338"/>
      <c r="BD243" s="338"/>
      <c r="BE243" s="338"/>
      <c r="BF243" s="338"/>
      <c r="BG243" s="338"/>
      <c r="BH243" s="338"/>
      <c r="BI243" s="338"/>
      <c r="BJ243" s="338"/>
      <c r="BK243" s="338"/>
      <c r="BL243" s="338"/>
      <c r="BM243" s="338"/>
      <c r="BN243" s="338"/>
      <c r="BO243" s="338"/>
      <c r="BP243" s="338"/>
      <c r="BQ243" s="338"/>
      <c r="BR243" s="338"/>
      <c r="BS243" s="338"/>
      <c r="BT243" s="338"/>
      <c r="BU243" s="338"/>
      <c r="BV243" s="338"/>
      <c r="BW243" s="338"/>
      <c r="BX243" s="338"/>
      <c r="BY243" s="338"/>
      <c r="BZ243" s="338"/>
      <c r="CA243" s="338"/>
      <c r="CB243" s="338"/>
      <c r="CC243" s="338"/>
      <c r="CD243" s="338"/>
      <c r="CE243" s="338"/>
      <c r="CF243" s="338"/>
      <c r="CG243" s="338"/>
      <c r="CH243" s="338"/>
      <c r="CI243" s="338"/>
      <c r="CJ243" s="338"/>
      <c r="CK243" s="338"/>
      <c r="CL243" s="338"/>
    </row>
    <row r="244" ht="14.2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40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  <c r="AC244" s="338"/>
      <c r="AD244" s="338"/>
      <c r="AE244" s="338"/>
      <c r="AF244" s="338"/>
      <c r="AG244" s="338"/>
      <c r="AH244" s="338"/>
      <c r="AI244" s="338"/>
      <c r="AJ244" s="338"/>
      <c r="AK244" s="338"/>
      <c r="AL244" s="338"/>
      <c r="AM244" s="338"/>
      <c r="AN244" s="338"/>
      <c r="AO244" s="338"/>
      <c r="AP244" s="338"/>
      <c r="AQ244" s="338"/>
      <c r="AR244" s="338"/>
      <c r="AS244" s="338"/>
      <c r="AT244" s="338"/>
      <c r="AU244" s="338"/>
      <c r="AV244" s="338"/>
      <c r="AW244" s="338"/>
      <c r="AX244" s="338"/>
      <c r="AY244" s="338"/>
      <c r="AZ244" s="338"/>
      <c r="BA244" s="338"/>
      <c r="BB244" s="338"/>
      <c r="BC244" s="338"/>
      <c r="BD244" s="338"/>
      <c r="BE244" s="338"/>
      <c r="BF244" s="338"/>
      <c r="BG244" s="338"/>
      <c r="BH244" s="338"/>
      <c r="BI244" s="338"/>
      <c r="BJ244" s="338"/>
      <c r="BK244" s="338"/>
      <c r="BL244" s="338"/>
      <c r="BM244" s="338"/>
      <c r="BN244" s="338"/>
      <c r="BO244" s="338"/>
      <c r="BP244" s="338"/>
      <c r="BQ244" s="338"/>
      <c r="BR244" s="338"/>
      <c r="BS244" s="338"/>
      <c r="BT244" s="338"/>
      <c r="BU244" s="338"/>
      <c r="BV244" s="338"/>
      <c r="BW244" s="338"/>
      <c r="BX244" s="338"/>
      <c r="BY244" s="338"/>
      <c r="BZ244" s="338"/>
      <c r="CA244" s="338"/>
      <c r="CB244" s="338"/>
      <c r="CC244" s="338"/>
      <c r="CD244" s="338"/>
      <c r="CE244" s="338"/>
      <c r="CF244" s="338"/>
      <c r="CG244" s="338"/>
      <c r="CH244" s="338"/>
      <c r="CI244" s="338"/>
      <c r="CJ244" s="338"/>
      <c r="CK244" s="338"/>
      <c r="CL244" s="338"/>
    </row>
    <row r="245" ht="14.2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40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  <c r="AC245" s="338"/>
      <c r="AD245" s="338"/>
      <c r="AE245" s="338"/>
      <c r="AF245" s="338"/>
      <c r="AG245" s="338"/>
      <c r="AH245" s="338"/>
      <c r="AI245" s="338"/>
      <c r="AJ245" s="338"/>
      <c r="AK245" s="338"/>
      <c r="AL245" s="338"/>
      <c r="AM245" s="338"/>
      <c r="AN245" s="338"/>
      <c r="AO245" s="338"/>
      <c r="AP245" s="338"/>
      <c r="AQ245" s="338"/>
      <c r="AR245" s="338"/>
      <c r="AS245" s="338"/>
      <c r="AT245" s="338"/>
      <c r="AU245" s="338"/>
      <c r="AV245" s="338"/>
      <c r="AW245" s="338"/>
      <c r="AX245" s="338"/>
      <c r="AY245" s="338"/>
      <c r="AZ245" s="338"/>
      <c r="BA245" s="338"/>
      <c r="BB245" s="338"/>
      <c r="BC245" s="338"/>
      <c r="BD245" s="338"/>
      <c r="BE245" s="338"/>
      <c r="BF245" s="338"/>
      <c r="BG245" s="338"/>
      <c r="BH245" s="338"/>
      <c r="BI245" s="338"/>
      <c r="BJ245" s="338"/>
      <c r="BK245" s="338"/>
      <c r="BL245" s="338"/>
      <c r="BM245" s="338"/>
      <c r="BN245" s="338"/>
      <c r="BO245" s="338"/>
      <c r="BP245" s="338"/>
      <c r="BQ245" s="338"/>
      <c r="BR245" s="338"/>
      <c r="BS245" s="338"/>
      <c r="BT245" s="338"/>
      <c r="BU245" s="338"/>
      <c r="BV245" s="338"/>
      <c r="BW245" s="338"/>
      <c r="BX245" s="338"/>
      <c r="BY245" s="338"/>
      <c r="BZ245" s="338"/>
      <c r="CA245" s="338"/>
      <c r="CB245" s="338"/>
      <c r="CC245" s="338"/>
      <c r="CD245" s="338"/>
      <c r="CE245" s="338"/>
      <c r="CF245" s="338"/>
      <c r="CG245" s="338"/>
      <c r="CH245" s="338"/>
      <c r="CI245" s="338"/>
      <c r="CJ245" s="338"/>
      <c r="CK245" s="338"/>
      <c r="CL245" s="338"/>
    </row>
    <row r="246" ht="14.2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40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  <c r="AC246" s="338"/>
      <c r="AD246" s="338"/>
      <c r="AE246" s="338"/>
      <c r="AF246" s="338"/>
      <c r="AG246" s="338"/>
      <c r="AH246" s="338"/>
      <c r="AI246" s="338"/>
      <c r="AJ246" s="338"/>
      <c r="AK246" s="338"/>
      <c r="AL246" s="338"/>
      <c r="AM246" s="338"/>
      <c r="AN246" s="338"/>
      <c r="AO246" s="338"/>
      <c r="AP246" s="338"/>
      <c r="AQ246" s="338"/>
      <c r="AR246" s="338"/>
      <c r="AS246" s="338"/>
      <c r="AT246" s="338"/>
      <c r="AU246" s="338"/>
      <c r="AV246" s="338"/>
      <c r="AW246" s="338"/>
      <c r="AX246" s="338"/>
      <c r="AY246" s="338"/>
      <c r="AZ246" s="338"/>
      <c r="BA246" s="338"/>
      <c r="BB246" s="338"/>
      <c r="BC246" s="338"/>
      <c r="BD246" s="338"/>
      <c r="BE246" s="338"/>
      <c r="BF246" s="338"/>
      <c r="BG246" s="338"/>
      <c r="BH246" s="338"/>
      <c r="BI246" s="338"/>
      <c r="BJ246" s="338"/>
      <c r="BK246" s="338"/>
      <c r="BL246" s="338"/>
      <c r="BM246" s="338"/>
      <c r="BN246" s="338"/>
      <c r="BO246" s="338"/>
      <c r="BP246" s="338"/>
      <c r="BQ246" s="338"/>
      <c r="BR246" s="338"/>
      <c r="BS246" s="338"/>
      <c r="BT246" s="338"/>
      <c r="BU246" s="338"/>
      <c r="BV246" s="338"/>
      <c r="BW246" s="338"/>
      <c r="BX246" s="338"/>
      <c r="BY246" s="338"/>
      <c r="BZ246" s="338"/>
      <c r="CA246" s="338"/>
      <c r="CB246" s="338"/>
      <c r="CC246" s="338"/>
      <c r="CD246" s="338"/>
      <c r="CE246" s="338"/>
      <c r="CF246" s="338"/>
      <c r="CG246" s="338"/>
      <c r="CH246" s="338"/>
      <c r="CI246" s="338"/>
      <c r="CJ246" s="338"/>
      <c r="CK246" s="338"/>
      <c r="CL246" s="338"/>
    </row>
    <row r="247" ht="14.2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40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  <c r="AC247" s="338"/>
      <c r="AD247" s="338"/>
      <c r="AE247" s="338"/>
      <c r="AF247" s="338"/>
      <c r="AG247" s="338"/>
      <c r="AH247" s="338"/>
      <c r="AI247" s="338"/>
      <c r="AJ247" s="338"/>
      <c r="AK247" s="338"/>
      <c r="AL247" s="338"/>
      <c r="AM247" s="338"/>
      <c r="AN247" s="338"/>
      <c r="AO247" s="338"/>
      <c r="AP247" s="338"/>
      <c r="AQ247" s="338"/>
      <c r="AR247" s="338"/>
      <c r="AS247" s="338"/>
      <c r="AT247" s="338"/>
      <c r="AU247" s="338"/>
      <c r="AV247" s="338"/>
      <c r="AW247" s="338"/>
      <c r="AX247" s="338"/>
      <c r="AY247" s="338"/>
      <c r="AZ247" s="338"/>
      <c r="BA247" s="338"/>
      <c r="BB247" s="338"/>
      <c r="BC247" s="338"/>
      <c r="BD247" s="338"/>
      <c r="BE247" s="338"/>
      <c r="BF247" s="338"/>
      <c r="BG247" s="338"/>
      <c r="BH247" s="338"/>
      <c r="BI247" s="338"/>
      <c r="BJ247" s="338"/>
      <c r="BK247" s="338"/>
      <c r="BL247" s="338"/>
      <c r="BM247" s="338"/>
      <c r="BN247" s="338"/>
      <c r="BO247" s="338"/>
      <c r="BP247" s="338"/>
      <c r="BQ247" s="338"/>
      <c r="BR247" s="338"/>
      <c r="BS247" s="338"/>
      <c r="BT247" s="338"/>
      <c r="BU247" s="338"/>
      <c r="BV247" s="338"/>
      <c r="BW247" s="338"/>
      <c r="BX247" s="338"/>
      <c r="BY247" s="338"/>
      <c r="BZ247" s="338"/>
      <c r="CA247" s="338"/>
      <c r="CB247" s="338"/>
      <c r="CC247" s="338"/>
      <c r="CD247" s="338"/>
      <c r="CE247" s="338"/>
      <c r="CF247" s="338"/>
      <c r="CG247" s="338"/>
      <c r="CH247" s="338"/>
      <c r="CI247" s="338"/>
      <c r="CJ247" s="338"/>
      <c r="CK247" s="338"/>
      <c r="CL247" s="338"/>
    </row>
    <row r="248" ht="14.2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40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  <c r="AC248" s="338"/>
      <c r="AD248" s="338"/>
      <c r="AE248" s="338"/>
      <c r="AF248" s="338"/>
      <c r="AG248" s="338"/>
      <c r="AH248" s="338"/>
      <c r="AI248" s="338"/>
      <c r="AJ248" s="338"/>
      <c r="AK248" s="338"/>
      <c r="AL248" s="338"/>
      <c r="AM248" s="338"/>
      <c r="AN248" s="338"/>
      <c r="AO248" s="338"/>
      <c r="AP248" s="338"/>
      <c r="AQ248" s="338"/>
      <c r="AR248" s="338"/>
      <c r="AS248" s="338"/>
      <c r="AT248" s="338"/>
      <c r="AU248" s="338"/>
      <c r="AV248" s="338"/>
      <c r="AW248" s="338"/>
      <c r="AX248" s="338"/>
      <c r="AY248" s="338"/>
      <c r="AZ248" s="338"/>
      <c r="BA248" s="338"/>
      <c r="BB248" s="338"/>
      <c r="BC248" s="338"/>
      <c r="BD248" s="338"/>
      <c r="BE248" s="338"/>
      <c r="BF248" s="338"/>
      <c r="BG248" s="338"/>
      <c r="BH248" s="338"/>
      <c r="BI248" s="338"/>
      <c r="BJ248" s="338"/>
      <c r="BK248" s="338"/>
      <c r="BL248" s="338"/>
      <c r="BM248" s="338"/>
      <c r="BN248" s="338"/>
      <c r="BO248" s="338"/>
      <c r="BP248" s="338"/>
      <c r="BQ248" s="338"/>
      <c r="BR248" s="338"/>
      <c r="BS248" s="338"/>
      <c r="BT248" s="338"/>
      <c r="BU248" s="338"/>
      <c r="BV248" s="338"/>
      <c r="BW248" s="338"/>
      <c r="BX248" s="338"/>
      <c r="BY248" s="338"/>
      <c r="BZ248" s="338"/>
      <c r="CA248" s="338"/>
      <c r="CB248" s="338"/>
      <c r="CC248" s="338"/>
      <c r="CD248" s="338"/>
      <c r="CE248" s="338"/>
      <c r="CF248" s="338"/>
      <c r="CG248" s="338"/>
      <c r="CH248" s="338"/>
      <c r="CI248" s="338"/>
      <c r="CJ248" s="338"/>
      <c r="CK248" s="338"/>
      <c r="CL248" s="338"/>
    </row>
    <row r="249" ht="14.2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40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8"/>
      <c r="AD249" s="338"/>
      <c r="AE249" s="338"/>
      <c r="AF249" s="338"/>
      <c r="AG249" s="338"/>
      <c r="AH249" s="338"/>
      <c r="AI249" s="338"/>
      <c r="AJ249" s="338"/>
      <c r="AK249" s="338"/>
      <c r="AL249" s="338"/>
      <c r="AM249" s="338"/>
      <c r="AN249" s="338"/>
      <c r="AO249" s="338"/>
      <c r="AP249" s="338"/>
      <c r="AQ249" s="338"/>
      <c r="AR249" s="338"/>
      <c r="AS249" s="338"/>
      <c r="AT249" s="338"/>
      <c r="AU249" s="338"/>
      <c r="AV249" s="338"/>
      <c r="AW249" s="338"/>
      <c r="AX249" s="338"/>
      <c r="AY249" s="338"/>
      <c r="AZ249" s="338"/>
      <c r="BA249" s="338"/>
      <c r="BB249" s="338"/>
      <c r="BC249" s="338"/>
      <c r="BD249" s="338"/>
      <c r="BE249" s="338"/>
      <c r="BF249" s="338"/>
      <c r="BG249" s="338"/>
      <c r="BH249" s="338"/>
      <c r="BI249" s="338"/>
      <c r="BJ249" s="338"/>
      <c r="BK249" s="338"/>
      <c r="BL249" s="338"/>
      <c r="BM249" s="338"/>
      <c r="BN249" s="338"/>
      <c r="BO249" s="338"/>
      <c r="BP249" s="338"/>
      <c r="BQ249" s="338"/>
      <c r="BR249" s="338"/>
      <c r="BS249" s="338"/>
      <c r="BT249" s="338"/>
      <c r="BU249" s="338"/>
      <c r="BV249" s="338"/>
      <c r="BW249" s="338"/>
      <c r="BX249" s="338"/>
      <c r="BY249" s="338"/>
      <c r="BZ249" s="338"/>
      <c r="CA249" s="338"/>
      <c r="CB249" s="338"/>
      <c r="CC249" s="338"/>
      <c r="CD249" s="338"/>
      <c r="CE249" s="338"/>
      <c r="CF249" s="338"/>
      <c r="CG249" s="338"/>
      <c r="CH249" s="338"/>
      <c r="CI249" s="338"/>
      <c r="CJ249" s="338"/>
      <c r="CK249" s="338"/>
      <c r="CL249" s="338"/>
    </row>
    <row r="250" ht="14.2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40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  <c r="AC250" s="338"/>
      <c r="AD250" s="338"/>
      <c r="AE250" s="338"/>
      <c r="AF250" s="338"/>
      <c r="AG250" s="338"/>
      <c r="AH250" s="338"/>
      <c r="AI250" s="338"/>
      <c r="AJ250" s="338"/>
      <c r="AK250" s="338"/>
      <c r="AL250" s="338"/>
      <c r="AM250" s="338"/>
      <c r="AN250" s="338"/>
      <c r="AO250" s="338"/>
      <c r="AP250" s="338"/>
      <c r="AQ250" s="338"/>
      <c r="AR250" s="338"/>
      <c r="AS250" s="338"/>
      <c r="AT250" s="338"/>
      <c r="AU250" s="338"/>
      <c r="AV250" s="338"/>
      <c r="AW250" s="338"/>
      <c r="AX250" s="338"/>
      <c r="AY250" s="338"/>
      <c r="AZ250" s="338"/>
      <c r="BA250" s="338"/>
      <c r="BB250" s="338"/>
      <c r="BC250" s="338"/>
      <c r="BD250" s="338"/>
      <c r="BE250" s="338"/>
      <c r="BF250" s="338"/>
      <c r="BG250" s="338"/>
      <c r="BH250" s="338"/>
      <c r="BI250" s="338"/>
      <c r="BJ250" s="338"/>
      <c r="BK250" s="338"/>
      <c r="BL250" s="338"/>
      <c r="BM250" s="338"/>
      <c r="BN250" s="338"/>
      <c r="BO250" s="338"/>
      <c r="BP250" s="338"/>
      <c r="BQ250" s="338"/>
      <c r="BR250" s="338"/>
      <c r="BS250" s="338"/>
      <c r="BT250" s="338"/>
      <c r="BU250" s="338"/>
      <c r="BV250" s="338"/>
      <c r="BW250" s="338"/>
      <c r="BX250" s="338"/>
      <c r="BY250" s="338"/>
      <c r="BZ250" s="338"/>
      <c r="CA250" s="338"/>
      <c r="CB250" s="338"/>
      <c r="CC250" s="338"/>
      <c r="CD250" s="338"/>
      <c r="CE250" s="338"/>
      <c r="CF250" s="338"/>
      <c r="CG250" s="338"/>
      <c r="CH250" s="338"/>
      <c r="CI250" s="338"/>
      <c r="CJ250" s="338"/>
      <c r="CK250" s="338"/>
      <c r="CL250" s="338"/>
    </row>
    <row r="251" ht="14.2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40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  <c r="AC251" s="338"/>
      <c r="AD251" s="338"/>
      <c r="AE251" s="338"/>
      <c r="AF251" s="338"/>
      <c r="AG251" s="338"/>
      <c r="AH251" s="338"/>
      <c r="AI251" s="338"/>
      <c r="AJ251" s="338"/>
      <c r="AK251" s="338"/>
      <c r="AL251" s="338"/>
      <c r="AM251" s="338"/>
      <c r="AN251" s="338"/>
      <c r="AO251" s="338"/>
      <c r="AP251" s="338"/>
      <c r="AQ251" s="338"/>
      <c r="AR251" s="338"/>
      <c r="AS251" s="338"/>
      <c r="AT251" s="338"/>
      <c r="AU251" s="338"/>
      <c r="AV251" s="338"/>
      <c r="AW251" s="338"/>
      <c r="AX251" s="338"/>
      <c r="AY251" s="338"/>
      <c r="AZ251" s="338"/>
      <c r="BA251" s="338"/>
      <c r="BB251" s="338"/>
      <c r="BC251" s="338"/>
      <c r="BD251" s="338"/>
      <c r="BE251" s="338"/>
      <c r="BF251" s="338"/>
      <c r="BG251" s="338"/>
      <c r="BH251" s="338"/>
      <c r="BI251" s="338"/>
      <c r="BJ251" s="338"/>
      <c r="BK251" s="338"/>
      <c r="BL251" s="338"/>
      <c r="BM251" s="338"/>
      <c r="BN251" s="338"/>
      <c r="BO251" s="338"/>
      <c r="BP251" s="338"/>
      <c r="BQ251" s="338"/>
      <c r="BR251" s="338"/>
      <c r="BS251" s="338"/>
      <c r="BT251" s="338"/>
      <c r="BU251" s="338"/>
      <c r="BV251" s="338"/>
      <c r="BW251" s="338"/>
      <c r="BX251" s="338"/>
      <c r="BY251" s="338"/>
      <c r="BZ251" s="338"/>
      <c r="CA251" s="338"/>
      <c r="CB251" s="338"/>
      <c r="CC251" s="338"/>
      <c r="CD251" s="338"/>
      <c r="CE251" s="338"/>
      <c r="CF251" s="338"/>
      <c r="CG251" s="338"/>
      <c r="CH251" s="338"/>
      <c r="CI251" s="338"/>
      <c r="CJ251" s="338"/>
      <c r="CK251" s="338"/>
      <c r="CL251" s="338"/>
    </row>
    <row r="252" ht="14.2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40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  <c r="AC252" s="338"/>
      <c r="AD252" s="338"/>
      <c r="AE252" s="338"/>
      <c r="AF252" s="338"/>
      <c r="AG252" s="338"/>
      <c r="AH252" s="338"/>
      <c r="AI252" s="338"/>
      <c r="AJ252" s="338"/>
      <c r="AK252" s="338"/>
      <c r="AL252" s="338"/>
      <c r="AM252" s="338"/>
      <c r="AN252" s="338"/>
      <c r="AO252" s="338"/>
      <c r="AP252" s="338"/>
      <c r="AQ252" s="338"/>
      <c r="AR252" s="338"/>
      <c r="AS252" s="338"/>
      <c r="AT252" s="338"/>
      <c r="AU252" s="338"/>
      <c r="AV252" s="338"/>
      <c r="AW252" s="338"/>
      <c r="AX252" s="338"/>
      <c r="AY252" s="338"/>
      <c r="AZ252" s="338"/>
      <c r="BA252" s="338"/>
      <c r="BB252" s="338"/>
      <c r="BC252" s="338"/>
      <c r="BD252" s="338"/>
      <c r="BE252" s="338"/>
      <c r="BF252" s="338"/>
      <c r="BG252" s="338"/>
      <c r="BH252" s="338"/>
      <c r="BI252" s="338"/>
      <c r="BJ252" s="338"/>
      <c r="BK252" s="338"/>
      <c r="BL252" s="338"/>
      <c r="BM252" s="338"/>
      <c r="BN252" s="338"/>
      <c r="BO252" s="338"/>
      <c r="BP252" s="338"/>
      <c r="BQ252" s="338"/>
      <c r="BR252" s="338"/>
      <c r="BS252" s="338"/>
      <c r="BT252" s="338"/>
      <c r="BU252" s="338"/>
      <c r="BV252" s="338"/>
      <c r="BW252" s="338"/>
      <c r="BX252" s="338"/>
      <c r="BY252" s="338"/>
      <c r="BZ252" s="338"/>
      <c r="CA252" s="338"/>
      <c r="CB252" s="338"/>
      <c r="CC252" s="338"/>
      <c r="CD252" s="338"/>
      <c r="CE252" s="338"/>
      <c r="CF252" s="338"/>
      <c r="CG252" s="338"/>
      <c r="CH252" s="338"/>
      <c r="CI252" s="338"/>
      <c r="CJ252" s="338"/>
      <c r="CK252" s="338"/>
      <c r="CL252" s="338"/>
    </row>
    <row r="253" ht="14.2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40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8"/>
      <c r="AD253" s="338"/>
      <c r="AE253" s="338"/>
      <c r="AF253" s="338"/>
      <c r="AG253" s="338"/>
      <c r="AH253" s="338"/>
      <c r="AI253" s="338"/>
      <c r="AJ253" s="338"/>
      <c r="AK253" s="338"/>
      <c r="AL253" s="338"/>
      <c r="AM253" s="338"/>
      <c r="AN253" s="338"/>
      <c r="AO253" s="338"/>
      <c r="AP253" s="338"/>
      <c r="AQ253" s="338"/>
      <c r="AR253" s="338"/>
      <c r="AS253" s="338"/>
      <c r="AT253" s="338"/>
      <c r="AU253" s="338"/>
      <c r="AV253" s="338"/>
      <c r="AW253" s="338"/>
      <c r="AX253" s="338"/>
      <c r="AY253" s="338"/>
      <c r="AZ253" s="338"/>
      <c r="BA253" s="338"/>
      <c r="BB253" s="338"/>
      <c r="BC253" s="338"/>
      <c r="BD253" s="338"/>
      <c r="BE253" s="338"/>
      <c r="BF253" s="338"/>
      <c r="BG253" s="338"/>
      <c r="BH253" s="338"/>
      <c r="BI253" s="338"/>
      <c r="BJ253" s="338"/>
      <c r="BK253" s="338"/>
      <c r="BL253" s="338"/>
      <c r="BM253" s="338"/>
      <c r="BN253" s="338"/>
      <c r="BO253" s="338"/>
      <c r="BP253" s="338"/>
      <c r="BQ253" s="338"/>
      <c r="BR253" s="338"/>
      <c r="BS253" s="338"/>
      <c r="BT253" s="338"/>
      <c r="BU253" s="338"/>
      <c r="BV253" s="338"/>
      <c r="BW253" s="338"/>
      <c r="BX253" s="338"/>
      <c r="BY253" s="338"/>
      <c r="BZ253" s="338"/>
      <c r="CA253" s="338"/>
      <c r="CB253" s="338"/>
      <c r="CC253" s="338"/>
      <c r="CD253" s="338"/>
      <c r="CE253" s="338"/>
      <c r="CF253" s="338"/>
      <c r="CG253" s="338"/>
      <c r="CH253" s="338"/>
      <c r="CI253" s="338"/>
      <c r="CJ253" s="338"/>
      <c r="CK253" s="338"/>
      <c r="CL253" s="338"/>
    </row>
    <row r="254" ht="14.2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40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  <c r="AC254" s="338"/>
      <c r="AD254" s="338"/>
      <c r="AE254" s="338"/>
      <c r="AF254" s="338"/>
      <c r="AG254" s="338"/>
      <c r="AH254" s="338"/>
      <c r="AI254" s="338"/>
      <c r="AJ254" s="338"/>
      <c r="AK254" s="338"/>
      <c r="AL254" s="338"/>
      <c r="AM254" s="338"/>
      <c r="AN254" s="338"/>
      <c r="AO254" s="338"/>
      <c r="AP254" s="338"/>
      <c r="AQ254" s="338"/>
      <c r="AR254" s="338"/>
      <c r="AS254" s="338"/>
      <c r="AT254" s="338"/>
      <c r="AU254" s="338"/>
      <c r="AV254" s="338"/>
      <c r="AW254" s="338"/>
      <c r="AX254" s="338"/>
      <c r="AY254" s="338"/>
      <c r="AZ254" s="338"/>
      <c r="BA254" s="338"/>
      <c r="BB254" s="338"/>
      <c r="BC254" s="338"/>
      <c r="BD254" s="338"/>
      <c r="BE254" s="338"/>
      <c r="BF254" s="338"/>
      <c r="BG254" s="338"/>
      <c r="BH254" s="338"/>
      <c r="BI254" s="338"/>
      <c r="BJ254" s="338"/>
      <c r="BK254" s="338"/>
      <c r="BL254" s="338"/>
      <c r="BM254" s="338"/>
      <c r="BN254" s="338"/>
      <c r="BO254" s="338"/>
      <c r="BP254" s="338"/>
      <c r="BQ254" s="338"/>
      <c r="BR254" s="338"/>
      <c r="BS254" s="338"/>
      <c r="BT254" s="338"/>
      <c r="BU254" s="338"/>
      <c r="BV254" s="338"/>
      <c r="BW254" s="338"/>
      <c r="BX254" s="338"/>
      <c r="BY254" s="338"/>
      <c r="BZ254" s="338"/>
      <c r="CA254" s="338"/>
      <c r="CB254" s="338"/>
      <c r="CC254" s="338"/>
      <c r="CD254" s="338"/>
      <c r="CE254" s="338"/>
      <c r="CF254" s="338"/>
      <c r="CG254" s="338"/>
      <c r="CH254" s="338"/>
      <c r="CI254" s="338"/>
      <c r="CJ254" s="338"/>
      <c r="CK254" s="338"/>
      <c r="CL254" s="338"/>
    </row>
    <row r="255" ht="14.2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40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  <c r="AI255" s="338"/>
      <c r="AJ255" s="338"/>
      <c r="AK255" s="338"/>
      <c r="AL255" s="338"/>
      <c r="AM255" s="338"/>
      <c r="AN255" s="338"/>
      <c r="AO255" s="338"/>
      <c r="AP255" s="338"/>
      <c r="AQ255" s="338"/>
      <c r="AR255" s="338"/>
      <c r="AS255" s="338"/>
      <c r="AT255" s="338"/>
      <c r="AU255" s="338"/>
      <c r="AV255" s="338"/>
      <c r="AW255" s="338"/>
      <c r="AX255" s="338"/>
      <c r="AY255" s="338"/>
      <c r="AZ255" s="338"/>
      <c r="BA255" s="338"/>
      <c r="BB255" s="338"/>
      <c r="BC255" s="338"/>
      <c r="BD255" s="338"/>
      <c r="BE255" s="338"/>
      <c r="BF255" s="338"/>
      <c r="BG255" s="338"/>
      <c r="BH255" s="338"/>
      <c r="BI255" s="338"/>
      <c r="BJ255" s="338"/>
      <c r="BK255" s="338"/>
      <c r="BL255" s="338"/>
      <c r="BM255" s="338"/>
      <c r="BN255" s="338"/>
      <c r="BO255" s="338"/>
      <c r="BP255" s="338"/>
      <c r="BQ255" s="338"/>
      <c r="BR255" s="338"/>
      <c r="BS255" s="338"/>
      <c r="BT255" s="338"/>
      <c r="BU255" s="338"/>
      <c r="BV255" s="338"/>
      <c r="BW255" s="338"/>
      <c r="BX255" s="338"/>
      <c r="BY255" s="338"/>
      <c r="BZ255" s="338"/>
      <c r="CA255" s="338"/>
      <c r="CB255" s="338"/>
      <c r="CC255" s="338"/>
      <c r="CD255" s="338"/>
      <c r="CE255" s="338"/>
      <c r="CF255" s="338"/>
      <c r="CG255" s="338"/>
      <c r="CH255" s="338"/>
      <c r="CI255" s="338"/>
      <c r="CJ255" s="338"/>
      <c r="CK255" s="338"/>
      <c r="CL255" s="338"/>
    </row>
    <row r="256" ht="14.2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40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  <c r="AI256" s="338"/>
      <c r="AJ256" s="338"/>
      <c r="AK256" s="338"/>
      <c r="AL256" s="338"/>
      <c r="AM256" s="338"/>
      <c r="AN256" s="338"/>
      <c r="AO256" s="338"/>
      <c r="AP256" s="338"/>
      <c r="AQ256" s="338"/>
      <c r="AR256" s="338"/>
      <c r="AS256" s="338"/>
      <c r="AT256" s="338"/>
      <c r="AU256" s="338"/>
      <c r="AV256" s="338"/>
      <c r="AW256" s="338"/>
      <c r="AX256" s="338"/>
      <c r="AY256" s="338"/>
      <c r="AZ256" s="338"/>
      <c r="BA256" s="338"/>
      <c r="BB256" s="338"/>
      <c r="BC256" s="338"/>
      <c r="BD256" s="338"/>
      <c r="BE256" s="338"/>
      <c r="BF256" s="338"/>
      <c r="BG256" s="338"/>
      <c r="BH256" s="338"/>
      <c r="BI256" s="338"/>
      <c r="BJ256" s="338"/>
      <c r="BK256" s="338"/>
      <c r="BL256" s="338"/>
      <c r="BM256" s="338"/>
      <c r="BN256" s="338"/>
      <c r="BO256" s="338"/>
      <c r="BP256" s="338"/>
      <c r="BQ256" s="338"/>
      <c r="BR256" s="338"/>
      <c r="BS256" s="338"/>
      <c r="BT256" s="338"/>
      <c r="BU256" s="338"/>
      <c r="BV256" s="338"/>
      <c r="BW256" s="338"/>
      <c r="BX256" s="338"/>
      <c r="BY256" s="338"/>
      <c r="BZ256" s="338"/>
      <c r="CA256" s="338"/>
      <c r="CB256" s="338"/>
      <c r="CC256" s="338"/>
      <c r="CD256" s="338"/>
      <c r="CE256" s="338"/>
      <c r="CF256" s="338"/>
      <c r="CG256" s="338"/>
      <c r="CH256" s="338"/>
      <c r="CI256" s="338"/>
      <c r="CJ256" s="338"/>
      <c r="CK256" s="338"/>
      <c r="CL256" s="338"/>
    </row>
    <row r="257" ht="14.2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40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  <c r="CF257" s="338"/>
      <c r="CG257" s="338"/>
      <c r="CH257" s="338"/>
      <c r="CI257" s="338"/>
      <c r="CJ257" s="338"/>
      <c r="CK257" s="338"/>
      <c r="CL257" s="338"/>
    </row>
    <row r="258" ht="14.2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40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  <c r="AI258" s="338"/>
      <c r="AJ258" s="338"/>
      <c r="AK258" s="338"/>
      <c r="AL258" s="338"/>
      <c r="AM258" s="338"/>
      <c r="AN258" s="338"/>
      <c r="AO258" s="338"/>
      <c r="AP258" s="338"/>
      <c r="AQ258" s="338"/>
      <c r="AR258" s="338"/>
      <c r="AS258" s="338"/>
      <c r="AT258" s="338"/>
      <c r="AU258" s="338"/>
      <c r="AV258" s="338"/>
      <c r="AW258" s="338"/>
      <c r="AX258" s="338"/>
      <c r="AY258" s="338"/>
      <c r="AZ258" s="338"/>
      <c r="BA258" s="338"/>
      <c r="BB258" s="338"/>
      <c r="BC258" s="338"/>
      <c r="BD258" s="338"/>
      <c r="BE258" s="338"/>
      <c r="BF258" s="338"/>
      <c r="BG258" s="338"/>
      <c r="BH258" s="338"/>
      <c r="BI258" s="338"/>
      <c r="BJ258" s="338"/>
      <c r="BK258" s="338"/>
      <c r="BL258" s="338"/>
      <c r="BM258" s="338"/>
      <c r="BN258" s="338"/>
      <c r="BO258" s="338"/>
      <c r="BP258" s="338"/>
      <c r="BQ258" s="338"/>
      <c r="BR258" s="338"/>
      <c r="BS258" s="338"/>
      <c r="BT258" s="338"/>
      <c r="BU258" s="338"/>
      <c r="BV258" s="338"/>
      <c r="BW258" s="338"/>
      <c r="BX258" s="338"/>
      <c r="BY258" s="338"/>
      <c r="BZ258" s="338"/>
      <c r="CA258" s="338"/>
      <c r="CB258" s="338"/>
      <c r="CC258" s="338"/>
      <c r="CD258" s="338"/>
      <c r="CE258" s="338"/>
      <c r="CF258" s="338"/>
      <c r="CG258" s="338"/>
      <c r="CH258" s="338"/>
      <c r="CI258" s="338"/>
      <c r="CJ258" s="338"/>
      <c r="CK258" s="338"/>
      <c r="CL258" s="338"/>
    </row>
    <row r="259" ht="14.2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40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  <c r="AI259" s="338"/>
      <c r="AJ259" s="338"/>
      <c r="AK259" s="338"/>
      <c r="AL259" s="338"/>
      <c r="AM259" s="338"/>
      <c r="AN259" s="338"/>
      <c r="AO259" s="338"/>
      <c r="AP259" s="338"/>
      <c r="AQ259" s="338"/>
      <c r="AR259" s="338"/>
      <c r="AS259" s="338"/>
      <c r="AT259" s="338"/>
      <c r="AU259" s="338"/>
      <c r="AV259" s="338"/>
      <c r="AW259" s="338"/>
      <c r="AX259" s="338"/>
      <c r="AY259" s="338"/>
      <c r="AZ259" s="338"/>
      <c r="BA259" s="338"/>
      <c r="BB259" s="338"/>
      <c r="BC259" s="338"/>
      <c r="BD259" s="338"/>
      <c r="BE259" s="338"/>
      <c r="BF259" s="338"/>
      <c r="BG259" s="338"/>
      <c r="BH259" s="338"/>
      <c r="BI259" s="338"/>
      <c r="BJ259" s="338"/>
      <c r="BK259" s="338"/>
      <c r="BL259" s="338"/>
      <c r="BM259" s="338"/>
      <c r="BN259" s="338"/>
      <c r="BO259" s="338"/>
      <c r="BP259" s="338"/>
      <c r="BQ259" s="338"/>
      <c r="BR259" s="338"/>
      <c r="BS259" s="338"/>
      <c r="BT259" s="338"/>
      <c r="BU259" s="338"/>
      <c r="BV259" s="338"/>
      <c r="BW259" s="338"/>
      <c r="BX259" s="338"/>
      <c r="BY259" s="338"/>
      <c r="BZ259" s="338"/>
      <c r="CA259" s="338"/>
      <c r="CB259" s="338"/>
      <c r="CC259" s="338"/>
      <c r="CD259" s="338"/>
      <c r="CE259" s="338"/>
      <c r="CF259" s="338"/>
      <c r="CG259" s="338"/>
      <c r="CH259" s="338"/>
      <c r="CI259" s="338"/>
      <c r="CJ259" s="338"/>
      <c r="CK259" s="338"/>
      <c r="CL259" s="338"/>
    </row>
    <row r="260" ht="14.2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40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  <c r="AI260" s="338"/>
      <c r="AJ260" s="338"/>
      <c r="AK260" s="338"/>
      <c r="AL260" s="338"/>
      <c r="AM260" s="338"/>
      <c r="AN260" s="338"/>
      <c r="AO260" s="338"/>
      <c r="AP260" s="338"/>
      <c r="AQ260" s="338"/>
      <c r="AR260" s="338"/>
      <c r="AS260" s="338"/>
      <c r="AT260" s="338"/>
      <c r="AU260" s="338"/>
      <c r="AV260" s="338"/>
      <c r="AW260" s="338"/>
      <c r="AX260" s="338"/>
      <c r="AY260" s="338"/>
      <c r="AZ260" s="338"/>
      <c r="BA260" s="338"/>
      <c r="BB260" s="338"/>
      <c r="BC260" s="338"/>
      <c r="BD260" s="338"/>
      <c r="BE260" s="338"/>
      <c r="BF260" s="338"/>
      <c r="BG260" s="338"/>
      <c r="BH260" s="338"/>
      <c r="BI260" s="338"/>
      <c r="BJ260" s="338"/>
      <c r="BK260" s="338"/>
      <c r="BL260" s="338"/>
      <c r="BM260" s="338"/>
      <c r="BN260" s="338"/>
      <c r="BO260" s="338"/>
      <c r="BP260" s="338"/>
      <c r="BQ260" s="338"/>
      <c r="BR260" s="338"/>
      <c r="BS260" s="338"/>
      <c r="BT260" s="338"/>
      <c r="BU260" s="338"/>
      <c r="BV260" s="338"/>
      <c r="BW260" s="338"/>
      <c r="BX260" s="338"/>
      <c r="BY260" s="338"/>
      <c r="BZ260" s="338"/>
      <c r="CA260" s="338"/>
      <c r="CB260" s="338"/>
      <c r="CC260" s="338"/>
      <c r="CD260" s="338"/>
      <c r="CE260" s="338"/>
      <c r="CF260" s="338"/>
      <c r="CG260" s="338"/>
      <c r="CH260" s="338"/>
      <c r="CI260" s="338"/>
      <c r="CJ260" s="338"/>
      <c r="CK260" s="338"/>
      <c r="CL260" s="338"/>
    </row>
    <row r="261" ht="14.2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40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  <c r="AI261" s="338"/>
      <c r="AJ261" s="338"/>
      <c r="AK261" s="338"/>
      <c r="AL261" s="338"/>
      <c r="AM261" s="338"/>
      <c r="AN261" s="338"/>
      <c r="AO261" s="338"/>
      <c r="AP261" s="338"/>
      <c r="AQ261" s="338"/>
      <c r="AR261" s="338"/>
      <c r="AS261" s="338"/>
      <c r="AT261" s="338"/>
      <c r="AU261" s="338"/>
      <c r="AV261" s="338"/>
      <c r="AW261" s="338"/>
      <c r="AX261" s="338"/>
      <c r="AY261" s="338"/>
      <c r="AZ261" s="338"/>
      <c r="BA261" s="338"/>
      <c r="BB261" s="338"/>
      <c r="BC261" s="338"/>
      <c r="BD261" s="338"/>
      <c r="BE261" s="338"/>
      <c r="BF261" s="338"/>
      <c r="BG261" s="338"/>
      <c r="BH261" s="338"/>
      <c r="BI261" s="338"/>
      <c r="BJ261" s="338"/>
      <c r="BK261" s="338"/>
      <c r="BL261" s="338"/>
      <c r="BM261" s="338"/>
      <c r="BN261" s="338"/>
      <c r="BO261" s="338"/>
      <c r="BP261" s="338"/>
      <c r="BQ261" s="338"/>
      <c r="BR261" s="338"/>
      <c r="BS261" s="338"/>
      <c r="BT261" s="338"/>
      <c r="BU261" s="338"/>
      <c r="BV261" s="338"/>
      <c r="BW261" s="338"/>
      <c r="BX261" s="338"/>
      <c r="BY261" s="338"/>
      <c r="BZ261" s="338"/>
      <c r="CA261" s="338"/>
      <c r="CB261" s="338"/>
      <c r="CC261" s="338"/>
      <c r="CD261" s="338"/>
      <c r="CE261" s="338"/>
      <c r="CF261" s="338"/>
      <c r="CG261" s="338"/>
      <c r="CH261" s="338"/>
      <c r="CI261" s="338"/>
      <c r="CJ261" s="338"/>
      <c r="CK261" s="338"/>
      <c r="CL261" s="338"/>
    </row>
    <row r="262" ht="14.2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40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  <c r="AI262" s="338"/>
      <c r="AJ262" s="338"/>
      <c r="AK262" s="338"/>
      <c r="AL262" s="338"/>
      <c r="AM262" s="338"/>
      <c r="AN262" s="338"/>
      <c r="AO262" s="338"/>
      <c r="AP262" s="338"/>
      <c r="AQ262" s="338"/>
      <c r="AR262" s="338"/>
      <c r="AS262" s="338"/>
      <c r="AT262" s="338"/>
      <c r="AU262" s="338"/>
      <c r="AV262" s="338"/>
      <c r="AW262" s="338"/>
      <c r="AX262" s="338"/>
      <c r="AY262" s="338"/>
      <c r="AZ262" s="338"/>
      <c r="BA262" s="338"/>
      <c r="BB262" s="338"/>
      <c r="BC262" s="338"/>
      <c r="BD262" s="338"/>
      <c r="BE262" s="338"/>
      <c r="BF262" s="338"/>
      <c r="BG262" s="338"/>
      <c r="BH262" s="338"/>
      <c r="BI262" s="338"/>
      <c r="BJ262" s="338"/>
      <c r="BK262" s="338"/>
      <c r="BL262" s="338"/>
      <c r="BM262" s="338"/>
      <c r="BN262" s="338"/>
      <c r="BO262" s="338"/>
      <c r="BP262" s="338"/>
      <c r="BQ262" s="338"/>
      <c r="BR262" s="338"/>
      <c r="BS262" s="338"/>
      <c r="BT262" s="338"/>
      <c r="BU262" s="338"/>
      <c r="BV262" s="338"/>
      <c r="BW262" s="338"/>
      <c r="BX262" s="338"/>
      <c r="BY262" s="338"/>
      <c r="BZ262" s="338"/>
      <c r="CA262" s="338"/>
      <c r="CB262" s="338"/>
      <c r="CC262" s="338"/>
      <c r="CD262" s="338"/>
      <c r="CE262" s="338"/>
      <c r="CF262" s="338"/>
      <c r="CG262" s="338"/>
      <c r="CH262" s="338"/>
      <c r="CI262" s="338"/>
      <c r="CJ262" s="338"/>
      <c r="CK262" s="338"/>
      <c r="CL262" s="338"/>
    </row>
    <row r="263" ht="14.2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40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  <c r="AI263" s="338"/>
      <c r="AJ263" s="338"/>
      <c r="AK263" s="338"/>
      <c r="AL263" s="338"/>
      <c r="AM263" s="338"/>
      <c r="AN263" s="338"/>
      <c r="AO263" s="338"/>
      <c r="AP263" s="338"/>
      <c r="AQ263" s="338"/>
      <c r="AR263" s="338"/>
      <c r="AS263" s="338"/>
      <c r="AT263" s="338"/>
      <c r="AU263" s="338"/>
      <c r="AV263" s="338"/>
      <c r="AW263" s="338"/>
      <c r="AX263" s="338"/>
      <c r="AY263" s="338"/>
      <c r="AZ263" s="338"/>
      <c r="BA263" s="338"/>
      <c r="BB263" s="338"/>
      <c r="BC263" s="338"/>
      <c r="BD263" s="338"/>
      <c r="BE263" s="338"/>
      <c r="BF263" s="338"/>
      <c r="BG263" s="338"/>
      <c r="BH263" s="338"/>
      <c r="BI263" s="338"/>
      <c r="BJ263" s="338"/>
      <c r="BK263" s="338"/>
      <c r="BL263" s="338"/>
      <c r="BM263" s="338"/>
      <c r="BN263" s="338"/>
      <c r="BO263" s="338"/>
      <c r="BP263" s="338"/>
      <c r="BQ263" s="338"/>
      <c r="BR263" s="338"/>
      <c r="BS263" s="338"/>
      <c r="BT263" s="338"/>
      <c r="BU263" s="338"/>
      <c r="BV263" s="338"/>
      <c r="BW263" s="338"/>
      <c r="BX263" s="338"/>
      <c r="BY263" s="338"/>
      <c r="BZ263" s="338"/>
      <c r="CA263" s="338"/>
      <c r="CB263" s="338"/>
      <c r="CC263" s="338"/>
      <c r="CD263" s="338"/>
      <c r="CE263" s="338"/>
      <c r="CF263" s="338"/>
      <c r="CG263" s="338"/>
      <c r="CH263" s="338"/>
      <c r="CI263" s="338"/>
      <c r="CJ263" s="338"/>
      <c r="CK263" s="338"/>
      <c r="CL263" s="338"/>
    </row>
    <row r="264" ht="14.2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40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  <c r="AI264" s="338"/>
      <c r="AJ264" s="338"/>
      <c r="AK264" s="338"/>
      <c r="AL264" s="338"/>
      <c r="AM264" s="338"/>
      <c r="AN264" s="338"/>
      <c r="AO264" s="338"/>
      <c r="AP264" s="338"/>
      <c r="AQ264" s="338"/>
      <c r="AR264" s="338"/>
      <c r="AS264" s="338"/>
      <c r="AT264" s="338"/>
      <c r="AU264" s="338"/>
      <c r="AV264" s="338"/>
      <c r="AW264" s="338"/>
      <c r="AX264" s="338"/>
      <c r="AY264" s="338"/>
      <c r="AZ264" s="338"/>
      <c r="BA264" s="338"/>
      <c r="BB264" s="338"/>
      <c r="BC264" s="338"/>
      <c r="BD264" s="338"/>
      <c r="BE264" s="338"/>
      <c r="BF264" s="338"/>
      <c r="BG264" s="338"/>
      <c r="BH264" s="338"/>
      <c r="BI264" s="338"/>
      <c r="BJ264" s="338"/>
      <c r="BK264" s="338"/>
      <c r="BL264" s="338"/>
      <c r="BM264" s="338"/>
      <c r="BN264" s="338"/>
      <c r="BO264" s="338"/>
      <c r="BP264" s="338"/>
      <c r="BQ264" s="338"/>
      <c r="BR264" s="338"/>
      <c r="BS264" s="338"/>
      <c r="BT264" s="338"/>
      <c r="BU264" s="338"/>
      <c r="BV264" s="338"/>
      <c r="BW264" s="338"/>
      <c r="BX264" s="338"/>
      <c r="BY264" s="338"/>
      <c r="BZ264" s="338"/>
      <c r="CA264" s="338"/>
      <c r="CB264" s="338"/>
      <c r="CC264" s="338"/>
      <c r="CD264" s="338"/>
      <c r="CE264" s="338"/>
      <c r="CF264" s="338"/>
      <c r="CG264" s="338"/>
      <c r="CH264" s="338"/>
      <c r="CI264" s="338"/>
      <c r="CJ264" s="338"/>
      <c r="CK264" s="338"/>
      <c r="CL264" s="338"/>
    </row>
    <row r="265" ht="14.2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40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  <c r="AI265" s="338"/>
      <c r="AJ265" s="338"/>
      <c r="AK265" s="338"/>
      <c r="AL265" s="338"/>
      <c r="AM265" s="338"/>
      <c r="AN265" s="338"/>
      <c r="AO265" s="338"/>
      <c r="AP265" s="338"/>
      <c r="AQ265" s="338"/>
      <c r="AR265" s="338"/>
      <c r="AS265" s="338"/>
      <c r="AT265" s="338"/>
      <c r="AU265" s="338"/>
      <c r="AV265" s="338"/>
      <c r="AW265" s="338"/>
      <c r="AX265" s="338"/>
      <c r="AY265" s="338"/>
      <c r="AZ265" s="338"/>
      <c r="BA265" s="338"/>
      <c r="BB265" s="338"/>
      <c r="BC265" s="338"/>
      <c r="BD265" s="338"/>
      <c r="BE265" s="338"/>
      <c r="BF265" s="338"/>
      <c r="BG265" s="338"/>
      <c r="BH265" s="338"/>
      <c r="BI265" s="338"/>
      <c r="BJ265" s="338"/>
      <c r="BK265" s="338"/>
      <c r="BL265" s="338"/>
      <c r="BM265" s="338"/>
      <c r="BN265" s="338"/>
      <c r="BO265" s="338"/>
      <c r="BP265" s="338"/>
      <c r="BQ265" s="338"/>
      <c r="BR265" s="338"/>
      <c r="BS265" s="338"/>
      <c r="BT265" s="338"/>
      <c r="BU265" s="338"/>
      <c r="BV265" s="338"/>
      <c r="BW265" s="338"/>
      <c r="BX265" s="338"/>
      <c r="BY265" s="338"/>
      <c r="BZ265" s="338"/>
      <c r="CA265" s="338"/>
      <c r="CB265" s="338"/>
      <c r="CC265" s="338"/>
      <c r="CD265" s="338"/>
      <c r="CE265" s="338"/>
      <c r="CF265" s="338"/>
      <c r="CG265" s="338"/>
      <c r="CH265" s="338"/>
      <c r="CI265" s="338"/>
      <c r="CJ265" s="338"/>
      <c r="CK265" s="338"/>
      <c r="CL265" s="338"/>
    </row>
    <row r="266" ht="14.2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40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  <c r="AI266" s="338"/>
      <c r="AJ266" s="338"/>
      <c r="AK266" s="338"/>
      <c r="AL266" s="338"/>
      <c r="AM266" s="338"/>
      <c r="AN266" s="338"/>
      <c r="AO266" s="338"/>
      <c r="AP266" s="338"/>
      <c r="AQ266" s="338"/>
      <c r="AR266" s="338"/>
      <c r="AS266" s="338"/>
      <c r="AT266" s="338"/>
      <c r="AU266" s="338"/>
      <c r="AV266" s="338"/>
      <c r="AW266" s="338"/>
      <c r="AX266" s="338"/>
      <c r="AY266" s="338"/>
      <c r="AZ266" s="338"/>
      <c r="BA266" s="338"/>
      <c r="BB266" s="338"/>
      <c r="BC266" s="338"/>
      <c r="BD266" s="338"/>
      <c r="BE266" s="338"/>
      <c r="BF266" s="338"/>
      <c r="BG266" s="338"/>
      <c r="BH266" s="338"/>
      <c r="BI266" s="338"/>
      <c r="BJ266" s="338"/>
      <c r="BK266" s="338"/>
      <c r="BL266" s="338"/>
      <c r="BM266" s="338"/>
      <c r="BN266" s="338"/>
      <c r="BO266" s="338"/>
      <c r="BP266" s="338"/>
      <c r="BQ266" s="338"/>
      <c r="BR266" s="338"/>
      <c r="BS266" s="338"/>
      <c r="BT266" s="338"/>
      <c r="BU266" s="338"/>
      <c r="BV266" s="338"/>
      <c r="BW266" s="338"/>
      <c r="BX266" s="338"/>
      <c r="BY266" s="338"/>
      <c r="BZ266" s="338"/>
      <c r="CA266" s="338"/>
      <c r="CB266" s="338"/>
      <c r="CC266" s="338"/>
      <c r="CD266" s="338"/>
      <c r="CE266" s="338"/>
      <c r="CF266" s="338"/>
      <c r="CG266" s="338"/>
      <c r="CH266" s="338"/>
      <c r="CI266" s="338"/>
      <c r="CJ266" s="338"/>
      <c r="CK266" s="338"/>
      <c r="CL266" s="338"/>
    </row>
    <row r="267" ht="14.2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40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  <c r="AI267" s="338"/>
      <c r="AJ267" s="338"/>
      <c r="AK267" s="338"/>
      <c r="AL267" s="338"/>
      <c r="AM267" s="338"/>
      <c r="AN267" s="338"/>
      <c r="AO267" s="338"/>
      <c r="AP267" s="338"/>
      <c r="AQ267" s="338"/>
      <c r="AR267" s="338"/>
      <c r="AS267" s="338"/>
      <c r="AT267" s="338"/>
      <c r="AU267" s="338"/>
      <c r="AV267" s="338"/>
      <c r="AW267" s="338"/>
      <c r="AX267" s="338"/>
      <c r="AY267" s="338"/>
      <c r="AZ267" s="338"/>
      <c r="BA267" s="338"/>
      <c r="BB267" s="338"/>
      <c r="BC267" s="338"/>
      <c r="BD267" s="338"/>
      <c r="BE267" s="338"/>
      <c r="BF267" s="338"/>
      <c r="BG267" s="338"/>
      <c r="BH267" s="338"/>
      <c r="BI267" s="338"/>
      <c r="BJ267" s="338"/>
      <c r="BK267" s="338"/>
      <c r="BL267" s="338"/>
      <c r="BM267" s="338"/>
      <c r="BN267" s="338"/>
      <c r="BO267" s="338"/>
      <c r="BP267" s="338"/>
      <c r="BQ267" s="338"/>
      <c r="BR267" s="338"/>
      <c r="BS267" s="338"/>
      <c r="BT267" s="338"/>
      <c r="BU267" s="338"/>
      <c r="BV267" s="338"/>
      <c r="BW267" s="338"/>
      <c r="BX267" s="338"/>
      <c r="BY267" s="338"/>
      <c r="BZ267" s="338"/>
      <c r="CA267" s="338"/>
      <c r="CB267" s="338"/>
      <c r="CC267" s="338"/>
      <c r="CD267" s="338"/>
      <c r="CE267" s="338"/>
      <c r="CF267" s="338"/>
      <c r="CG267" s="338"/>
      <c r="CH267" s="338"/>
      <c r="CI267" s="338"/>
      <c r="CJ267" s="338"/>
      <c r="CK267" s="338"/>
      <c r="CL267" s="338"/>
    </row>
    <row r="268" ht="14.2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40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  <c r="AI268" s="338"/>
      <c r="AJ268" s="338"/>
      <c r="AK268" s="338"/>
      <c r="AL268" s="338"/>
      <c r="AM268" s="338"/>
      <c r="AN268" s="338"/>
      <c r="AO268" s="338"/>
      <c r="AP268" s="338"/>
      <c r="AQ268" s="338"/>
      <c r="AR268" s="338"/>
      <c r="AS268" s="338"/>
      <c r="AT268" s="338"/>
      <c r="AU268" s="338"/>
      <c r="AV268" s="338"/>
      <c r="AW268" s="338"/>
      <c r="AX268" s="338"/>
      <c r="AY268" s="338"/>
      <c r="AZ268" s="338"/>
      <c r="BA268" s="338"/>
      <c r="BB268" s="338"/>
      <c r="BC268" s="338"/>
      <c r="BD268" s="338"/>
      <c r="BE268" s="338"/>
      <c r="BF268" s="338"/>
      <c r="BG268" s="338"/>
      <c r="BH268" s="338"/>
      <c r="BI268" s="338"/>
      <c r="BJ268" s="338"/>
      <c r="BK268" s="338"/>
      <c r="BL268" s="338"/>
      <c r="BM268" s="338"/>
      <c r="BN268" s="338"/>
      <c r="BO268" s="338"/>
      <c r="BP268" s="338"/>
      <c r="BQ268" s="338"/>
      <c r="BR268" s="338"/>
      <c r="BS268" s="338"/>
      <c r="BT268" s="338"/>
      <c r="BU268" s="338"/>
      <c r="BV268" s="338"/>
      <c r="BW268" s="338"/>
      <c r="BX268" s="338"/>
      <c r="BY268" s="338"/>
      <c r="BZ268" s="338"/>
      <c r="CA268" s="338"/>
      <c r="CB268" s="338"/>
      <c r="CC268" s="338"/>
      <c r="CD268" s="338"/>
      <c r="CE268" s="338"/>
      <c r="CF268" s="338"/>
      <c r="CG268" s="338"/>
      <c r="CH268" s="338"/>
      <c r="CI268" s="338"/>
      <c r="CJ268" s="338"/>
      <c r="CK268" s="338"/>
      <c r="CL268" s="338"/>
    </row>
    <row r="269" ht="14.2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40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  <c r="AI269" s="338"/>
      <c r="AJ269" s="338"/>
      <c r="AK269" s="338"/>
      <c r="AL269" s="338"/>
      <c r="AM269" s="338"/>
      <c r="AN269" s="338"/>
      <c r="AO269" s="338"/>
      <c r="AP269" s="338"/>
      <c r="AQ269" s="338"/>
      <c r="AR269" s="338"/>
      <c r="AS269" s="338"/>
      <c r="AT269" s="338"/>
      <c r="AU269" s="338"/>
      <c r="AV269" s="338"/>
      <c r="AW269" s="338"/>
      <c r="AX269" s="338"/>
      <c r="AY269" s="338"/>
      <c r="AZ269" s="338"/>
      <c r="BA269" s="338"/>
      <c r="BB269" s="338"/>
      <c r="BC269" s="338"/>
      <c r="BD269" s="338"/>
      <c r="BE269" s="338"/>
      <c r="BF269" s="338"/>
      <c r="BG269" s="338"/>
      <c r="BH269" s="338"/>
      <c r="BI269" s="338"/>
      <c r="BJ269" s="338"/>
      <c r="BK269" s="338"/>
      <c r="BL269" s="338"/>
      <c r="BM269" s="338"/>
      <c r="BN269" s="338"/>
      <c r="BO269" s="338"/>
      <c r="BP269" s="338"/>
      <c r="BQ269" s="338"/>
      <c r="BR269" s="338"/>
      <c r="BS269" s="338"/>
      <c r="BT269" s="338"/>
      <c r="BU269" s="338"/>
      <c r="BV269" s="338"/>
      <c r="BW269" s="338"/>
      <c r="BX269" s="338"/>
      <c r="BY269" s="338"/>
      <c r="BZ269" s="338"/>
      <c r="CA269" s="338"/>
      <c r="CB269" s="338"/>
      <c r="CC269" s="338"/>
      <c r="CD269" s="338"/>
      <c r="CE269" s="338"/>
      <c r="CF269" s="338"/>
      <c r="CG269" s="338"/>
      <c r="CH269" s="338"/>
      <c r="CI269" s="338"/>
      <c r="CJ269" s="338"/>
      <c r="CK269" s="338"/>
      <c r="CL269" s="338"/>
    </row>
    <row r="270" ht="14.2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40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  <c r="AI270" s="338"/>
      <c r="AJ270" s="338"/>
      <c r="AK270" s="338"/>
      <c r="AL270" s="338"/>
      <c r="AM270" s="338"/>
      <c r="AN270" s="338"/>
      <c r="AO270" s="338"/>
      <c r="AP270" s="338"/>
      <c r="AQ270" s="338"/>
      <c r="AR270" s="338"/>
      <c r="AS270" s="338"/>
      <c r="AT270" s="338"/>
      <c r="AU270" s="338"/>
      <c r="AV270" s="338"/>
      <c r="AW270" s="338"/>
      <c r="AX270" s="338"/>
      <c r="AY270" s="338"/>
      <c r="AZ270" s="338"/>
      <c r="BA270" s="338"/>
      <c r="BB270" s="338"/>
      <c r="BC270" s="338"/>
      <c r="BD270" s="338"/>
      <c r="BE270" s="338"/>
      <c r="BF270" s="338"/>
      <c r="BG270" s="338"/>
      <c r="BH270" s="338"/>
      <c r="BI270" s="338"/>
      <c r="BJ270" s="338"/>
      <c r="BK270" s="338"/>
      <c r="BL270" s="338"/>
      <c r="BM270" s="338"/>
      <c r="BN270" s="338"/>
      <c r="BO270" s="338"/>
      <c r="BP270" s="338"/>
      <c r="BQ270" s="338"/>
      <c r="BR270" s="338"/>
      <c r="BS270" s="338"/>
      <c r="BT270" s="338"/>
      <c r="BU270" s="338"/>
      <c r="BV270" s="338"/>
      <c r="BW270" s="338"/>
      <c r="BX270" s="338"/>
      <c r="BY270" s="338"/>
      <c r="BZ270" s="338"/>
      <c r="CA270" s="338"/>
      <c r="CB270" s="338"/>
      <c r="CC270" s="338"/>
      <c r="CD270" s="338"/>
      <c r="CE270" s="338"/>
      <c r="CF270" s="338"/>
      <c r="CG270" s="338"/>
      <c r="CH270" s="338"/>
      <c r="CI270" s="338"/>
      <c r="CJ270" s="338"/>
      <c r="CK270" s="338"/>
      <c r="CL270" s="338"/>
    </row>
    <row r="271" ht="14.2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40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  <c r="AI271" s="338"/>
      <c r="AJ271" s="338"/>
      <c r="AK271" s="338"/>
      <c r="AL271" s="338"/>
      <c r="AM271" s="338"/>
      <c r="AN271" s="338"/>
      <c r="AO271" s="338"/>
      <c r="AP271" s="338"/>
      <c r="AQ271" s="338"/>
      <c r="AR271" s="338"/>
      <c r="AS271" s="338"/>
      <c r="AT271" s="338"/>
      <c r="AU271" s="338"/>
      <c r="AV271" s="338"/>
      <c r="AW271" s="338"/>
      <c r="AX271" s="338"/>
      <c r="AY271" s="338"/>
      <c r="AZ271" s="338"/>
      <c r="BA271" s="338"/>
      <c r="BB271" s="338"/>
      <c r="BC271" s="338"/>
      <c r="BD271" s="338"/>
      <c r="BE271" s="338"/>
      <c r="BF271" s="338"/>
      <c r="BG271" s="338"/>
      <c r="BH271" s="338"/>
      <c r="BI271" s="338"/>
      <c r="BJ271" s="338"/>
      <c r="BK271" s="338"/>
      <c r="BL271" s="338"/>
      <c r="BM271" s="338"/>
      <c r="BN271" s="338"/>
      <c r="BO271" s="338"/>
      <c r="BP271" s="338"/>
      <c r="BQ271" s="338"/>
      <c r="BR271" s="338"/>
      <c r="BS271" s="338"/>
      <c r="BT271" s="338"/>
      <c r="BU271" s="338"/>
      <c r="BV271" s="338"/>
      <c r="BW271" s="338"/>
      <c r="BX271" s="338"/>
      <c r="BY271" s="338"/>
      <c r="BZ271" s="338"/>
      <c r="CA271" s="338"/>
      <c r="CB271" s="338"/>
      <c r="CC271" s="338"/>
      <c r="CD271" s="338"/>
      <c r="CE271" s="338"/>
      <c r="CF271" s="338"/>
      <c r="CG271" s="338"/>
      <c r="CH271" s="338"/>
      <c r="CI271" s="338"/>
      <c r="CJ271" s="338"/>
      <c r="CK271" s="338"/>
      <c r="CL271" s="338"/>
    </row>
    <row r="272" ht="14.2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40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  <c r="AI272" s="338"/>
      <c r="AJ272" s="338"/>
      <c r="AK272" s="338"/>
      <c r="AL272" s="338"/>
      <c r="AM272" s="338"/>
      <c r="AN272" s="338"/>
      <c r="AO272" s="338"/>
      <c r="AP272" s="338"/>
      <c r="AQ272" s="338"/>
      <c r="AR272" s="338"/>
      <c r="AS272" s="338"/>
      <c r="AT272" s="338"/>
      <c r="AU272" s="338"/>
      <c r="AV272" s="338"/>
      <c r="AW272" s="338"/>
      <c r="AX272" s="338"/>
      <c r="AY272" s="338"/>
      <c r="AZ272" s="338"/>
      <c r="BA272" s="338"/>
      <c r="BB272" s="338"/>
      <c r="BC272" s="338"/>
      <c r="BD272" s="338"/>
      <c r="BE272" s="338"/>
      <c r="BF272" s="338"/>
      <c r="BG272" s="338"/>
      <c r="BH272" s="338"/>
      <c r="BI272" s="338"/>
      <c r="BJ272" s="338"/>
      <c r="BK272" s="338"/>
      <c r="BL272" s="338"/>
      <c r="BM272" s="338"/>
      <c r="BN272" s="338"/>
      <c r="BO272" s="338"/>
      <c r="BP272" s="338"/>
      <c r="BQ272" s="338"/>
      <c r="BR272" s="338"/>
      <c r="BS272" s="338"/>
      <c r="BT272" s="338"/>
      <c r="BU272" s="338"/>
      <c r="BV272" s="338"/>
      <c r="BW272" s="338"/>
      <c r="BX272" s="338"/>
      <c r="BY272" s="338"/>
      <c r="BZ272" s="338"/>
      <c r="CA272" s="338"/>
      <c r="CB272" s="338"/>
      <c r="CC272" s="338"/>
      <c r="CD272" s="338"/>
      <c r="CE272" s="338"/>
      <c r="CF272" s="338"/>
      <c r="CG272" s="338"/>
      <c r="CH272" s="338"/>
      <c r="CI272" s="338"/>
      <c r="CJ272" s="338"/>
      <c r="CK272" s="338"/>
      <c r="CL272" s="338"/>
    </row>
    <row r="273" ht="14.2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40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  <c r="AI273" s="338"/>
      <c r="AJ273" s="338"/>
      <c r="AK273" s="338"/>
      <c r="AL273" s="338"/>
      <c r="AM273" s="338"/>
      <c r="AN273" s="338"/>
      <c r="AO273" s="338"/>
      <c r="AP273" s="338"/>
      <c r="AQ273" s="338"/>
      <c r="AR273" s="338"/>
      <c r="AS273" s="338"/>
      <c r="AT273" s="338"/>
      <c r="AU273" s="338"/>
      <c r="AV273" s="338"/>
      <c r="AW273" s="338"/>
      <c r="AX273" s="338"/>
      <c r="AY273" s="338"/>
      <c r="AZ273" s="338"/>
      <c r="BA273" s="338"/>
      <c r="BB273" s="338"/>
      <c r="BC273" s="338"/>
      <c r="BD273" s="338"/>
      <c r="BE273" s="338"/>
      <c r="BF273" s="338"/>
      <c r="BG273" s="338"/>
      <c r="BH273" s="338"/>
      <c r="BI273" s="338"/>
      <c r="BJ273" s="338"/>
      <c r="BK273" s="338"/>
      <c r="BL273" s="338"/>
      <c r="BM273" s="338"/>
      <c r="BN273" s="338"/>
      <c r="BO273" s="338"/>
      <c r="BP273" s="338"/>
      <c r="BQ273" s="338"/>
      <c r="BR273" s="338"/>
      <c r="BS273" s="338"/>
      <c r="BT273" s="338"/>
      <c r="BU273" s="338"/>
      <c r="BV273" s="338"/>
      <c r="BW273" s="338"/>
      <c r="BX273" s="338"/>
      <c r="BY273" s="338"/>
      <c r="BZ273" s="338"/>
      <c r="CA273" s="338"/>
      <c r="CB273" s="338"/>
      <c r="CC273" s="338"/>
      <c r="CD273" s="338"/>
      <c r="CE273" s="338"/>
      <c r="CF273" s="338"/>
      <c r="CG273" s="338"/>
      <c r="CH273" s="338"/>
      <c r="CI273" s="338"/>
      <c r="CJ273" s="338"/>
      <c r="CK273" s="338"/>
      <c r="CL273" s="338"/>
    </row>
    <row r="274" ht="14.2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40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  <c r="AI274" s="338"/>
      <c r="AJ274" s="338"/>
      <c r="AK274" s="338"/>
      <c r="AL274" s="338"/>
      <c r="AM274" s="338"/>
      <c r="AN274" s="338"/>
      <c r="AO274" s="338"/>
      <c r="AP274" s="338"/>
      <c r="AQ274" s="338"/>
      <c r="AR274" s="338"/>
      <c r="AS274" s="338"/>
      <c r="AT274" s="338"/>
      <c r="AU274" s="338"/>
      <c r="AV274" s="338"/>
      <c r="AW274" s="338"/>
      <c r="AX274" s="338"/>
      <c r="AY274" s="338"/>
      <c r="AZ274" s="338"/>
      <c r="BA274" s="338"/>
      <c r="BB274" s="338"/>
      <c r="BC274" s="338"/>
      <c r="BD274" s="338"/>
      <c r="BE274" s="338"/>
      <c r="BF274" s="338"/>
      <c r="BG274" s="338"/>
      <c r="BH274" s="338"/>
      <c r="BI274" s="338"/>
      <c r="BJ274" s="338"/>
      <c r="BK274" s="338"/>
      <c r="BL274" s="338"/>
      <c r="BM274" s="338"/>
      <c r="BN274" s="338"/>
      <c r="BO274" s="338"/>
      <c r="BP274" s="338"/>
      <c r="BQ274" s="338"/>
      <c r="BR274" s="338"/>
      <c r="BS274" s="338"/>
      <c r="BT274" s="338"/>
      <c r="BU274" s="338"/>
      <c r="BV274" s="338"/>
      <c r="BW274" s="338"/>
      <c r="BX274" s="338"/>
      <c r="BY274" s="338"/>
      <c r="BZ274" s="338"/>
      <c r="CA274" s="338"/>
      <c r="CB274" s="338"/>
      <c r="CC274" s="338"/>
      <c r="CD274" s="338"/>
      <c r="CE274" s="338"/>
      <c r="CF274" s="338"/>
      <c r="CG274" s="338"/>
      <c r="CH274" s="338"/>
      <c r="CI274" s="338"/>
      <c r="CJ274" s="338"/>
      <c r="CK274" s="338"/>
      <c r="CL274" s="338"/>
    </row>
    <row r="275" ht="14.2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40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  <c r="AI275" s="338"/>
      <c r="AJ275" s="338"/>
      <c r="AK275" s="338"/>
      <c r="AL275" s="338"/>
      <c r="AM275" s="338"/>
      <c r="AN275" s="338"/>
      <c r="AO275" s="338"/>
      <c r="AP275" s="338"/>
      <c r="AQ275" s="338"/>
      <c r="AR275" s="338"/>
      <c r="AS275" s="338"/>
      <c r="AT275" s="338"/>
      <c r="AU275" s="338"/>
      <c r="AV275" s="338"/>
      <c r="AW275" s="338"/>
      <c r="AX275" s="338"/>
      <c r="AY275" s="338"/>
      <c r="AZ275" s="338"/>
      <c r="BA275" s="338"/>
      <c r="BB275" s="338"/>
      <c r="BC275" s="338"/>
      <c r="BD275" s="338"/>
      <c r="BE275" s="338"/>
      <c r="BF275" s="338"/>
      <c r="BG275" s="338"/>
      <c r="BH275" s="338"/>
      <c r="BI275" s="338"/>
      <c r="BJ275" s="338"/>
      <c r="BK275" s="338"/>
      <c r="BL275" s="338"/>
      <c r="BM275" s="338"/>
      <c r="BN275" s="338"/>
      <c r="BO275" s="338"/>
      <c r="BP275" s="338"/>
      <c r="BQ275" s="338"/>
      <c r="BR275" s="338"/>
      <c r="BS275" s="338"/>
      <c r="BT275" s="338"/>
      <c r="BU275" s="338"/>
      <c r="BV275" s="338"/>
      <c r="BW275" s="338"/>
      <c r="BX275" s="338"/>
      <c r="BY275" s="338"/>
      <c r="BZ275" s="338"/>
      <c r="CA275" s="338"/>
      <c r="CB275" s="338"/>
      <c r="CC275" s="338"/>
      <c r="CD275" s="338"/>
      <c r="CE275" s="338"/>
      <c r="CF275" s="338"/>
      <c r="CG275" s="338"/>
      <c r="CH275" s="338"/>
      <c r="CI275" s="338"/>
      <c r="CJ275" s="338"/>
      <c r="CK275" s="338"/>
      <c r="CL275" s="338"/>
    </row>
    <row r="276" ht="14.2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40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  <c r="AI276" s="338"/>
      <c r="AJ276" s="338"/>
      <c r="AK276" s="338"/>
      <c r="AL276" s="338"/>
      <c r="AM276" s="338"/>
      <c r="AN276" s="338"/>
      <c r="AO276" s="338"/>
      <c r="AP276" s="338"/>
      <c r="AQ276" s="338"/>
      <c r="AR276" s="338"/>
      <c r="AS276" s="338"/>
      <c r="AT276" s="338"/>
      <c r="AU276" s="338"/>
      <c r="AV276" s="338"/>
      <c r="AW276" s="338"/>
      <c r="AX276" s="338"/>
      <c r="AY276" s="338"/>
      <c r="AZ276" s="338"/>
      <c r="BA276" s="338"/>
      <c r="BB276" s="338"/>
      <c r="BC276" s="338"/>
      <c r="BD276" s="338"/>
      <c r="BE276" s="338"/>
      <c r="BF276" s="338"/>
      <c r="BG276" s="338"/>
      <c r="BH276" s="338"/>
      <c r="BI276" s="338"/>
      <c r="BJ276" s="338"/>
      <c r="BK276" s="338"/>
      <c r="BL276" s="338"/>
      <c r="BM276" s="338"/>
      <c r="BN276" s="338"/>
      <c r="BO276" s="338"/>
      <c r="BP276" s="338"/>
      <c r="BQ276" s="338"/>
      <c r="BR276" s="338"/>
      <c r="BS276" s="338"/>
      <c r="BT276" s="338"/>
      <c r="BU276" s="338"/>
      <c r="BV276" s="338"/>
      <c r="BW276" s="338"/>
      <c r="BX276" s="338"/>
      <c r="BY276" s="338"/>
      <c r="BZ276" s="338"/>
      <c r="CA276" s="338"/>
      <c r="CB276" s="338"/>
      <c r="CC276" s="338"/>
      <c r="CD276" s="338"/>
      <c r="CE276" s="338"/>
      <c r="CF276" s="338"/>
      <c r="CG276" s="338"/>
      <c r="CH276" s="338"/>
      <c r="CI276" s="338"/>
      <c r="CJ276" s="338"/>
      <c r="CK276" s="338"/>
      <c r="CL276" s="338"/>
    </row>
    <row r="277" ht="14.2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40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  <c r="AI277" s="338"/>
      <c r="AJ277" s="338"/>
      <c r="AK277" s="338"/>
      <c r="AL277" s="338"/>
      <c r="AM277" s="338"/>
      <c r="AN277" s="338"/>
      <c r="AO277" s="338"/>
      <c r="AP277" s="338"/>
      <c r="AQ277" s="338"/>
      <c r="AR277" s="338"/>
      <c r="AS277" s="338"/>
      <c r="AT277" s="338"/>
      <c r="AU277" s="338"/>
      <c r="AV277" s="338"/>
      <c r="AW277" s="338"/>
      <c r="AX277" s="338"/>
      <c r="AY277" s="338"/>
      <c r="AZ277" s="338"/>
      <c r="BA277" s="338"/>
      <c r="BB277" s="338"/>
      <c r="BC277" s="338"/>
      <c r="BD277" s="338"/>
      <c r="BE277" s="338"/>
      <c r="BF277" s="338"/>
      <c r="BG277" s="338"/>
      <c r="BH277" s="338"/>
      <c r="BI277" s="338"/>
      <c r="BJ277" s="338"/>
      <c r="BK277" s="338"/>
      <c r="BL277" s="338"/>
      <c r="BM277" s="338"/>
      <c r="BN277" s="338"/>
      <c r="BO277" s="338"/>
      <c r="BP277" s="338"/>
      <c r="BQ277" s="338"/>
      <c r="BR277" s="338"/>
      <c r="BS277" s="338"/>
      <c r="BT277" s="338"/>
      <c r="BU277" s="338"/>
      <c r="BV277" s="338"/>
      <c r="BW277" s="338"/>
      <c r="BX277" s="338"/>
      <c r="BY277" s="338"/>
      <c r="BZ277" s="338"/>
      <c r="CA277" s="338"/>
      <c r="CB277" s="338"/>
      <c r="CC277" s="338"/>
      <c r="CD277" s="338"/>
      <c r="CE277" s="338"/>
      <c r="CF277" s="338"/>
      <c r="CG277" s="338"/>
      <c r="CH277" s="338"/>
      <c r="CI277" s="338"/>
      <c r="CJ277" s="338"/>
      <c r="CK277" s="338"/>
      <c r="CL277" s="338"/>
    </row>
    <row r="278" ht="14.2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40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  <c r="AI278" s="338"/>
      <c r="AJ278" s="338"/>
      <c r="AK278" s="338"/>
      <c r="AL278" s="338"/>
      <c r="AM278" s="338"/>
      <c r="AN278" s="338"/>
      <c r="AO278" s="338"/>
      <c r="AP278" s="338"/>
      <c r="AQ278" s="338"/>
      <c r="AR278" s="338"/>
      <c r="AS278" s="338"/>
      <c r="AT278" s="338"/>
      <c r="AU278" s="338"/>
      <c r="AV278" s="338"/>
      <c r="AW278" s="338"/>
      <c r="AX278" s="338"/>
      <c r="AY278" s="338"/>
      <c r="AZ278" s="338"/>
      <c r="BA278" s="338"/>
      <c r="BB278" s="338"/>
      <c r="BC278" s="338"/>
      <c r="BD278" s="338"/>
      <c r="BE278" s="338"/>
      <c r="BF278" s="338"/>
      <c r="BG278" s="338"/>
      <c r="BH278" s="338"/>
      <c r="BI278" s="338"/>
      <c r="BJ278" s="338"/>
      <c r="BK278" s="338"/>
      <c r="BL278" s="338"/>
      <c r="BM278" s="338"/>
      <c r="BN278" s="338"/>
      <c r="BO278" s="338"/>
      <c r="BP278" s="338"/>
      <c r="BQ278" s="338"/>
      <c r="BR278" s="338"/>
      <c r="BS278" s="338"/>
      <c r="BT278" s="338"/>
      <c r="BU278" s="338"/>
      <c r="BV278" s="338"/>
      <c r="BW278" s="338"/>
      <c r="BX278" s="338"/>
      <c r="BY278" s="338"/>
      <c r="BZ278" s="338"/>
      <c r="CA278" s="338"/>
      <c r="CB278" s="338"/>
      <c r="CC278" s="338"/>
      <c r="CD278" s="338"/>
      <c r="CE278" s="338"/>
      <c r="CF278" s="338"/>
      <c r="CG278" s="338"/>
      <c r="CH278" s="338"/>
      <c r="CI278" s="338"/>
      <c r="CJ278" s="338"/>
      <c r="CK278" s="338"/>
      <c r="CL278" s="338"/>
    </row>
    <row r="279" ht="14.2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40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  <c r="AI279" s="338"/>
      <c r="AJ279" s="338"/>
      <c r="AK279" s="338"/>
      <c r="AL279" s="338"/>
      <c r="AM279" s="338"/>
      <c r="AN279" s="338"/>
      <c r="AO279" s="338"/>
      <c r="AP279" s="338"/>
      <c r="AQ279" s="338"/>
      <c r="AR279" s="338"/>
      <c r="AS279" s="338"/>
      <c r="AT279" s="338"/>
      <c r="AU279" s="338"/>
      <c r="AV279" s="338"/>
      <c r="AW279" s="338"/>
      <c r="AX279" s="338"/>
      <c r="AY279" s="338"/>
      <c r="AZ279" s="338"/>
      <c r="BA279" s="338"/>
      <c r="BB279" s="338"/>
      <c r="BC279" s="338"/>
      <c r="BD279" s="338"/>
      <c r="BE279" s="338"/>
      <c r="BF279" s="338"/>
      <c r="BG279" s="338"/>
      <c r="BH279" s="338"/>
      <c r="BI279" s="338"/>
      <c r="BJ279" s="338"/>
      <c r="BK279" s="338"/>
      <c r="BL279" s="338"/>
      <c r="BM279" s="338"/>
      <c r="BN279" s="338"/>
      <c r="BO279" s="338"/>
      <c r="BP279" s="338"/>
      <c r="BQ279" s="338"/>
      <c r="BR279" s="338"/>
      <c r="BS279" s="338"/>
      <c r="BT279" s="338"/>
      <c r="BU279" s="338"/>
      <c r="BV279" s="338"/>
      <c r="BW279" s="338"/>
      <c r="BX279" s="338"/>
      <c r="BY279" s="338"/>
      <c r="BZ279" s="338"/>
      <c r="CA279" s="338"/>
      <c r="CB279" s="338"/>
      <c r="CC279" s="338"/>
      <c r="CD279" s="338"/>
      <c r="CE279" s="338"/>
      <c r="CF279" s="338"/>
      <c r="CG279" s="338"/>
      <c r="CH279" s="338"/>
      <c r="CI279" s="338"/>
      <c r="CJ279" s="338"/>
      <c r="CK279" s="338"/>
      <c r="CL279" s="338"/>
    </row>
    <row r="280" ht="14.2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40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  <c r="AI280" s="338"/>
      <c r="AJ280" s="338"/>
      <c r="AK280" s="338"/>
      <c r="AL280" s="338"/>
      <c r="AM280" s="338"/>
      <c r="AN280" s="338"/>
      <c r="AO280" s="338"/>
      <c r="AP280" s="338"/>
      <c r="AQ280" s="338"/>
      <c r="AR280" s="338"/>
      <c r="AS280" s="338"/>
      <c r="AT280" s="338"/>
      <c r="AU280" s="338"/>
      <c r="AV280" s="338"/>
      <c r="AW280" s="338"/>
      <c r="AX280" s="338"/>
      <c r="AY280" s="338"/>
      <c r="AZ280" s="338"/>
      <c r="BA280" s="338"/>
      <c r="BB280" s="338"/>
      <c r="BC280" s="338"/>
      <c r="BD280" s="338"/>
      <c r="BE280" s="338"/>
      <c r="BF280" s="338"/>
      <c r="BG280" s="338"/>
      <c r="BH280" s="338"/>
      <c r="BI280" s="338"/>
      <c r="BJ280" s="338"/>
      <c r="BK280" s="338"/>
      <c r="BL280" s="338"/>
      <c r="BM280" s="338"/>
      <c r="BN280" s="338"/>
      <c r="BO280" s="338"/>
      <c r="BP280" s="338"/>
      <c r="BQ280" s="338"/>
      <c r="BR280" s="338"/>
      <c r="BS280" s="338"/>
      <c r="BT280" s="338"/>
      <c r="BU280" s="338"/>
      <c r="BV280" s="338"/>
      <c r="BW280" s="338"/>
      <c r="BX280" s="338"/>
      <c r="BY280" s="338"/>
      <c r="BZ280" s="338"/>
      <c r="CA280" s="338"/>
      <c r="CB280" s="338"/>
      <c r="CC280" s="338"/>
      <c r="CD280" s="338"/>
      <c r="CE280" s="338"/>
      <c r="CF280" s="338"/>
      <c r="CG280" s="338"/>
      <c r="CH280" s="338"/>
      <c r="CI280" s="338"/>
      <c r="CJ280" s="338"/>
      <c r="CK280" s="338"/>
      <c r="CL280" s="338"/>
    </row>
    <row r="281" ht="14.2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40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  <c r="AI281" s="338"/>
      <c r="AJ281" s="338"/>
      <c r="AK281" s="338"/>
      <c r="AL281" s="338"/>
      <c r="AM281" s="338"/>
      <c r="AN281" s="338"/>
      <c r="AO281" s="338"/>
      <c r="AP281" s="338"/>
      <c r="AQ281" s="338"/>
      <c r="AR281" s="338"/>
      <c r="AS281" s="338"/>
      <c r="AT281" s="338"/>
      <c r="AU281" s="338"/>
      <c r="AV281" s="338"/>
      <c r="AW281" s="338"/>
      <c r="AX281" s="338"/>
      <c r="AY281" s="338"/>
      <c r="AZ281" s="338"/>
      <c r="BA281" s="338"/>
      <c r="BB281" s="338"/>
      <c r="BC281" s="338"/>
      <c r="BD281" s="338"/>
      <c r="BE281" s="338"/>
      <c r="BF281" s="338"/>
      <c r="BG281" s="338"/>
      <c r="BH281" s="338"/>
      <c r="BI281" s="338"/>
      <c r="BJ281" s="338"/>
      <c r="BK281" s="338"/>
      <c r="BL281" s="338"/>
      <c r="BM281" s="338"/>
      <c r="BN281" s="338"/>
      <c r="BO281" s="338"/>
      <c r="BP281" s="338"/>
      <c r="BQ281" s="338"/>
      <c r="BR281" s="338"/>
      <c r="BS281" s="338"/>
      <c r="BT281" s="338"/>
      <c r="BU281" s="338"/>
      <c r="BV281" s="338"/>
      <c r="BW281" s="338"/>
      <c r="BX281" s="338"/>
      <c r="BY281" s="338"/>
      <c r="BZ281" s="338"/>
      <c r="CA281" s="338"/>
      <c r="CB281" s="338"/>
      <c r="CC281" s="338"/>
      <c r="CD281" s="338"/>
      <c r="CE281" s="338"/>
      <c r="CF281" s="338"/>
      <c r="CG281" s="338"/>
      <c r="CH281" s="338"/>
      <c r="CI281" s="338"/>
      <c r="CJ281" s="338"/>
      <c r="CK281" s="338"/>
      <c r="CL281" s="338"/>
    </row>
    <row r="282" ht="14.2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40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  <c r="AI282" s="338"/>
      <c r="AJ282" s="338"/>
      <c r="AK282" s="338"/>
      <c r="AL282" s="338"/>
      <c r="AM282" s="338"/>
      <c r="AN282" s="338"/>
      <c r="AO282" s="338"/>
      <c r="AP282" s="338"/>
      <c r="AQ282" s="338"/>
      <c r="AR282" s="338"/>
      <c r="AS282" s="338"/>
      <c r="AT282" s="338"/>
      <c r="AU282" s="338"/>
      <c r="AV282" s="338"/>
      <c r="AW282" s="338"/>
      <c r="AX282" s="338"/>
      <c r="AY282" s="338"/>
      <c r="AZ282" s="338"/>
      <c r="BA282" s="338"/>
      <c r="BB282" s="338"/>
      <c r="BC282" s="338"/>
      <c r="BD282" s="338"/>
      <c r="BE282" s="338"/>
      <c r="BF282" s="338"/>
      <c r="BG282" s="338"/>
      <c r="BH282" s="338"/>
      <c r="BI282" s="338"/>
      <c r="BJ282" s="338"/>
      <c r="BK282" s="338"/>
      <c r="BL282" s="338"/>
      <c r="BM282" s="338"/>
      <c r="BN282" s="338"/>
      <c r="BO282" s="338"/>
      <c r="BP282" s="338"/>
      <c r="BQ282" s="338"/>
      <c r="BR282" s="338"/>
      <c r="BS282" s="338"/>
      <c r="BT282" s="338"/>
      <c r="BU282" s="338"/>
      <c r="BV282" s="338"/>
      <c r="BW282" s="338"/>
      <c r="BX282" s="338"/>
      <c r="BY282" s="338"/>
      <c r="BZ282" s="338"/>
      <c r="CA282" s="338"/>
      <c r="CB282" s="338"/>
      <c r="CC282" s="338"/>
      <c r="CD282" s="338"/>
      <c r="CE282" s="338"/>
      <c r="CF282" s="338"/>
      <c r="CG282" s="338"/>
      <c r="CH282" s="338"/>
      <c r="CI282" s="338"/>
      <c r="CJ282" s="338"/>
      <c r="CK282" s="338"/>
      <c r="CL282" s="338"/>
    </row>
    <row r="283" ht="14.2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40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  <c r="AI283" s="338"/>
      <c r="AJ283" s="338"/>
      <c r="AK283" s="338"/>
      <c r="AL283" s="338"/>
      <c r="AM283" s="338"/>
      <c r="AN283" s="338"/>
      <c r="AO283" s="338"/>
      <c r="AP283" s="338"/>
      <c r="AQ283" s="338"/>
      <c r="AR283" s="338"/>
      <c r="AS283" s="338"/>
      <c r="AT283" s="338"/>
      <c r="AU283" s="338"/>
      <c r="AV283" s="338"/>
      <c r="AW283" s="338"/>
      <c r="AX283" s="338"/>
      <c r="AY283" s="338"/>
      <c r="AZ283" s="338"/>
      <c r="BA283" s="338"/>
      <c r="BB283" s="338"/>
      <c r="BC283" s="338"/>
      <c r="BD283" s="338"/>
      <c r="BE283" s="338"/>
      <c r="BF283" s="338"/>
      <c r="BG283" s="338"/>
      <c r="BH283" s="338"/>
      <c r="BI283" s="338"/>
      <c r="BJ283" s="338"/>
      <c r="BK283" s="338"/>
      <c r="BL283" s="338"/>
      <c r="BM283" s="338"/>
      <c r="BN283" s="338"/>
      <c r="BO283" s="338"/>
      <c r="BP283" s="338"/>
      <c r="BQ283" s="338"/>
      <c r="BR283" s="338"/>
      <c r="BS283" s="338"/>
      <c r="BT283" s="338"/>
      <c r="BU283" s="338"/>
      <c r="BV283" s="338"/>
      <c r="BW283" s="338"/>
      <c r="BX283" s="338"/>
      <c r="BY283" s="338"/>
      <c r="BZ283" s="338"/>
      <c r="CA283" s="338"/>
      <c r="CB283" s="338"/>
      <c r="CC283" s="338"/>
      <c r="CD283" s="338"/>
      <c r="CE283" s="338"/>
      <c r="CF283" s="338"/>
      <c r="CG283" s="338"/>
      <c r="CH283" s="338"/>
      <c r="CI283" s="338"/>
      <c r="CJ283" s="338"/>
      <c r="CK283" s="338"/>
      <c r="CL283" s="338"/>
    </row>
    <row r="284" ht="14.2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40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8"/>
      <c r="AJ284" s="338"/>
      <c r="AK284" s="338"/>
      <c r="AL284" s="338"/>
      <c r="AM284" s="338"/>
      <c r="AN284" s="338"/>
      <c r="AO284" s="338"/>
      <c r="AP284" s="338"/>
      <c r="AQ284" s="338"/>
      <c r="AR284" s="338"/>
      <c r="AS284" s="338"/>
      <c r="AT284" s="338"/>
      <c r="AU284" s="338"/>
      <c r="AV284" s="338"/>
      <c r="AW284" s="338"/>
      <c r="AX284" s="338"/>
      <c r="AY284" s="338"/>
      <c r="AZ284" s="338"/>
      <c r="BA284" s="338"/>
      <c r="BB284" s="338"/>
      <c r="BC284" s="338"/>
      <c r="BD284" s="338"/>
      <c r="BE284" s="338"/>
      <c r="BF284" s="338"/>
      <c r="BG284" s="338"/>
      <c r="BH284" s="338"/>
      <c r="BI284" s="338"/>
      <c r="BJ284" s="338"/>
      <c r="BK284" s="338"/>
      <c r="BL284" s="338"/>
      <c r="BM284" s="338"/>
      <c r="BN284" s="338"/>
      <c r="BO284" s="338"/>
      <c r="BP284" s="338"/>
      <c r="BQ284" s="338"/>
      <c r="BR284" s="338"/>
      <c r="BS284" s="338"/>
      <c r="BT284" s="338"/>
      <c r="BU284" s="338"/>
      <c r="BV284" s="338"/>
      <c r="BW284" s="338"/>
      <c r="BX284" s="338"/>
      <c r="BY284" s="338"/>
      <c r="BZ284" s="338"/>
      <c r="CA284" s="338"/>
      <c r="CB284" s="338"/>
      <c r="CC284" s="338"/>
      <c r="CD284" s="338"/>
      <c r="CE284" s="338"/>
      <c r="CF284" s="338"/>
      <c r="CG284" s="338"/>
      <c r="CH284" s="338"/>
      <c r="CI284" s="338"/>
      <c r="CJ284" s="338"/>
      <c r="CK284" s="338"/>
      <c r="CL284" s="338"/>
    </row>
    <row r="285" ht="14.2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40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8"/>
      <c r="AJ285" s="338"/>
      <c r="AK285" s="338"/>
      <c r="AL285" s="338"/>
      <c r="AM285" s="338"/>
      <c r="AN285" s="338"/>
      <c r="AO285" s="338"/>
      <c r="AP285" s="338"/>
      <c r="AQ285" s="338"/>
      <c r="AR285" s="338"/>
      <c r="AS285" s="338"/>
      <c r="AT285" s="338"/>
      <c r="AU285" s="338"/>
      <c r="AV285" s="338"/>
      <c r="AW285" s="338"/>
      <c r="AX285" s="338"/>
      <c r="AY285" s="338"/>
      <c r="AZ285" s="338"/>
      <c r="BA285" s="338"/>
      <c r="BB285" s="338"/>
      <c r="BC285" s="338"/>
      <c r="BD285" s="338"/>
      <c r="BE285" s="338"/>
      <c r="BF285" s="338"/>
      <c r="BG285" s="338"/>
      <c r="BH285" s="338"/>
      <c r="BI285" s="338"/>
      <c r="BJ285" s="338"/>
      <c r="BK285" s="338"/>
      <c r="BL285" s="338"/>
      <c r="BM285" s="338"/>
      <c r="BN285" s="338"/>
      <c r="BO285" s="338"/>
      <c r="BP285" s="338"/>
      <c r="BQ285" s="338"/>
      <c r="BR285" s="338"/>
      <c r="BS285" s="338"/>
      <c r="BT285" s="338"/>
      <c r="BU285" s="338"/>
      <c r="BV285" s="338"/>
      <c r="BW285" s="338"/>
      <c r="BX285" s="338"/>
      <c r="BY285" s="338"/>
      <c r="BZ285" s="338"/>
      <c r="CA285" s="338"/>
      <c r="CB285" s="338"/>
      <c r="CC285" s="338"/>
      <c r="CD285" s="338"/>
      <c r="CE285" s="338"/>
      <c r="CF285" s="338"/>
      <c r="CG285" s="338"/>
      <c r="CH285" s="338"/>
      <c r="CI285" s="338"/>
      <c r="CJ285" s="338"/>
      <c r="CK285" s="338"/>
      <c r="CL285" s="338"/>
    </row>
    <row r="286" ht="14.2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40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  <c r="AI286" s="338"/>
      <c r="AJ286" s="338"/>
      <c r="AK286" s="338"/>
      <c r="AL286" s="338"/>
      <c r="AM286" s="338"/>
      <c r="AN286" s="338"/>
      <c r="AO286" s="338"/>
      <c r="AP286" s="338"/>
      <c r="AQ286" s="338"/>
      <c r="AR286" s="338"/>
      <c r="AS286" s="338"/>
      <c r="AT286" s="338"/>
      <c r="AU286" s="338"/>
      <c r="AV286" s="338"/>
      <c r="AW286" s="338"/>
      <c r="AX286" s="338"/>
      <c r="AY286" s="338"/>
      <c r="AZ286" s="338"/>
      <c r="BA286" s="338"/>
      <c r="BB286" s="338"/>
      <c r="BC286" s="338"/>
      <c r="BD286" s="338"/>
      <c r="BE286" s="338"/>
      <c r="BF286" s="338"/>
      <c r="BG286" s="338"/>
      <c r="BH286" s="338"/>
      <c r="BI286" s="338"/>
      <c r="BJ286" s="338"/>
      <c r="BK286" s="338"/>
      <c r="BL286" s="338"/>
      <c r="BM286" s="338"/>
      <c r="BN286" s="338"/>
      <c r="BO286" s="338"/>
      <c r="BP286" s="338"/>
      <c r="BQ286" s="338"/>
      <c r="BR286" s="338"/>
      <c r="BS286" s="338"/>
      <c r="BT286" s="338"/>
      <c r="BU286" s="338"/>
      <c r="BV286" s="338"/>
      <c r="BW286" s="338"/>
      <c r="BX286" s="338"/>
      <c r="BY286" s="338"/>
      <c r="BZ286" s="338"/>
      <c r="CA286" s="338"/>
      <c r="CB286" s="338"/>
      <c r="CC286" s="338"/>
      <c r="CD286" s="338"/>
      <c r="CE286" s="338"/>
      <c r="CF286" s="338"/>
      <c r="CG286" s="338"/>
      <c r="CH286" s="338"/>
      <c r="CI286" s="338"/>
      <c r="CJ286" s="338"/>
      <c r="CK286" s="338"/>
      <c r="CL286" s="338"/>
    </row>
    <row r="287" ht="14.2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40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  <c r="AI287" s="338"/>
      <c r="AJ287" s="338"/>
      <c r="AK287" s="338"/>
      <c r="AL287" s="338"/>
      <c r="AM287" s="338"/>
      <c r="AN287" s="338"/>
      <c r="AO287" s="338"/>
      <c r="AP287" s="338"/>
      <c r="AQ287" s="338"/>
      <c r="AR287" s="338"/>
      <c r="AS287" s="338"/>
      <c r="AT287" s="338"/>
      <c r="AU287" s="338"/>
      <c r="AV287" s="338"/>
      <c r="AW287" s="338"/>
      <c r="AX287" s="338"/>
      <c r="AY287" s="338"/>
      <c r="AZ287" s="338"/>
      <c r="BA287" s="338"/>
      <c r="BB287" s="338"/>
      <c r="BC287" s="338"/>
      <c r="BD287" s="338"/>
      <c r="BE287" s="338"/>
      <c r="BF287" s="338"/>
      <c r="BG287" s="338"/>
      <c r="BH287" s="338"/>
      <c r="BI287" s="338"/>
      <c r="BJ287" s="338"/>
      <c r="BK287" s="338"/>
      <c r="BL287" s="338"/>
      <c r="BM287" s="338"/>
      <c r="BN287" s="338"/>
      <c r="BO287" s="338"/>
      <c r="BP287" s="338"/>
      <c r="BQ287" s="338"/>
      <c r="BR287" s="338"/>
      <c r="BS287" s="338"/>
      <c r="BT287" s="338"/>
      <c r="BU287" s="338"/>
      <c r="BV287" s="338"/>
      <c r="BW287" s="338"/>
      <c r="BX287" s="338"/>
      <c r="BY287" s="338"/>
      <c r="BZ287" s="338"/>
      <c r="CA287" s="338"/>
      <c r="CB287" s="338"/>
      <c r="CC287" s="338"/>
      <c r="CD287" s="338"/>
      <c r="CE287" s="338"/>
      <c r="CF287" s="338"/>
      <c r="CG287" s="338"/>
      <c r="CH287" s="338"/>
      <c r="CI287" s="338"/>
      <c r="CJ287" s="338"/>
      <c r="CK287" s="338"/>
      <c r="CL287" s="338"/>
    </row>
    <row r="288" ht="14.2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40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  <c r="AI288" s="338"/>
      <c r="AJ288" s="338"/>
      <c r="AK288" s="338"/>
      <c r="AL288" s="338"/>
      <c r="AM288" s="338"/>
      <c r="AN288" s="338"/>
      <c r="AO288" s="338"/>
      <c r="AP288" s="338"/>
      <c r="AQ288" s="338"/>
      <c r="AR288" s="338"/>
      <c r="AS288" s="338"/>
      <c r="AT288" s="338"/>
      <c r="AU288" s="338"/>
      <c r="AV288" s="338"/>
      <c r="AW288" s="338"/>
      <c r="AX288" s="338"/>
      <c r="AY288" s="338"/>
      <c r="AZ288" s="338"/>
      <c r="BA288" s="338"/>
      <c r="BB288" s="338"/>
      <c r="BC288" s="338"/>
      <c r="BD288" s="338"/>
      <c r="BE288" s="338"/>
      <c r="BF288" s="338"/>
      <c r="BG288" s="338"/>
      <c r="BH288" s="338"/>
      <c r="BI288" s="338"/>
      <c r="BJ288" s="338"/>
      <c r="BK288" s="338"/>
      <c r="BL288" s="338"/>
      <c r="BM288" s="338"/>
      <c r="BN288" s="338"/>
      <c r="BO288" s="338"/>
      <c r="BP288" s="338"/>
      <c r="BQ288" s="338"/>
      <c r="BR288" s="338"/>
      <c r="BS288" s="338"/>
      <c r="BT288" s="338"/>
      <c r="BU288" s="338"/>
      <c r="BV288" s="338"/>
      <c r="BW288" s="338"/>
      <c r="BX288" s="338"/>
      <c r="BY288" s="338"/>
      <c r="BZ288" s="338"/>
      <c r="CA288" s="338"/>
      <c r="CB288" s="338"/>
      <c r="CC288" s="338"/>
      <c r="CD288" s="338"/>
      <c r="CE288" s="338"/>
      <c r="CF288" s="338"/>
      <c r="CG288" s="338"/>
      <c r="CH288" s="338"/>
      <c r="CI288" s="338"/>
      <c r="CJ288" s="338"/>
      <c r="CK288" s="338"/>
      <c r="CL288" s="338"/>
    </row>
    <row r="289" ht="14.2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40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  <c r="AI289" s="338"/>
      <c r="AJ289" s="338"/>
      <c r="AK289" s="338"/>
      <c r="AL289" s="338"/>
      <c r="AM289" s="338"/>
      <c r="AN289" s="338"/>
      <c r="AO289" s="338"/>
      <c r="AP289" s="338"/>
      <c r="AQ289" s="338"/>
      <c r="AR289" s="338"/>
      <c r="AS289" s="338"/>
      <c r="AT289" s="338"/>
      <c r="AU289" s="338"/>
      <c r="AV289" s="338"/>
      <c r="AW289" s="338"/>
      <c r="AX289" s="338"/>
      <c r="AY289" s="338"/>
      <c r="AZ289" s="338"/>
      <c r="BA289" s="338"/>
      <c r="BB289" s="338"/>
      <c r="BC289" s="338"/>
      <c r="BD289" s="338"/>
      <c r="BE289" s="338"/>
      <c r="BF289" s="338"/>
      <c r="BG289" s="338"/>
      <c r="BH289" s="338"/>
      <c r="BI289" s="338"/>
      <c r="BJ289" s="338"/>
      <c r="BK289" s="338"/>
      <c r="BL289" s="338"/>
      <c r="BM289" s="338"/>
      <c r="BN289" s="338"/>
      <c r="BO289" s="338"/>
      <c r="BP289" s="338"/>
      <c r="BQ289" s="338"/>
      <c r="BR289" s="338"/>
      <c r="BS289" s="338"/>
      <c r="BT289" s="338"/>
      <c r="BU289" s="338"/>
      <c r="BV289" s="338"/>
      <c r="BW289" s="338"/>
      <c r="BX289" s="338"/>
      <c r="BY289" s="338"/>
      <c r="BZ289" s="338"/>
      <c r="CA289" s="338"/>
      <c r="CB289" s="338"/>
      <c r="CC289" s="338"/>
      <c r="CD289" s="338"/>
      <c r="CE289" s="338"/>
      <c r="CF289" s="338"/>
      <c r="CG289" s="338"/>
      <c r="CH289" s="338"/>
      <c r="CI289" s="338"/>
      <c r="CJ289" s="338"/>
      <c r="CK289" s="338"/>
      <c r="CL289" s="338"/>
    </row>
    <row r="290" ht="14.2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40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  <c r="AI290" s="338"/>
      <c r="AJ290" s="338"/>
      <c r="AK290" s="338"/>
      <c r="AL290" s="338"/>
      <c r="AM290" s="338"/>
      <c r="AN290" s="338"/>
      <c r="AO290" s="338"/>
      <c r="AP290" s="338"/>
      <c r="AQ290" s="338"/>
      <c r="AR290" s="338"/>
      <c r="AS290" s="338"/>
      <c r="AT290" s="338"/>
      <c r="AU290" s="338"/>
      <c r="AV290" s="338"/>
      <c r="AW290" s="338"/>
      <c r="AX290" s="338"/>
      <c r="AY290" s="338"/>
      <c r="AZ290" s="338"/>
      <c r="BA290" s="338"/>
      <c r="BB290" s="338"/>
      <c r="BC290" s="338"/>
      <c r="BD290" s="338"/>
      <c r="BE290" s="338"/>
      <c r="BF290" s="338"/>
      <c r="BG290" s="338"/>
      <c r="BH290" s="338"/>
      <c r="BI290" s="338"/>
      <c r="BJ290" s="338"/>
      <c r="BK290" s="338"/>
      <c r="BL290" s="338"/>
      <c r="BM290" s="338"/>
      <c r="BN290" s="338"/>
      <c r="BO290" s="338"/>
      <c r="BP290" s="338"/>
      <c r="BQ290" s="338"/>
      <c r="BR290" s="338"/>
      <c r="BS290" s="338"/>
      <c r="BT290" s="338"/>
      <c r="BU290" s="338"/>
      <c r="BV290" s="338"/>
      <c r="BW290" s="338"/>
      <c r="BX290" s="338"/>
      <c r="BY290" s="338"/>
      <c r="BZ290" s="338"/>
      <c r="CA290" s="338"/>
      <c r="CB290" s="338"/>
      <c r="CC290" s="338"/>
      <c r="CD290" s="338"/>
      <c r="CE290" s="338"/>
      <c r="CF290" s="338"/>
      <c r="CG290" s="338"/>
      <c r="CH290" s="338"/>
      <c r="CI290" s="338"/>
      <c r="CJ290" s="338"/>
      <c r="CK290" s="338"/>
      <c r="CL290" s="338"/>
    </row>
    <row r="291" ht="14.2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40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  <c r="AI291" s="338"/>
      <c r="AJ291" s="338"/>
      <c r="AK291" s="338"/>
      <c r="AL291" s="338"/>
      <c r="AM291" s="338"/>
      <c r="AN291" s="338"/>
      <c r="AO291" s="338"/>
      <c r="AP291" s="338"/>
      <c r="AQ291" s="338"/>
      <c r="AR291" s="338"/>
      <c r="AS291" s="338"/>
      <c r="AT291" s="338"/>
      <c r="AU291" s="338"/>
      <c r="AV291" s="338"/>
      <c r="AW291" s="338"/>
      <c r="AX291" s="338"/>
      <c r="AY291" s="338"/>
      <c r="AZ291" s="338"/>
      <c r="BA291" s="338"/>
      <c r="BB291" s="338"/>
      <c r="BC291" s="338"/>
      <c r="BD291" s="338"/>
      <c r="BE291" s="338"/>
      <c r="BF291" s="338"/>
      <c r="BG291" s="338"/>
      <c r="BH291" s="338"/>
      <c r="BI291" s="338"/>
      <c r="BJ291" s="338"/>
      <c r="BK291" s="338"/>
      <c r="BL291" s="338"/>
      <c r="BM291" s="338"/>
      <c r="BN291" s="338"/>
      <c r="BO291" s="338"/>
      <c r="BP291" s="338"/>
      <c r="BQ291" s="338"/>
      <c r="BR291" s="338"/>
      <c r="BS291" s="338"/>
      <c r="BT291" s="338"/>
      <c r="BU291" s="338"/>
      <c r="BV291" s="338"/>
      <c r="BW291" s="338"/>
      <c r="BX291" s="338"/>
      <c r="BY291" s="338"/>
      <c r="BZ291" s="338"/>
      <c r="CA291" s="338"/>
      <c r="CB291" s="338"/>
      <c r="CC291" s="338"/>
      <c r="CD291" s="338"/>
      <c r="CE291" s="338"/>
      <c r="CF291" s="338"/>
      <c r="CG291" s="338"/>
      <c r="CH291" s="338"/>
      <c r="CI291" s="338"/>
      <c r="CJ291" s="338"/>
      <c r="CK291" s="338"/>
      <c r="CL291" s="338"/>
    </row>
    <row r="292" ht="14.2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40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  <c r="AI292" s="338"/>
      <c r="AJ292" s="338"/>
      <c r="AK292" s="338"/>
      <c r="AL292" s="338"/>
      <c r="AM292" s="338"/>
      <c r="AN292" s="338"/>
      <c r="AO292" s="338"/>
      <c r="AP292" s="338"/>
      <c r="AQ292" s="338"/>
      <c r="AR292" s="338"/>
      <c r="AS292" s="338"/>
      <c r="AT292" s="338"/>
      <c r="AU292" s="338"/>
      <c r="AV292" s="338"/>
      <c r="AW292" s="338"/>
      <c r="AX292" s="338"/>
      <c r="AY292" s="338"/>
      <c r="AZ292" s="338"/>
      <c r="BA292" s="338"/>
      <c r="BB292" s="338"/>
      <c r="BC292" s="338"/>
      <c r="BD292" s="338"/>
      <c r="BE292" s="338"/>
      <c r="BF292" s="338"/>
      <c r="BG292" s="338"/>
      <c r="BH292" s="338"/>
      <c r="BI292" s="338"/>
      <c r="BJ292" s="338"/>
      <c r="BK292" s="338"/>
      <c r="BL292" s="338"/>
      <c r="BM292" s="338"/>
      <c r="BN292" s="338"/>
      <c r="BO292" s="338"/>
      <c r="BP292" s="338"/>
      <c r="BQ292" s="338"/>
      <c r="BR292" s="338"/>
      <c r="BS292" s="338"/>
      <c r="BT292" s="338"/>
      <c r="BU292" s="338"/>
      <c r="BV292" s="338"/>
      <c r="BW292" s="338"/>
      <c r="BX292" s="338"/>
      <c r="BY292" s="338"/>
      <c r="BZ292" s="338"/>
      <c r="CA292" s="338"/>
      <c r="CB292" s="338"/>
      <c r="CC292" s="338"/>
      <c r="CD292" s="338"/>
      <c r="CE292" s="338"/>
      <c r="CF292" s="338"/>
      <c r="CG292" s="338"/>
      <c r="CH292" s="338"/>
      <c r="CI292" s="338"/>
      <c r="CJ292" s="338"/>
      <c r="CK292" s="338"/>
      <c r="CL292" s="338"/>
    </row>
    <row r="293" ht="14.2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40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  <c r="AI293" s="338"/>
      <c r="AJ293" s="338"/>
      <c r="AK293" s="338"/>
      <c r="AL293" s="338"/>
      <c r="AM293" s="338"/>
      <c r="AN293" s="338"/>
      <c r="AO293" s="338"/>
      <c r="AP293" s="338"/>
      <c r="AQ293" s="338"/>
      <c r="AR293" s="338"/>
      <c r="AS293" s="338"/>
      <c r="AT293" s="338"/>
      <c r="AU293" s="338"/>
      <c r="AV293" s="338"/>
      <c r="AW293" s="338"/>
      <c r="AX293" s="338"/>
      <c r="AY293" s="338"/>
      <c r="AZ293" s="338"/>
      <c r="BA293" s="338"/>
      <c r="BB293" s="338"/>
      <c r="BC293" s="338"/>
      <c r="BD293" s="338"/>
      <c r="BE293" s="338"/>
      <c r="BF293" s="338"/>
      <c r="BG293" s="338"/>
      <c r="BH293" s="338"/>
      <c r="BI293" s="338"/>
      <c r="BJ293" s="338"/>
      <c r="BK293" s="338"/>
      <c r="BL293" s="338"/>
      <c r="BM293" s="338"/>
      <c r="BN293" s="338"/>
      <c r="BO293" s="338"/>
      <c r="BP293" s="338"/>
      <c r="BQ293" s="338"/>
      <c r="BR293" s="338"/>
      <c r="BS293" s="338"/>
      <c r="BT293" s="338"/>
      <c r="BU293" s="338"/>
      <c r="BV293" s="338"/>
      <c r="BW293" s="338"/>
      <c r="BX293" s="338"/>
      <c r="BY293" s="338"/>
      <c r="BZ293" s="338"/>
      <c r="CA293" s="338"/>
      <c r="CB293" s="338"/>
      <c r="CC293" s="338"/>
      <c r="CD293" s="338"/>
      <c r="CE293" s="338"/>
      <c r="CF293" s="338"/>
      <c r="CG293" s="338"/>
      <c r="CH293" s="338"/>
      <c r="CI293" s="338"/>
      <c r="CJ293" s="338"/>
      <c r="CK293" s="338"/>
      <c r="CL293" s="338"/>
    </row>
    <row r="294" ht="14.2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40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  <c r="AI294" s="338"/>
      <c r="AJ294" s="338"/>
      <c r="AK294" s="338"/>
      <c r="AL294" s="338"/>
      <c r="AM294" s="338"/>
      <c r="AN294" s="338"/>
      <c r="AO294" s="338"/>
      <c r="AP294" s="338"/>
      <c r="AQ294" s="338"/>
      <c r="AR294" s="338"/>
      <c r="AS294" s="338"/>
      <c r="AT294" s="338"/>
      <c r="AU294" s="338"/>
      <c r="AV294" s="338"/>
      <c r="AW294" s="338"/>
      <c r="AX294" s="338"/>
      <c r="AY294" s="338"/>
      <c r="AZ294" s="338"/>
      <c r="BA294" s="338"/>
      <c r="BB294" s="338"/>
      <c r="BC294" s="338"/>
      <c r="BD294" s="338"/>
      <c r="BE294" s="338"/>
      <c r="BF294" s="338"/>
      <c r="BG294" s="338"/>
      <c r="BH294" s="338"/>
      <c r="BI294" s="338"/>
      <c r="BJ294" s="338"/>
      <c r="BK294" s="338"/>
      <c r="BL294" s="338"/>
      <c r="BM294" s="338"/>
      <c r="BN294" s="338"/>
      <c r="BO294" s="338"/>
      <c r="BP294" s="338"/>
      <c r="BQ294" s="338"/>
      <c r="BR294" s="338"/>
      <c r="BS294" s="338"/>
      <c r="BT294" s="338"/>
      <c r="BU294" s="338"/>
      <c r="BV294" s="338"/>
      <c r="BW294" s="338"/>
      <c r="BX294" s="338"/>
      <c r="BY294" s="338"/>
      <c r="BZ294" s="338"/>
      <c r="CA294" s="338"/>
      <c r="CB294" s="338"/>
      <c r="CC294" s="338"/>
      <c r="CD294" s="338"/>
      <c r="CE294" s="338"/>
      <c r="CF294" s="338"/>
      <c r="CG294" s="338"/>
      <c r="CH294" s="338"/>
      <c r="CI294" s="338"/>
      <c r="CJ294" s="338"/>
      <c r="CK294" s="338"/>
      <c r="CL294" s="338"/>
    </row>
    <row r="295" ht="14.2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40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  <c r="AI295" s="338"/>
      <c r="AJ295" s="338"/>
      <c r="AK295" s="338"/>
      <c r="AL295" s="338"/>
      <c r="AM295" s="338"/>
      <c r="AN295" s="338"/>
      <c r="AO295" s="338"/>
      <c r="AP295" s="338"/>
      <c r="AQ295" s="338"/>
      <c r="AR295" s="338"/>
      <c r="AS295" s="338"/>
      <c r="AT295" s="338"/>
      <c r="AU295" s="338"/>
      <c r="AV295" s="338"/>
      <c r="AW295" s="338"/>
      <c r="AX295" s="338"/>
      <c r="AY295" s="338"/>
      <c r="AZ295" s="338"/>
      <c r="BA295" s="338"/>
      <c r="BB295" s="338"/>
      <c r="BC295" s="338"/>
      <c r="BD295" s="338"/>
      <c r="BE295" s="338"/>
      <c r="BF295" s="338"/>
      <c r="BG295" s="338"/>
      <c r="BH295" s="338"/>
      <c r="BI295" s="338"/>
      <c r="BJ295" s="338"/>
      <c r="BK295" s="338"/>
      <c r="BL295" s="338"/>
      <c r="BM295" s="338"/>
      <c r="BN295" s="338"/>
      <c r="BO295" s="338"/>
      <c r="BP295" s="338"/>
      <c r="BQ295" s="338"/>
      <c r="BR295" s="338"/>
      <c r="BS295" s="338"/>
      <c r="BT295" s="338"/>
      <c r="BU295" s="338"/>
      <c r="BV295" s="338"/>
      <c r="BW295" s="338"/>
      <c r="BX295" s="338"/>
      <c r="BY295" s="338"/>
      <c r="BZ295" s="338"/>
      <c r="CA295" s="338"/>
      <c r="CB295" s="338"/>
      <c r="CC295" s="338"/>
      <c r="CD295" s="338"/>
      <c r="CE295" s="338"/>
      <c r="CF295" s="338"/>
      <c r="CG295" s="338"/>
      <c r="CH295" s="338"/>
      <c r="CI295" s="338"/>
      <c r="CJ295" s="338"/>
      <c r="CK295" s="338"/>
      <c r="CL295" s="338"/>
    </row>
    <row r="296" ht="14.2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40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  <c r="AI296" s="338"/>
      <c r="AJ296" s="338"/>
      <c r="AK296" s="338"/>
      <c r="AL296" s="338"/>
      <c r="AM296" s="338"/>
      <c r="AN296" s="338"/>
      <c r="AO296" s="338"/>
      <c r="AP296" s="338"/>
      <c r="AQ296" s="338"/>
      <c r="AR296" s="338"/>
      <c r="AS296" s="338"/>
      <c r="AT296" s="338"/>
      <c r="AU296" s="338"/>
      <c r="AV296" s="338"/>
      <c r="AW296" s="338"/>
      <c r="AX296" s="338"/>
      <c r="AY296" s="338"/>
      <c r="AZ296" s="338"/>
      <c r="BA296" s="338"/>
      <c r="BB296" s="338"/>
      <c r="BC296" s="338"/>
      <c r="BD296" s="338"/>
      <c r="BE296" s="338"/>
      <c r="BF296" s="338"/>
      <c r="BG296" s="338"/>
      <c r="BH296" s="338"/>
      <c r="BI296" s="338"/>
      <c r="BJ296" s="338"/>
      <c r="BK296" s="338"/>
      <c r="BL296" s="338"/>
      <c r="BM296" s="338"/>
      <c r="BN296" s="338"/>
      <c r="BO296" s="338"/>
      <c r="BP296" s="338"/>
      <c r="BQ296" s="338"/>
      <c r="BR296" s="338"/>
      <c r="BS296" s="338"/>
      <c r="BT296" s="338"/>
      <c r="BU296" s="338"/>
      <c r="BV296" s="338"/>
      <c r="BW296" s="338"/>
      <c r="BX296" s="338"/>
      <c r="BY296" s="338"/>
      <c r="BZ296" s="338"/>
      <c r="CA296" s="338"/>
      <c r="CB296" s="338"/>
      <c r="CC296" s="338"/>
      <c r="CD296" s="338"/>
      <c r="CE296" s="338"/>
      <c r="CF296" s="338"/>
      <c r="CG296" s="338"/>
      <c r="CH296" s="338"/>
      <c r="CI296" s="338"/>
      <c r="CJ296" s="338"/>
      <c r="CK296" s="338"/>
      <c r="CL296" s="338"/>
    </row>
    <row r="297" ht="14.2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40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  <c r="AI297" s="338"/>
      <c r="AJ297" s="338"/>
      <c r="AK297" s="338"/>
      <c r="AL297" s="338"/>
      <c r="AM297" s="338"/>
      <c r="AN297" s="338"/>
      <c r="AO297" s="338"/>
      <c r="AP297" s="338"/>
      <c r="AQ297" s="338"/>
      <c r="AR297" s="338"/>
      <c r="AS297" s="338"/>
      <c r="AT297" s="338"/>
      <c r="AU297" s="338"/>
      <c r="AV297" s="338"/>
      <c r="AW297" s="338"/>
      <c r="AX297" s="338"/>
      <c r="AY297" s="338"/>
      <c r="AZ297" s="338"/>
      <c r="BA297" s="338"/>
      <c r="BB297" s="338"/>
      <c r="BC297" s="338"/>
      <c r="BD297" s="338"/>
      <c r="BE297" s="338"/>
      <c r="BF297" s="338"/>
      <c r="BG297" s="338"/>
      <c r="BH297" s="338"/>
      <c r="BI297" s="338"/>
      <c r="BJ297" s="338"/>
      <c r="BK297" s="338"/>
      <c r="BL297" s="338"/>
      <c r="BM297" s="338"/>
      <c r="BN297" s="338"/>
      <c r="BO297" s="338"/>
      <c r="BP297" s="338"/>
      <c r="BQ297" s="338"/>
      <c r="BR297" s="338"/>
      <c r="BS297" s="338"/>
      <c r="BT297" s="338"/>
      <c r="BU297" s="338"/>
      <c r="BV297" s="338"/>
      <c r="BW297" s="338"/>
      <c r="BX297" s="338"/>
      <c r="BY297" s="338"/>
      <c r="BZ297" s="338"/>
      <c r="CA297" s="338"/>
      <c r="CB297" s="338"/>
      <c r="CC297" s="338"/>
      <c r="CD297" s="338"/>
      <c r="CE297" s="338"/>
      <c r="CF297" s="338"/>
      <c r="CG297" s="338"/>
      <c r="CH297" s="338"/>
      <c r="CI297" s="338"/>
      <c r="CJ297" s="338"/>
      <c r="CK297" s="338"/>
      <c r="CL297" s="338"/>
    </row>
    <row r="298" ht="14.2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40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  <c r="AI298" s="338"/>
      <c r="AJ298" s="338"/>
      <c r="AK298" s="338"/>
      <c r="AL298" s="338"/>
      <c r="AM298" s="338"/>
      <c r="AN298" s="338"/>
      <c r="AO298" s="338"/>
      <c r="AP298" s="338"/>
      <c r="AQ298" s="338"/>
      <c r="AR298" s="338"/>
      <c r="AS298" s="338"/>
      <c r="AT298" s="338"/>
      <c r="AU298" s="338"/>
      <c r="AV298" s="338"/>
      <c r="AW298" s="338"/>
      <c r="AX298" s="338"/>
      <c r="AY298" s="338"/>
      <c r="AZ298" s="338"/>
      <c r="BA298" s="338"/>
      <c r="BB298" s="338"/>
      <c r="BC298" s="338"/>
      <c r="BD298" s="338"/>
      <c r="BE298" s="338"/>
      <c r="BF298" s="338"/>
      <c r="BG298" s="338"/>
      <c r="BH298" s="338"/>
      <c r="BI298" s="338"/>
      <c r="BJ298" s="338"/>
      <c r="BK298" s="338"/>
      <c r="BL298" s="338"/>
      <c r="BM298" s="338"/>
      <c r="BN298" s="338"/>
      <c r="BO298" s="338"/>
      <c r="BP298" s="338"/>
      <c r="BQ298" s="338"/>
      <c r="BR298" s="338"/>
      <c r="BS298" s="338"/>
      <c r="BT298" s="338"/>
      <c r="BU298" s="338"/>
      <c r="BV298" s="338"/>
      <c r="BW298" s="338"/>
      <c r="BX298" s="338"/>
      <c r="BY298" s="338"/>
      <c r="BZ298" s="338"/>
      <c r="CA298" s="338"/>
      <c r="CB298" s="338"/>
      <c r="CC298" s="338"/>
      <c r="CD298" s="338"/>
      <c r="CE298" s="338"/>
      <c r="CF298" s="338"/>
      <c r="CG298" s="338"/>
      <c r="CH298" s="338"/>
      <c r="CI298" s="338"/>
      <c r="CJ298" s="338"/>
      <c r="CK298" s="338"/>
      <c r="CL298" s="338"/>
    </row>
    <row r="299" ht="14.2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40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  <c r="AI299" s="338"/>
      <c r="AJ299" s="338"/>
      <c r="AK299" s="338"/>
      <c r="AL299" s="338"/>
      <c r="AM299" s="338"/>
      <c r="AN299" s="338"/>
      <c r="AO299" s="338"/>
      <c r="AP299" s="338"/>
      <c r="AQ299" s="338"/>
      <c r="AR299" s="338"/>
      <c r="AS299" s="338"/>
      <c r="AT299" s="338"/>
      <c r="AU299" s="338"/>
      <c r="AV299" s="338"/>
      <c r="AW299" s="338"/>
      <c r="AX299" s="338"/>
      <c r="AY299" s="338"/>
      <c r="AZ299" s="338"/>
      <c r="BA299" s="338"/>
      <c r="BB299" s="338"/>
      <c r="BC299" s="338"/>
      <c r="BD299" s="338"/>
      <c r="BE299" s="338"/>
      <c r="BF299" s="338"/>
      <c r="BG299" s="338"/>
      <c r="BH299" s="338"/>
      <c r="BI299" s="338"/>
      <c r="BJ299" s="338"/>
      <c r="BK299" s="338"/>
      <c r="BL299" s="338"/>
      <c r="BM299" s="338"/>
      <c r="BN299" s="338"/>
      <c r="BO299" s="338"/>
      <c r="BP299" s="338"/>
      <c r="BQ299" s="338"/>
      <c r="BR299" s="338"/>
      <c r="BS299" s="338"/>
      <c r="BT299" s="338"/>
      <c r="BU299" s="338"/>
      <c r="BV299" s="338"/>
      <c r="BW299" s="338"/>
      <c r="BX299" s="338"/>
      <c r="BY299" s="338"/>
      <c r="BZ299" s="338"/>
      <c r="CA299" s="338"/>
      <c r="CB299" s="338"/>
      <c r="CC299" s="338"/>
      <c r="CD299" s="338"/>
      <c r="CE299" s="338"/>
      <c r="CF299" s="338"/>
      <c r="CG299" s="338"/>
      <c r="CH299" s="338"/>
      <c r="CI299" s="338"/>
      <c r="CJ299" s="338"/>
      <c r="CK299" s="338"/>
      <c r="CL299" s="338"/>
    </row>
    <row r="300" ht="14.2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40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  <c r="AI300" s="338"/>
      <c r="AJ300" s="338"/>
      <c r="AK300" s="338"/>
      <c r="AL300" s="338"/>
      <c r="AM300" s="338"/>
      <c r="AN300" s="338"/>
      <c r="AO300" s="338"/>
      <c r="AP300" s="338"/>
      <c r="AQ300" s="338"/>
      <c r="AR300" s="338"/>
      <c r="AS300" s="338"/>
      <c r="AT300" s="338"/>
      <c r="AU300" s="338"/>
      <c r="AV300" s="338"/>
      <c r="AW300" s="338"/>
      <c r="AX300" s="338"/>
      <c r="AY300" s="338"/>
      <c r="AZ300" s="338"/>
      <c r="BA300" s="338"/>
      <c r="BB300" s="338"/>
      <c r="BC300" s="338"/>
      <c r="BD300" s="338"/>
      <c r="BE300" s="338"/>
      <c r="BF300" s="338"/>
      <c r="BG300" s="338"/>
      <c r="BH300" s="338"/>
      <c r="BI300" s="338"/>
      <c r="BJ300" s="338"/>
      <c r="BK300" s="338"/>
      <c r="BL300" s="338"/>
      <c r="BM300" s="338"/>
      <c r="BN300" s="338"/>
      <c r="BO300" s="338"/>
      <c r="BP300" s="338"/>
      <c r="BQ300" s="338"/>
      <c r="BR300" s="338"/>
      <c r="BS300" s="338"/>
      <c r="BT300" s="338"/>
      <c r="BU300" s="338"/>
      <c r="BV300" s="338"/>
      <c r="BW300" s="338"/>
      <c r="BX300" s="338"/>
      <c r="BY300" s="338"/>
      <c r="BZ300" s="338"/>
      <c r="CA300" s="338"/>
      <c r="CB300" s="338"/>
      <c r="CC300" s="338"/>
      <c r="CD300" s="338"/>
      <c r="CE300" s="338"/>
      <c r="CF300" s="338"/>
      <c r="CG300" s="338"/>
      <c r="CH300" s="338"/>
      <c r="CI300" s="338"/>
      <c r="CJ300" s="338"/>
      <c r="CK300" s="338"/>
      <c r="CL300" s="338"/>
    </row>
    <row r="301" ht="14.2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40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  <c r="AI301" s="338"/>
      <c r="AJ301" s="338"/>
      <c r="AK301" s="338"/>
      <c r="AL301" s="338"/>
      <c r="AM301" s="338"/>
      <c r="AN301" s="338"/>
      <c r="AO301" s="338"/>
      <c r="AP301" s="338"/>
      <c r="AQ301" s="338"/>
      <c r="AR301" s="338"/>
      <c r="AS301" s="338"/>
      <c r="AT301" s="338"/>
      <c r="AU301" s="338"/>
      <c r="AV301" s="338"/>
      <c r="AW301" s="338"/>
      <c r="AX301" s="338"/>
      <c r="AY301" s="338"/>
      <c r="AZ301" s="338"/>
      <c r="BA301" s="338"/>
      <c r="BB301" s="338"/>
      <c r="BC301" s="338"/>
      <c r="BD301" s="338"/>
      <c r="BE301" s="338"/>
      <c r="BF301" s="338"/>
      <c r="BG301" s="338"/>
      <c r="BH301" s="338"/>
      <c r="BI301" s="338"/>
      <c r="BJ301" s="338"/>
      <c r="BK301" s="338"/>
      <c r="BL301" s="338"/>
      <c r="BM301" s="338"/>
      <c r="BN301" s="338"/>
      <c r="BO301" s="338"/>
      <c r="BP301" s="338"/>
      <c r="BQ301" s="338"/>
      <c r="BR301" s="338"/>
      <c r="BS301" s="338"/>
      <c r="BT301" s="338"/>
      <c r="BU301" s="338"/>
      <c r="BV301" s="338"/>
      <c r="BW301" s="338"/>
      <c r="BX301" s="338"/>
      <c r="BY301" s="338"/>
      <c r="BZ301" s="338"/>
      <c r="CA301" s="338"/>
      <c r="CB301" s="338"/>
      <c r="CC301" s="338"/>
      <c r="CD301" s="338"/>
      <c r="CE301" s="338"/>
      <c r="CF301" s="338"/>
      <c r="CG301" s="338"/>
      <c r="CH301" s="338"/>
      <c r="CI301" s="338"/>
      <c r="CJ301" s="338"/>
      <c r="CK301" s="338"/>
      <c r="CL301" s="338"/>
    </row>
    <row r="302" ht="14.2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40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  <c r="AI302" s="338"/>
      <c r="AJ302" s="338"/>
      <c r="AK302" s="338"/>
      <c r="AL302" s="338"/>
      <c r="AM302" s="338"/>
      <c r="AN302" s="338"/>
      <c r="AO302" s="338"/>
      <c r="AP302" s="338"/>
      <c r="AQ302" s="338"/>
      <c r="AR302" s="338"/>
      <c r="AS302" s="338"/>
      <c r="AT302" s="338"/>
      <c r="AU302" s="338"/>
      <c r="AV302" s="338"/>
      <c r="AW302" s="338"/>
      <c r="AX302" s="338"/>
      <c r="AY302" s="338"/>
      <c r="AZ302" s="338"/>
      <c r="BA302" s="338"/>
      <c r="BB302" s="338"/>
      <c r="BC302" s="338"/>
      <c r="BD302" s="338"/>
      <c r="BE302" s="338"/>
      <c r="BF302" s="338"/>
      <c r="BG302" s="338"/>
      <c r="BH302" s="338"/>
      <c r="BI302" s="338"/>
      <c r="BJ302" s="338"/>
      <c r="BK302" s="338"/>
      <c r="BL302" s="338"/>
      <c r="BM302" s="338"/>
      <c r="BN302" s="338"/>
      <c r="BO302" s="338"/>
      <c r="BP302" s="338"/>
      <c r="BQ302" s="338"/>
      <c r="BR302" s="338"/>
      <c r="BS302" s="338"/>
      <c r="BT302" s="338"/>
      <c r="BU302" s="338"/>
      <c r="BV302" s="338"/>
      <c r="BW302" s="338"/>
      <c r="BX302" s="338"/>
      <c r="BY302" s="338"/>
      <c r="BZ302" s="338"/>
      <c r="CA302" s="338"/>
      <c r="CB302" s="338"/>
      <c r="CC302" s="338"/>
      <c r="CD302" s="338"/>
      <c r="CE302" s="338"/>
      <c r="CF302" s="338"/>
      <c r="CG302" s="338"/>
      <c r="CH302" s="338"/>
      <c r="CI302" s="338"/>
      <c r="CJ302" s="338"/>
      <c r="CK302" s="338"/>
      <c r="CL302" s="338"/>
    </row>
    <row r="303" ht="14.2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40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8"/>
      <c r="AO303" s="338"/>
      <c r="AP303" s="338"/>
      <c r="AQ303" s="338"/>
      <c r="AR303" s="338"/>
      <c r="AS303" s="338"/>
      <c r="AT303" s="338"/>
      <c r="AU303" s="338"/>
      <c r="AV303" s="338"/>
      <c r="AW303" s="338"/>
      <c r="AX303" s="338"/>
      <c r="AY303" s="338"/>
      <c r="AZ303" s="338"/>
      <c r="BA303" s="338"/>
      <c r="BB303" s="338"/>
      <c r="BC303" s="338"/>
      <c r="BD303" s="338"/>
      <c r="BE303" s="338"/>
      <c r="BF303" s="338"/>
      <c r="BG303" s="338"/>
      <c r="BH303" s="338"/>
      <c r="BI303" s="338"/>
      <c r="BJ303" s="338"/>
      <c r="BK303" s="338"/>
      <c r="BL303" s="338"/>
      <c r="BM303" s="338"/>
      <c r="BN303" s="338"/>
      <c r="BO303" s="338"/>
      <c r="BP303" s="338"/>
      <c r="BQ303" s="338"/>
      <c r="BR303" s="338"/>
      <c r="BS303" s="338"/>
      <c r="BT303" s="338"/>
      <c r="BU303" s="338"/>
      <c r="BV303" s="338"/>
      <c r="BW303" s="338"/>
      <c r="BX303" s="338"/>
      <c r="BY303" s="338"/>
      <c r="BZ303" s="338"/>
      <c r="CA303" s="338"/>
      <c r="CB303" s="338"/>
      <c r="CC303" s="338"/>
      <c r="CD303" s="338"/>
      <c r="CE303" s="338"/>
      <c r="CF303" s="338"/>
      <c r="CG303" s="338"/>
      <c r="CH303" s="338"/>
      <c r="CI303" s="338"/>
      <c r="CJ303" s="338"/>
      <c r="CK303" s="338"/>
      <c r="CL303" s="338"/>
    </row>
    <row r="304" ht="14.2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40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  <c r="AI304" s="338"/>
      <c r="AJ304" s="338"/>
      <c r="AK304" s="338"/>
      <c r="AL304" s="338"/>
      <c r="AM304" s="338"/>
      <c r="AN304" s="338"/>
      <c r="AO304" s="338"/>
      <c r="AP304" s="338"/>
      <c r="AQ304" s="338"/>
      <c r="AR304" s="338"/>
      <c r="AS304" s="338"/>
      <c r="AT304" s="338"/>
      <c r="AU304" s="338"/>
      <c r="AV304" s="338"/>
      <c r="AW304" s="338"/>
      <c r="AX304" s="338"/>
      <c r="AY304" s="338"/>
      <c r="AZ304" s="338"/>
      <c r="BA304" s="338"/>
      <c r="BB304" s="338"/>
      <c r="BC304" s="338"/>
      <c r="BD304" s="338"/>
      <c r="BE304" s="338"/>
      <c r="BF304" s="338"/>
      <c r="BG304" s="338"/>
      <c r="BH304" s="338"/>
      <c r="BI304" s="338"/>
      <c r="BJ304" s="338"/>
      <c r="BK304" s="338"/>
      <c r="BL304" s="338"/>
      <c r="BM304" s="338"/>
      <c r="BN304" s="338"/>
      <c r="BO304" s="338"/>
      <c r="BP304" s="338"/>
      <c r="BQ304" s="338"/>
      <c r="BR304" s="338"/>
      <c r="BS304" s="338"/>
      <c r="BT304" s="338"/>
      <c r="BU304" s="338"/>
      <c r="BV304" s="338"/>
      <c r="BW304" s="338"/>
      <c r="BX304" s="338"/>
      <c r="BY304" s="338"/>
      <c r="BZ304" s="338"/>
      <c r="CA304" s="338"/>
      <c r="CB304" s="338"/>
      <c r="CC304" s="338"/>
      <c r="CD304" s="338"/>
      <c r="CE304" s="338"/>
      <c r="CF304" s="338"/>
      <c r="CG304" s="338"/>
      <c r="CH304" s="338"/>
      <c r="CI304" s="338"/>
      <c r="CJ304" s="338"/>
      <c r="CK304" s="338"/>
      <c r="CL304" s="338"/>
    </row>
    <row r="305" ht="14.2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40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  <c r="AI305" s="338"/>
      <c r="AJ305" s="338"/>
      <c r="AK305" s="338"/>
      <c r="AL305" s="338"/>
      <c r="AM305" s="338"/>
      <c r="AN305" s="338"/>
      <c r="AO305" s="338"/>
      <c r="AP305" s="338"/>
      <c r="AQ305" s="338"/>
      <c r="AR305" s="338"/>
      <c r="AS305" s="338"/>
      <c r="AT305" s="338"/>
      <c r="AU305" s="338"/>
      <c r="AV305" s="338"/>
      <c r="AW305" s="338"/>
      <c r="AX305" s="338"/>
      <c r="AY305" s="338"/>
      <c r="AZ305" s="338"/>
      <c r="BA305" s="338"/>
      <c r="BB305" s="338"/>
      <c r="BC305" s="338"/>
      <c r="BD305" s="338"/>
      <c r="BE305" s="338"/>
      <c r="BF305" s="338"/>
      <c r="BG305" s="338"/>
      <c r="BH305" s="338"/>
      <c r="BI305" s="338"/>
      <c r="BJ305" s="338"/>
      <c r="BK305" s="338"/>
      <c r="BL305" s="338"/>
      <c r="BM305" s="338"/>
      <c r="BN305" s="338"/>
      <c r="BO305" s="338"/>
      <c r="BP305" s="338"/>
      <c r="BQ305" s="338"/>
      <c r="BR305" s="338"/>
      <c r="BS305" s="338"/>
      <c r="BT305" s="338"/>
      <c r="BU305" s="338"/>
      <c r="BV305" s="338"/>
      <c r="BW305" s="338"/>
      <c r="BX305" s="338"/>
      <c r="BY305" s="338"/>
      <c r="BZ305" s="338"/>
      <c r="CA305" s="338"/>
      <c r="CB305" s="338"/>
      <c r="CC305" s="338"/>
      <c r="CD305" s="338"/>
      <c r="CE305" s="338"/>
      <c r="CF305" s="338"/>
      <c r="CG305" s="338"/>
      <c r="CH305" s="338"/>
      <c r="CI305" s="338"/>
      <c r="CJ305" s="338"/>
      <c r="CK305" s="338"/>
      <c r="CL305" s="338"/>
    </row>
    <row r="306" ht="14.2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40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  <c r="AI306" s="338"/>
      <c r="AJ306" s="338"/>
      <c r="AK306" s="338"/>
      <c r="AL306" s="338"/>
      <c r="AM306" s="338"/>
      <c r="AN306" s="338"/>
      <c r="AO306" s="338"/>
      <c r="AP306" s="338"/>
      <c r="AQ306" s="338"/>
      <c r="AR306" s="338"/>
      <c r="AS306" s="338"/>
      <c r="AT306" s="338"/>
      <c r="AU306" s="338"/>
      <c r="AV306" s="338"/>
      <c r="AW306" s="338"/>
      <c r="AX306" s="338"/>
      <c r="AY306" s="338"/>
      <c r="AZ306" s="338"/>
      <c r="BA306" s="338"/>
      <c r="BB306" s="338"/>
      <c r="BC306" s="338"/>
      <c r="BD306" s="338"/>
      <c r="BE306" s="338"/>
      <c r="BF306" s="338"/>
      <c r="BG306" s="338"/>
      <c r="BH306" s="338"/>
      <c r="BI306" s="338"/>
      <c r="BJ306" s="338"/>
      <c r="BK306" s="338"/>
      <c r="BL306" s="338"/>
      <c r="BM306" s="338"/>
      <c r="BN306" s="338"/>
      <c r="BO306" s="338"/>
      <c r="BP306" s="338"/>
      <c r="BQ306" s="338"/>
      <c r="BR306" s="338"/>
      <c r="BS306" s="338"/>
      <c r="BT306" s="338"/>
      <c r="BU306" s="338"/>
      <c r="BV306" s="338"/>
      <c r="BW306" s="338"/>
      <c r="BX306" s="338"/>
      <c r="BY306" s="338"/>
      <c r="BZ306" s="338"/>
      <c r="CA306" s="338"/>
      <c r="CB306" s="338"/>
      <c r="CC306" s="338"/>
      <c r="CD306" s="338"/>
      <c r="CE306" s="338"/>
      <c r="CF306" s="338"/>
      <c r="CG306" s="338"/>
      <c r="CH306" s="338"/>
      <c r="CI306" s="338"/>
      <c r="CJ306" s="338"/>
      <c r="CK306" s="338"/>
      <c r="CL306" s="338"/>
    </row>
    <row r="307" ht="14.2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40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  <c r="AI307" s="338"/>
      <c r="AJ307" s="338"/>
      <c r="AK307" s="338"/>
      <c r="AL307" s="338"/>
      <c r="AM307" s="338"/>
      <c r="AN307" s="338"/>
      <c r="AO307" s="338"/>
      <c r="AP307" s="338"/>
      <c r="AQ307" s="338"/>
      <c r="AR307" s="338"/>
      <c r="AS307" s="338"/>
      <c r="AT307" s="338"/>
      <c r="AU307" s="338"/>
      <c r="AV307" s="338"/>
      <c r="AW307" s="338"/>
      <c r="AX307" s="338"/>
      <c r="AY307" s="338"/>
      <c r="AZ307" s="338"/>
      <c r="BA307" s="338"/>
      <c r="BB307" s="338"/>
      <c r="BC307" s="338"/>
      <c r="BD307" s="338"/>
      <c r="BE307" s="338"/>
      <c r="BF307" s="338"/>
      <c r="BG307" s="338"/>
      <c r="BH307" s="338"/>
      <c r="BI307" s="338"/>
      <c r="BJ307" s="338"/>
      <c r="BK307" s="338"/>
      <c r="BL307" s="338"/>
      <c r="BM307" s="338"/>
      <c r="BN307" s="338"/>
      <c r="BO307" s="338"/>
      <c r="BP307" s="338"/>
      <c r="BQ307" s="338"/>
      <c r="BR307" s="338"/>
      <c r="BS307" s="338"/>
      <c r="BT307" s="338"/>
      <c r="BU307" s="338"/>
      <c r="BV307" s="338"/>
      <c r="BW307" s="338"/>
      <c r="BX307" s="338"/>
      <c r="BY307" s="338"/>
      <c r="BZ307" s="338"/>
      <c r="CA307" s="338"/>
      <c r="CB307" s="338"/>
      <c r="CC307" s="338"/>
      <c r="CD307" s="338"/>
      <c r="CE307" s="338"/>
      <c r="CF307" s="338"/>
      <c r="CG307" s="338"/>
      <c r="CH307" s="338"/>
      <c r="CI307" s="338"/>
      <c r="CJ307" s="338"/>
      <c r="CK307" s="338"/>
      <c r="CL307" s="338"/>
    </row>
    <row r="308" ht="14.2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40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  <c r="AI308" s="338"/>
      <c r="AJ308" s="338"/>
      <c r="AK308" s="338"/>
      <c r="AL308" s="338"/>
      <c r="AM308" s="338"/>
      <c r="AN308" s="338"/>
      <c r="AO308" s="338"/>
      <c r="AP308" s="338"/>
      <c r="AQ308" s="338"/>
      <c r="AR308" s="338"/>
      <c r="AS308" s="338"/>
      <c r="AT308" s="338"/>
      <c r="AU308" s="338"/>
      <c r="AV308" s="338"/>
      <c r="AW308" s="338"/>
      <c r="AX308" s="338"/>
      <c r="AY308" s="338"/>
      <c r="AZ308" s="338"/>
      <c r="BA308" s="338"/>
      <c r="BB308" s="338"/>
      <c r="BC308" s="338"/>
      <c r="BD308" s="338"/>
      <c r="BE308" s="338"/>
      <c r="BF308" s="338"/>
      <c r="BG308" s="338"/>
      <c r="BH308" s="338"/>
      <c r="BI308" s="338"/>
      <c r="BJ308" s="338"/>
      <c r="BK308" s="338"/>
      <c r="BL308" s="338"/>
      <c r="BM308" s="338"/>
      <c r="BN308" s="338"/>
      <c r="BO308" s="338"/>
      <c r="BP308" s="338"/>
      <c r="BQ308" s="338"/>
      <c r="BR308" s="338"/>
      <c r="BS308" s="338"/>
      <c r="BT308" s="338"/>
      <c r="BU308" s="338"/>
      <c r="BV308" s="338"/>
      <c r="BW308" s="338"/>
      <c r="BX308" s="338"/>
      <c r="BY308" s="338"/>
      <c r="BZ308" s="338"/>
      <c r="CA308" s="338"/>
      <c r="CB308" s="338"/>
      <c r="CC308" s="338"/>
      <c r="CD308" s="338"/>
      <c r="CE308" s="338"/>
      <c r="CF308" s="338"/>
      <c r="CG308" s="338"/>
      <c r="CH308" s="338"/>
      <c r="CI308" s="338"/>
      <c r="CJ308" s="338"/>
      <c r="CK308" s="338"/>
      <c r="CL308" s="338"/>
    </row>
    <row r="309" ht="14.2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40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  <c r="AI309" s="338"/>
      <c r="AJ309" s="338"/>
      <c r="AK309" s="338"/>
      <c r="AL309" s="338"/>
      <c r="AM309" s="338"/>
      <c r="AN309" s="338"/>
      <c r="AO309" s="338"/>
      <c r="AP309" s="338"/>
      <c r="AQ309" s="338"/>
      <c r="AR309" s="338"/>
      <c r="AS309" s="338"/>
      <c r="AT309" s="338"/>
      <c r="AU309" s="338"/>
      <c r="AV309" s="338"/>
      <c r="AW309" s="338"/>
      <c r="AX309" s="338"/>
      <c r="AY309" s="338"/>
      <c r="AZ309" s="338"/>
      <c r="BA309" s="338"/>
      <c r="BB309" s="338"/>
      <c r="BC309" s="338"/>
      <c r="BD309" s="338"/>
      <c r="BE309" s="338"/>
      <c r="BF309" s="338"/>
      <c r="BG309" s="338"/>
      <c r="BH309" s="338"/>
      <c r="BI309" s="338"/>
      <c r="BJ309" s="338"/>
      <c r="BK309" s="338"/>
      <c r="BL309" s="338"/>
      <c r="BM309" s="338"/>
      <c r="BN309" s="338"/>
      <c r="BO309" s="338"/>
      <c r="BP309" s="338"/>
      <c r="BQ309" s="338"/>
      <c r="BR309" s="338"/>
      <c r="BS309" s="338"/>
      <c r="BT309" s="338"/>
      <c r="BU309" s="338"/>
      <c r="BV309" s="338"/>
      <c r="BW309" s="338"/>
      <c r="BX309" s="338"/>
      <c r="BY309" s="338"/>
      <c r="BZ309" s="338"/>
      <c r="CA309" s="338"/>
      <c r="CB309" s="338"/>
      <c r="CC309" s="338"/>
      <c r="CD309" s="338"/>
      <c r="CE309" s="338"/>
      <c r="CF309" s="338"/>
      <c r="CG309" s="338"/>
      <c r="CH309" s="338"/>
      <c r="CI309" s="338"/>
      <c r="CJ309" s="338"/>
      <c r="CK309" s="338"/>
      <c r="CL309" s="338"/>
    </row>
    <row r="310" ht="14.2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40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  <c r="AI310" s="338"/>
      <c r="AJ310" s="338"/>
      <c r="AK310" s="338"/>
      <c r="AL310" s="338"/>
      <c r="AM310" s="338"/>
      <c r="AN310" s="338"/>
      <c r="AO310" s="338"/>
      <c r="AP310" s="338"/>
      <c r="AQ310" s="338"/>
      <c r="AR310" s="338"/>
      <c r="AS310" s="338"/>
      <c r="AT310" s="338"/>
      <c r="AU310" s="338"/>
      <c r="AV310" s="338"/>
      <c r="AW310" s="338"/>
      <c r="AX310" s="338"/>
      <c r="AY310" s="338"/>
      <c r="AZ310" s="338"/>
      <c r="BA310" s="338"/>
      <c r="BB310" s="338"/>
      <c r="BC310" s="338"/>
      <c r="BD310" s="338"/>
      <c r="BE310" s="338"/>
      <c r="BF310" s="338"/>
      <c r="BG310" s="338"/>
      <c r="BH310" s="338"/>
      <c r="BI310" s="338"/>
      <c r="BJ310" s="338"/>
      <c r="BK310" s="338"/>
      <c r="BL310" s="338"/>
      <c r="BM310" s="338"/>
      <c r="BN310" s="338"/>
      <c r="BO310" s="338"/>
      <c r="BP310" s="338"/>
      <c r="BQ310" s="338"/>
      <c r="BR310" s="338"/>
      <c r="BS310" s="338"/>
      <c r="BT310" s="338"/>
      <c r="BU310" s="338"/>
      <c r="BV310" s="338"/>
      <c r="BW310" s="338"/>
      <c r="BX310" s="338"/>
      <c r="BY310" s="338"/>
      <c r="BZ310" s="338"/>
      <c r="CA310" s="338"/>
      <c r="CB310" s="338"/>
      <c r="CC310" s="338"/>
      <c r="CD310" s="338"/>
      <c r="CE310" s="338"/>
      <c r="CF310" s="338"/>
      <c r="CG310" s="338"/>
      <c r="CH310" s="338"/>
      <c r="CI310" s="338"/>
      <c r="CJ310" s="338"/>
      <c r="CK310" s="338"/>
      <c r="CL310" s="338"/>
    </row>
    <row r="311" ht="14.2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40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  <c r="AI311" s="338"/>
      <c r="AJ311" s="338"/>
      <c r="AK311" s="338"/>
      <c r="AL311" s="338"/>
      <c r="AM311" s="338"/>
      <c r="AN311" s="338"/>
      <c r="AO311" s="338"/>
      <c r="AP311" s="338"/>
      <c r="AQ311" s="338"/>
      <c r="AR311" s="338"/>
      <c r="AS311" s="338"/>
      <c r="AT311" s="338"/>
      <c r="AU311" s="338"/>
      <c r="AV311" s="338"/>
      <c r="AW311" s="338"/>
      <c r="AX311" s="338"/>
      <c r="AY311" s="338"/>
      <c r="AZ311" s="338"/>
      <c r="BA311" s="338"/>
      <c r="BB311" s="338"/>
      <c r="BC311" s="338"/>
      <c r="BD311" s="338"/>
      <c r="BE311" s="338"/>
      <c r="BF311" s="338"/>
      <c r="BG311" s="338"/>
      <c r="BH311" s="338"/>
      <c r="BI311" s="338"/>
      <c r="BJ311" s="338"/>
      <c r="BK311" s="338"/>
      <c r="BL311" s="338"/>
      <c r="BM311" s="338"/>
      <c r="BN311" s="338"/>
      <c r="BO311" s="338"/>
      <c r="BP311" s="338"/>
      <c r="BQ311" s="338"/>
      <c r="BR311" s="338"/>
      <c r="BS311" s="338"/>
      <c r="BT311" s="338"/>
      <c r="BU311" s="338"/>
      <c r="BV311" s="338"/>
      <c r="BW311" s="338"/>
      <c r="BX311" s="338"/>
      <c r="BY311" s="338"/>
      <c r="BZ311" s="338"/>
      <c r="CA311" s="338"/>
      <c r="CB311" s="338"/>
      <c r="CC311" s="338"/>
      <c r="CD311" s="338"/>
      <c r="CE311" s="338"/>
      <c r="CF311" s="338"/>
      <c r="CG311" s="338"/>
      <c r="CH311" s="338"/>
      <c r="CI311" s="338"/>
      <c r="CJ311" s="338"/>
      <c r="CK311" s="338"/>
      <c r="CL311" s="338"/>
    </row>
    <row r="312" ht="14.2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40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  <c r="AI312" s="338"/>
      <c r="AJ312" s="338"/>
      <c r="AK312" s="338"/>
      <c r="AL312" s="338"/>
      <c r="AM312" s="338"/>
      <c r="AN312" s="338"/>
      <c r="AO312" s="338"/>
      <c r="AP312" s="338"/>
      <c r="AQ312" s="338"/>
      <c r="AR312" s="338"/>
      <c r="AS312" s="338"/>
      <c r="AT312" s="338"/>
      <c r="AU312" s="338"/>
      <c r="AV312" s="338"/>
      <c r="AW312" s="338"/>
      <c r="AX312" s="338"/>
      <c r="AY312" s="338"/>
      <c r="AZ312" s="338"/>
      <c r="BA312" s="338"/>
      <c r="BB312" s="338"/>
      <c r="BC312" s="338"/>
      <c r="BD312" s="338"/>
      <c r="BE312" s="338"/>
      <c r="BF312" s="338"/>
      <c r="BG312" s="338"/>
      <c r="BH312" s="338"/>
      <c r="BI312" s="338"/>
      <c r="BJ312" s="338"/>
      <c r="BK312" s="338"/>
      <c r="BL312" s="338"/>
      <c r="BM312" s="338"/>
      <c r="BN312" s="338"/>
      <c r="BO312" s="338"/>
      <c r="BP312" s="338"/>
      <c r="BQ312" s="338"/>
      <c r="BR312" s="338"/>
      <c r="BS312" s="338"/>
      <c r="BT312" s="338"/>
      <c r="BU312" s="338"/>
      <c r="BV312" s="338"/>
      <c r="BW312" s="338"/>
      <c r="BX312" s="338"/>
      <c r="BY312" s="338"/>
      <c r="BZ312" s="338"/>
      <c r="CA312" s="338"/>
      <c r="CB312" s="338"/>
      <c r="CC312" s="338"/>
      <c r="CD312" s="338"/>
      <c r="CE312" s="338"/>
      <c r="CF312" s="338"/>
      <c r="CG312" s="338"/>
      <c r="CH312" s="338"/>
      <c r="CI312" s="338"/>
      <c r="CJ312" s="338"/>
      <c r="CK312" s="338"/>
      <c r="CL312" s="338"/>
    </row>
    <row r="313" ht="14.2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40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  <c r="AI313" s="338"/>
      <c r="AJ313" s="338"/>
      <c r="AK313" s="338"/>
      <c r="AL313" s="338"/>
      <c r="AM313" s="338"/>
      <c r="AN313" s="338"/>
      <c r="AO313" s="338"/>
      <c r="AP313" s="338"/>
      <c r="AQ313" s="338"/>
      <c r="AR313" s="338"/>
      <c r="AS313" s="338"/>
      <c r="AT313" s="338"/>
      <c r="AU313" s="338"/>
      <c r="AV313" s="338"/>
      <c r="AW313" s="338"/>
      <c r="AX313" s="338"/>
      <c r="AY313" s="338"/>
      <c r="AZ313" s="338"/>
      <c r="BA313" s="338"/>
      <c r="BB313" s="338"/>
      <c r="BC313" s="338"/>
      <c r="BD313" s="338"/>
      <c r="BE313" s="338"/>
      <c r="BF313" s="338"/>
      <c r="BG313" s="338"/>
      <c r="BH313" s="338"/>
      <c r="BI313" s="338"/>
      <c r="BJ313" s="338"/>
      <c r="BK313" s="338"/>
      <c r="BL313" s="338"/>
      <c r="BM313" s="338"/>
      <c r="BN313" s="338"/>
      <c r="BO313" s="338"/>
      <c r="BP313" s="338"/>
      <c r="BQ313" s="338"/>
      <c r="BR313" s="338"/>
      <c r="BS313" s="338"/>
      <c r="BT313" s="338"/>
      <c r="BU313" s="338"/>
      <c r="BV313" s="338"/>
      <c r="BW313" s="338"/>
      <c r="BX313" s="338"/>
      <c r="BY313" s="338"/>
      <c r="BZ313" s="338"/>
      <c r="CA313" s="338"/>
      <c r="CB313" s="338"/>
      <c r="CC313" s="338"/>
      <c r="CD313" s="338"/>
      <c r="CE313" s="338"/>
      <c r="CF313" s="338"/>
      <c r="CG313" s="338"/>
      <c r="CH313" s="338"/>
      <c r="CI313" s="338"/>
      <c r="CJ313" s="338"/>
      <c r="CK313" s="338"/>
      <c r="CL313" s="338"/>
    </row>
    <row r="314" ht="14.2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40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  <c r="AI314" s="338"/>
      <c r="AJ314" s="338"/>
      <c r="AK314" s="338"/>
      <c r="AL314" s="338"/>
      <c r="AM314" s="338"/>
      <c r="AN314" s="338"/>
      <c r="AO314" s="338"/>
      <c r="AP314" s="338"/>
      <c r="AQ314" s="338"/>
      <c r="AR314" s="338"/>
      <c r="AS314" s="338"/>
      <c r="AT314" s="338"/>
      <c r="AU314" s="338"/>
      <c r="AV314" s="338"/>
      <c r="AW314" s="338"/>
      <c r="AX314" s="338"/>
      <c r="AY314" s="338"/>
      <c r="AZ314" s="338"/>
      <c r="BA314" s="338"/>
      <c r="BB314" s="338"/>
      <c r="BC314" s="338"/>
      <c r="BD314" s="338"/>
      <c r="BE314" s="338"/>
      <c r="BF314" s="338"/>
      <c r="BG314" s="338"/>
      <c r="BH314" s="338"/>
      <c r="BI314" s="338"/>
      <c r="BJ314" s="338"/>
      <c r="BK314" s="338"/>
      <c r="BL314" s="338"/>
      <c r="BM314" s="338"/>
      <c r="BN314" s="338"/>
      <c r="BO314" s="338"/>
      <c r="BP314" s="338"/>
      <c r="BQ314" s="338"/>
      <c r="BR314" s="338"/>
      <c r="BS314" s="338"/>
      <c r="BT314" s="338"/>
      <c r="BU314" s="338"/>
      <c r="BV314" s="338"/>
      <c r="BW314" s="338"/>
      <c r="BX314" s="338"/>
      <c r="BY314" s="338"/>
      <c r="BZ314" s="338"/>
      <c r="CA314" s="338"/>
      <c r="CB314" s="338"/>
      <c r="CC314" s="338"/>
      <c r="CD314" s="338"/>
      <c r="CE314" s="338"/>
      <c r="CF314" s="338"/>
      <c r="CG314" s="338"/>
      <c r="CH314" s="338"/>
      <c r="CI314" s="338"/>
      <c r="CJ314" s="338"/>
      <c r="CK314" s="338"/>
      <c r="CL314" s="338"/>
    </row>
    <row r="315" ht="14.2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40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  <c r="AI315" s="338"/>
      <c r="AJ315" s="338"/>
      <c r="AK315" s="338"/>
      <c r="AL315" s="338"/>
      <c r="AM315" s="338"/>
      <c r="AN315" s="338"/>
      <c r="AO315" s="338"/>
      <c r="AP315" s="338"/>
      <c r="AQ315" s="338"/>
      <c r="AR315" s="338"/>
      <c r="AS315" s="338"/>
      <c r="AT315" s="338"/>
      <c r="AU315" s="338"/>
      <c r="AV315" s="338"/>
      <c r="AW315" s="338"/>
      <c r="AX315" s="338"/>
      <c r="AY315" s="338"/>
      <c r="AZ315" s="338"/>
      <c r="BA315" s="338"/>
      <c r="BB315" s="338"/>
      <c r="BC315" s="338"/>
      <c r="BD315" s="338"/>
      <c r="BE315" s="338"/>
      <c r="BF315" s="338"/>
      <c r="BG315" s="338"/>
      <c r="BH315" s="338"/>
      <c r="BI315" s="338"/>
      <c r="BJ315" s="338"/>
      <c r="BK315" s="338"/>
      <c r="BL315" s="338"/>
      <c r="BM315" s="338"/>
      <c r="BN315" s="338"/>
      <c r="BO315" s="338"/>
      <c r="BP315" s="338"/>
      <c r="BQ315" s="338"/>
      <c r="BR315" s="338"/>
      <c r="BS315" s="338"/>
      <c r="BT315" s="338"/>
      <c r="BU315" s="338"/>
      <c r="BV315" s="338"/>
      <c r="BW315" s="338"/>
      <c r="BX315" s="338"/>
      <c r="BY315" s="338"/>
      <c r="BZ315" s="338"/>
      <c r="CA315" s="338"/>
      <c r="CB315" s="338"/>
      <c r="CC315" s="338"/>
      <c r="CD315" s="338"/>
      <c r="CE315" s="338"/>
      <c r="CF315" s="338"/>
      <c r="CG315" s="338"/>
      <c r="CH315" s="338"/>
      <c r="CI315" s="338"/>
      <c r="CJ315" s="338"/>
      <c r="CK315" s="338"/>
      <c r="CL315" s="338"/>
    </row>
    <row r="316" ht="14.2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40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  <c r="AI316" s="338"/>
      <c r="AJ316" s="338"/>
      <c r="AK316" s="338"/>
      <c r="AL316" s="338"/>
      <c r="AM316" s="338"/>
      <c r="AN316" s="338"/>
      <c r="AO316" s="338"/>
      <c r="AP316" s="338"/>
      <c r="AQ316" s="338"/>
      <c r="AR316" s="338"/>
      <c r="AS316" s="338"/>
      <c r="AT316" s="338"/>
      <c r="AU316" s="338"/>
      <c r="AV316" s="338"/>
      <c r="AW316" s="338"/>
      <c r="AX316" s="338"/>
      <c r="AY316" s="338"/>
      <c r="AZ316" s="338"/>
      <c r="BA316" s="338"/>
      <c r="BB316" s="338"/>
      <c r="BC316" s="338"/>
      <c r="BD316" s="338"/>
      <c r="BE316" s="338"/>
      <c r="BF316" s="338"/>
      <c r="BG316" s="338"/>
      <c r="BH316" s="338"/>
      <c r="BI316" s="338"/>
      <c r="BJ316" s="338"/>
      <c r="BK316" s="338"/>
      <c r="BL316" s="338"/>
      <c r="BM316" s="338"/>
      <c r="BN316" s="338"/>
      <c r="BO316" s="338"/>
      <c r="BP316" s="338"/>
      <c r="BQ316" s="338"/>
      <c r="BR316" s="338"/>
      <c r="BS316" s="338"/>
      <c r="BT316" s="338"/>
      <c r="BU316" s="338"/>
      <c r="BV316" s="338"/>
      <c r="BW316" s="338"/>
      <c r="BX316" s="338"/>
      <c r="BY316" s="338"/>
      <c r="BZ316" s="338"/>
      <c r="CA316" s="338"/>
      <c r="CB316" s="338"/>
      <c r="CC316" s="338"/>
      <c r="CD316" s="338"/>
      <c r="CE316" s="338"/>
      <c r="CF316" s="338"/>
      <c r="CG316" s="338"/>
      <c r="CH316" s="338"/>
      <c r="CI316" s="338"/>
      <c r="CJ316" s="338"/>
      <c r="CK316" s="338"/>
      <c r="CL316" s="338"/>
    </row>
    <row r="317" ht="14.2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40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  <c r="AI317" s="338"/>
      <c r="AJ317" s="338"/>
      <c r="AK317" s="338"/>
      <c r="AL317" s="338"/>
      <c r="AM317" s="338"/>
      <c r="AN317" s="338"/>
      <c r="AO317" s="338"/>
      <c r="AP317" s="338"/>
      <c r="AQ317" s="338"/>
      <c r="AR317" s="338"/>
      <c r="AS317" s="338"/>
      <c r="AT317" s="338"/>
      <c r="AU317" s="338"/>
      <c r="AV317" s="338"/>
      <c r="AW317" s="338"/>
      <c r="AX317" s="338"/>
      <c r="AY317" s="338"/>
      <c r="AZ317" s="338"/>
      <c r="BA317" s="338"/>
      <c r="BB317" s="338"/>
      <c r="BC317" s="338"/>
      <c r="BD317" s="338"/>
      <c r="BE317" s="338"/>
      <c r="BF317" s="338"/>
      <c r="BG317" s="338"/>
      <c r="BH317" s="338"/>
      <c r="BI317" s="338"/>
      <c r="BJ317" s="338"/>
      <c r="BK317" s="338"/>
      <c r="BL317" s="338"/>
      <c r="BM317" s="338"/>
      <c r="BN317" s="338"/>
      <c r="BO317" s="338"/>
      <c r="BP317" s="338"/>
      <c r="BQ317" s="338"/>
      <c r="BR317" s="338"/>
      <c r="BS317" s="338"/>
      <c r="BT317" s="338"/>
      <c r="BU317" s="338"/>
      <c r="BV317" s="338"/>
      <c r="BW317" s="338"/>
      <c r="BX317" s="338"/>
      <c r="BY317" s="338"/>
      <c r="BZ317" s="338"/>
      <c r="CA317" s="338"/>
      <c r="CB317" s="338"/>
      <c r="CC317" s="338"/>
      <c r="CD317" s="338"/>
      <c r="CE317" s="338"/>
      <c r="CF317" s="338"/>
      <c r="CG317" s="338"/>
      <c r="CH317" s="338"/>
      <c r="CI317" s="338"/>
      <c r="CJ317" s="338"/>
      <c r="CK317" s="338"/>
      <c r="CL317" s="338"/>
    </row>
    <row r="318" ht="14.2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40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  <c r="AI318" s="338"/>
      <c r="AJ318" s="338"/>
      <c r="AK318" s="338"/>
      <c r="AL318" s="338"/>
      <c r="AM318" s="338"/>
      <c r="AN318" s="338"/>
      <c r="AO318" s="338"/>
      <c r="AP318" s="338"/>
      <c r="AQ318" s="338"/>
      <c r="AR318" s="338"/>
      <c r="AS318" s="338"/>
      <c r="AT318" s="338"/>
      <c r="AU318" s="338"/>
      <c r="AV318" s="338"/>
      <c r="AW318" s="338"/>
      <c r="AX318" s="338"/>
      <c r="AY318" s="338"/>
      <c r="AZ318" s="338"/>
      <c r="BA318" s="338"/>
      <c r="BB318" s="338"/>
      <c r="BC318" s="338"/>
      <c r="BD318" s="338"/>
      <c r="BE318" s="338"/>
      <c r="BF318" s="338"/>
      <c r="BG318" s="338"/>
      <c r="BH318" s="338"/>
      <c r="BI318" s="338"/>
      <c r="BJ318" s="338"/>
      <c r="BK318" s="338"/>
      <c r="BL318" s="338"/>
      <c r="BM318" s="338"/>
      <c r="BN318" s="338"/>
      <c r="BO318" s="338"/>
      <c r="BP318" s="338"/>
      <c r="BQ318" s="338"/>
      <c r="BR318" s="338"/>
      <c r="BS318" s="338"/>
      <c r="BT318" s="338"/>
      <c r="BU318" s="338"/>
      <c r="BV318" s="338"/>
      <c r="BW318" s="338"/>
      <c r="BX318" s="338"/>
      <c r="BY318" s="338"/>
      <c r="BZ318" s="338"/>
      <c r="CA318" s="338"/>
      <c r="CB318" s="338"/>
      <c r="CC318" s="338"/>
      <c r="CD318" s="338"/>
      <c r="CE318" s="338"/>
      <c r="CF318" s="338"/>
      <c r="CG318" s="338"/>
      <c r="CH318" s="338"/>
      <c r="CI318" s="338"/>
      <c r="CJ318" s="338"/>
      <c r="CK318" s="338"/>
      <c r="CL318" s="338"/>
    </row>
    <row r="319" ht="14.2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40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  <c r="AI319" s="338"/>
      <c r="AJ319" s="338"/>
      <c r="AK319" s="338"/>
      <c r="AL319" s="338"/>
      <c r="AM319" s="338"/>
      <c r="AN319" s="338"/>
      <c r="AO319" s="338"/>
      <c r="AP319" s="338"/>
      <c r="AQ319" s="338"/>
      <c r="AR319" s="338"/>
      <c r="AS319" s="338"/>
      <c r="AT319" s="338"/>
      <c r="AU319" s="338"/>
      <c r="AV319" s="338"/>
      <c r="AW319" s="338"/>
      <c r="AX319" s="338"/>
      <c r="AY319" s="338"/>
      <c r="AZ319" s="338"/>
      <c r="BA319" s="338"/>
      <c r="BB319" s="338"/>
      <c r="BC319" s="338"/>
      <c r="BD319" s="338"/>
      <c r="BE319" s="338"/>
      <c r="BF319" s="338"/>
      <c r="BG319" s="338"/>
      <c r="BH319" s="338"/>
      <c r="BI319" s="338"/>
      <c r="BJ319" s="338"/>
      <c r="BK319" s="338"/>
      <c r="BL319" s="338"/>
      <c r="BM319" s="338"/>
      <c r="BN319" s="338"/>
      <c r="BO319" s="338"/>
      <c r="BP319" s="338"/>
      <c r="BQ319" s="338"/>
      <c r="BR319" s="338"/>
      <c r="BS319" s="338"/>
      <c r="BT319" s="338"/>
      <c r="BU319" s="338"/>
      <c r="BV319" s="338"/>
      <c r="BW319" s="338"/>
      <c r="BX319" s="338"/>
      <c r="BY319" s="338"/>
      <c r="BZ319" s="338"/>
      <c r="CA319" s="338"/>
      <c r="CB319" s="338"/>
      <c r="CC319" s="338"/>
      <c r="CD319" s="338"/>
      <c r="CE319" s="338"/>
      <c r="CF319" s="338"/>
      <c r="CG319" s="338"/>
      <c r="CH319" s="338"/>
      <c r="CI319" s="338"/>
      <c r="CJ319" s="338"/>
      <c r="CK319" s="338"/>
      <c r="CL319" s="338"/>
    </row>
    <row r="320" ht="14.2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40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  <c r="AI320" s="338"/>
      <c r="AJ320" s="338"/>
      <c r="AK320" s="338"/>
      <c r="AL320" s="338"/>
      <c r="AM320" s="338"/>
      <c r="AN320" s="338"/>
      <c r="AO320" s="338"/>
      <c r="AP320" s="338"/>
      <c r="AQ320" s="338"/>
      <c r="AR320" s="338"/>
      <c r="AS320" s="338"/>
      <c r="AT320" s="338"/>
      <c r="AU320" s="338"/>
      <c r="AV320" s="338"/>
      <c r="AW320" s="338"/>
      <c r="AX320" s="338"/>
      <c r="AY320" s="338"/>
      <c r="AZ320" s="338"/>
      <c r="BA320" s="338"/>
      <c r="BB320" s="338"/>
      <c r="BC320" s="338"/>
      <c r="BD320" s="338"/>
      <c r="BE320" s="338"/>
      <c r="BF320" s="338"/>
      <c r="BG320" s="338"/>
      <c r="BH320" s="338"/>
      <c r="BI320" s="338"/>
      <c r="BJ320" s="338"/>
      <c r="BK320" s="338"/>
      <c r="BL320" s="338"/>
      <c r="BM320" s="338"/>
      <c r="BN320" s="338"/>
      <c r="BO320" s="338"/>
      <c r="BP320" s="338"/>
      <c r="BQ320" s="338"/>
      <c r="BR320" s="338"/>
      <c r="BS320" s="338"/>
      <c r="BT320" s="338"/>
      <c r="BU320" s="338"/>
      <c r="BV320" s="338"/>
      <c r="BW320" s="338"/>
      <c r="BX320" s="338"/>
      <c r="BY320" s="338"/>
      <c r="BZ320" s="338"/>
      <c r="CA320" s="338"/>
      <c r="CB320" s="338"/>
      <c r="CC320" s="338"/>
      <c r="CD320" s="338"/>
      <c r="CE320" s="338"/>
      <c r="CF320" s="338"/>
      <c r="CG320" s="338"/>
      <c r="CH320" s="338"/>
      <c r="CI320" s="338"/>
      <c r="CJ320" s="338"/>
      <c r="CK320" s="338"/>
      <c r="CL320" s="338"/>
    </row>
    <row r="321" ht="14.2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40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  <c r="AI321" s="338"/>
      <c r="AJ321" s="338"/>
      <c r="AK321" s="338"/>
      <c r="AL321" s="338"/>
      <c r="AM321" s="338"/>
      <c r="AN321" s="338"/>
      <c r="AO321" s="338"/>
      <c r="AP321" s="338"/>
      <c r="AQ321" s="338"/>
      <c r="AR321" s="338"/>
      <c r="AS321" s="338"/>
      <c r="AT321" s="338"/>
      <c r="AU321" s="338"/>
      <c r="AV321" s="338"/>
      <c r="AW321" s="338"/>
      <c r="AX321" s="338"/>
      <c r="AY321" s="338"/>
      <c r="AZ321" s="338"/>
      <c r="BA321" s="338"/>
      <c r="BB321" s="338"/>
      <c r="BC321" s="338"/>
      <c r="BD321" s="338"/>
      <c r="BE321" s="338"/>
      <c r="BF321" s="338"/>
      <c r="BG321" s="338"/>
      <c r="BH321" s="338"/>
      <c r="BI321" s="338"/>
      <c r="BJ321" s="338"/>
      <c r="BK321" s="338"/>
      <c r="BL321" s="338"/>
      <c r="BM321" s="338"/>
      <c r="BN321" s="338"/>
      <c r="BO321" s="338"/>
      <c r="BP321" s="338"/>
      <c r="BQ321" s="338"/>
      <c r="BR321" s="338"/>
      <c r="BS321" s="338"/>
      <c r="BT321" s="338"/>
      <c r="BU321" s="338"/>
      <c r="BV321" s="338"/>
      <c r="BW321" s="338"/>
      <c r="BX321" s="338"/>
      <c r="BY321" s="338"/>
      <c r="BZ321" s="338"/>
      <c r="CA321" s="338"/>
      <c r="CB321" s="338"/>
      <c r="CC321" s="338"/>
      <c r="CD321" s="338"/>
      <c r="CE321" s="338"/>
      <c r="CF321" s="338"/>
      <c r="CG321" s="338"/>
      <c r="CH321" s="338"/>
      <c r="CI321" s="338"/>
      <c r="CJ321" s="338"/>
      <c r="CK321" s="338"/>
      <c r="CL321" s="338"/>
    </row>
    <row r="322" ht="14.2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40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  <c r="AI322" s="338"/>
      <c r="AJ322" s="338"/>
      <c r="AK322" s="338"/>
      <c r="AL322" s="338"/>
      <c r="AM322" s="338"/>
      <c r="AN322" s="338"/>
      <c r="AO322" s="338"/>
      <c r="AP322" s="338"/>
      <c r="AQ322" s="338"/>
      <c r="AR322" s="338"/>
      <c r="AS322" s="338"/>
      <c r="AT322" s="338"/>
      <c r="AU322" s="338"/>
      <c r="AV322" s="338"/>
      <c r="AW322" s="338"/>
      <c r="AX322" s="338"/>
      <c r="AY322" s="338"/>
      <c r="AZ322" s="338"/>
      <c r="BA322" s="338"/>
      <c r="BB322" s="338"/>
      <c r="BC322" s="338"/>
      <c r="BD322" s="338"/>
      <c r="BE322" s="338"/>
      <c r="BF322" s="338"/>
      <c r="BG322" s="338"/>
      <c r="BH322" s="338"/>
      <c r="BI322" s="338"/>
      <c r="BJ322" s="338"/>
      <c r="BK322" s="338"/>
      <c r="BL322" s="338"/>
      <c r="BM322" s="338"/>
      <c r="BN322" s="338"/>
      <c r="BO322" s="338"/>
      <c r="BP322" s="338"/>
      <c r="BQ322" s="338"/>
      <c r="BR322" s="338"/>
      <c r="BS322" s="338"/>
      <c r="BT322" s="338"/>
      <c r="BU322" s="338"/>
      <c r="BV322" s="338"/>
      <c r="BW322" s="338"/>
      <c r="BX322" s="338"/>
      <c r="BY322" s="338"/>
      <c r="BZ322" s="338"/>
      <c r="CA322" s="338"/>
      <c r="CB322" s="338"/>
      <c r="CC322" s="338"/>
      <c r="CD322" s="338"/>
      <c r="CE322" s="338"/>
      <c r="CF322" s="338"/>
      <c r="CG322" s="338"/>
      <c r="CH322" s="338"/>
      <c r="CI322" s="338"/>
      <c r="CJ322" s="338"/>
      <c r="CK322" s="338"/>
      <c r="CL322" s="338"/>
    </row>
    <row r="323" ht="14.2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40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338"/>
      <c r="AJ323" s="338"/>
      <c r="AK323" s="338"/>
      <c r="AL323" s="338"/>
      <c r="AM323" s="338"/>
      <c r="AN323" s="338"/>
      <c r="AO323" s="338"/>
      <c r="AP323" s="338"/>
      <c r="AQ323" s="338"/>
      <c r="AR323" s="338"/>
      <c r="AS323" s="338"/>
      <c r="AT323" s="338"/>
      <c r="AU323" s="338"/>
      <c r="AV323" s="338"/>
      <c r="AW323" s="338"/>
      <c r="AX323" s="338"/>
      <c r="AY323" s="338"/>
      <c r="AZ323" s="338"/>
      <c r="BA323" s="338"/>
      <c r="BB323" s="338"/>
      <c r="BC323" s="338"/>
      <c r="BD323" s="338"/>
      <c r="BE323" s="338"/>
      <c r="BF323" s="338"/>
      <c r="BG323" s="338"/>
      <c r="BH323" s="338"/>
      <c r="BI323" s="338"/>
      <c r="BJ323" s="338"/>
      <c r="BK323" s="338"/>
      <c r="BL323" s="338"/>
      <c r="BM323" s="338"/>
      <c r="BN323" s="338"/>
      <c r="BO323" s="338"/>
      <c r="BP323" s="338"/>
      <c r="BQ323" s="338"/>
      <c r="BR323" s="338"/>
      <c r="BS323" s="338"/>
      <c r="BT323" s="338"/>
      <c r="BU323" s="338"/>
      <c r="BV323" s="338"/>
      <c r="BW323" s="338"/>
      <c r="BX323" s="338"/>
      <c r="BY323" s="338"/>
      <c r="BZ323" s="338"/>
      <c r="CA323" s="338"/>
      <c r="CB323" s="338"/>
      <c r="CC323" s="338"/>
      <c r="CD323" s="338"/>
      <c r="CE323" s="338"/>
      <c r="CF323" s="338"/>
      <c r="CG323" s="338"/>
      <c r="CH323" s="338"/>
      <c r="CI323" s="338"/>
      <c r="CJ323" s="338"/>
      <c r="CK323" s="338"/>
      <c r="CL323" s="338"/>
    </row>
    <row r="324" ht="14.2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40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338"/>
      <c r="AJ324" s="338"/>
      <c r="AK324" s="338"/>
      <c r="AL324" s="338"/>
      <c r="AM324" s="338"/>
      <c r="AN324" s="338"/>
      <c r="AO324" s="338"/>
      <c r="AP324" s="338"/>
      <c r="AQ324" s="338"/>
      <c r="AR324" s="338"/>
      <c r="AS324" s="338"/>
      <c r="AT324" s="338"/>
      <c r="AU324" s="338"/>
      <c r="AV324" s="338"/>
      <c r="AW324" s="338"/>
      <c r="AX324" s="338"/>
      <c r="AY324" s="338"/>
      <c r="AZ324" s="338"/>
      <c r="BA324" s="338"/>
      <c r="BB324" s="338"/>
      <c r="BC324" s="338"/>
      <c r="BD324" s="338"/>
      <c r="BE324" s="338"/>
      <c r="BF324" s="338"/>
      <c r="BG324" s="338"/>
      <c r="BH324" s="338"/>
      <c r="BI324" s="338"/>
      <c r="BJ324" s="338"/>
      <c r="BK324" s="338"/>
      <c r="BL324" s="338"/>
      <c r="BM324" s="338"/>
      <c r="BN324" s="338"/>
      <c r="BO324" s="338"/>
      <c r="BP324" s="338"/>
      <c r="BQ324" s="338"/>
      <c r="BR324" s="338"/>
      <c r="BS324" s="338"/>
      <c r="BT324" s="338"/>
      <c r="BU324" s="338"/>
      <c r="BV324" s="338"/>
      <c r="BW324" s="338"/>
      <c r="BX324" s="338"/>
      <c r="BY324" s="338"/>
      <c r="BZ324" s="338"/>
      <c r="CA324" s="338"/>
      <c r="CB324" s="338"/>
      <c r="CC324" s="338"/>
      <c r="CD324" s="338"/>
      <c r="CE324" s="338"/>
      <c r="CF324" s="338"/>
      <c r="CG324" s="338"/>
      <c r="CH324" s="338"/>
      <c r="CI324" s="338"/>
      <c r="CJ324" s="338"/>
      <c r="CK324" s="338"/>
      <c r="CL324" s="338"/>
    </row>
    <row r="325" ht="14.2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40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  <c r="AI325" s="338"/>
      <c r="AJ325" s="338"/>
      <c r="AK325" s="338"/>
      <c r="AL325" s="338"/>
      <c r="AM325" s="338"/>
      <c r="AN325" s="338"/>
      <c r="AO325" s="338"/>
      <c r="AP325" s="338"/>
      <c r="AQ325" s="338"/>
      <c r="AR325" s="338"/>
      <c r="AS325" s="338"/>
      <c r="AT325" s="338"/>
      <c r="AU325" s="338"/>
      <c r="AV325" s="338"/>
      <c r="AW325" s="338"/>
      <c r="AX325" s="338"/>
      <c r="AY325" s="338"/>
      <c r="AZ325" s="338"/>
      <c r="BA325" s="338"/>
      <c r="BB325" s="338"/>
      <c r="BC325" s="338"/>
      <c r="BD325" s="338"/>
      <c r="BE325" s="338"/>
      <c r="BF325" s="338"/>
      <c r="BG325" s="338"/>
      <c r="BH325" s="338"/>
      <c r="BI325" s="338"/>
      <c r="BJ325" s="338"/>
      <c r="BK325" s="338"/>
      <c r="BL325" s="338"/>
      <c r="BM325" s="338"/>
      <c r="BN325" s="338"/>
      <c r="BO325" s="338"/>
      <c r="BP325" s="338"/>
      <c r="BQ325" s="338"/>
      <c r="BR325" s="338"/>
      <c r="BS325" s="338"/>
      <c r="BT325" s="338"/>
      <c r="BU325" s="338"/>
      <c r="BV325" s="338"/>
      <c r="BW325" s="338"/>
      <c r="BX325" s="338"/>
      <c r="BY325" s="338"/>
      <c r="BZ325" s="338"/>
      <c r="CA325" s="338"/>
      <c r="CB325" s="338"/>
      <c r="CC325" s="338"/>
      <c r="CD325" s="338"/>
      <c r="CE325" s="338"/>
      <c r="CF325" s="338"/>
      <c r="CG325" s="338"/>
      <c r="CH325" s="338"/>
      <c r="CI325" s="338"/>
      <c r="CJ325" s="338"/>
      <c r="CK325" s="338"/>
      <c r="CL325" s="338"/>
    </row>
    <row r="326" ht="14.2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40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  <c r="AI326" s="338"/>
      <c r="AJ326" s="338"/>
      <c r="AK326" s="338"/>
      <c r="AL326" s="338"/>
      <c r="AM326" s="338"/>
      <c r="AN326" s="338"/>
      <c r="AO326" s="338"/>
      <c r="AP326" s="338"/>
      <c r="AQ326" s="338"/>
      <c r="AR326" s="338"/>
      <c r="AS326" s="338"/>
      <c r="AT326" s="338"/>
      <c r="AU326" s="338"/>
      <c r="AV326" s="338"/>
      <c r="AW326" s="338"/>
      <c r="AX326" s="338"/>
      <c r="AY326" s="338"/>
      <c r="AZ326" s="338"/>
      <c r="BA326" s="338"/>
      <c r="BB326" s="338"/>
      <c r="BC326" s="338"/>
      <c r="BD326" s="338"/>
      <c r="BE326" s="338"/>
      <c r="BF326" s="338"/>
      <c r="BG326" s="338"/>
      <c r="BH326" s="338"/>
      <c r="BI326" s="338"/>
      <c r="BJ326" s="338"/>
      <c r="BK326" s="338"/>
      <c r="BL326" s="338"/>
      <c r="BM326" s="338"/>
      <c r="BN326" s="338"/>
      <c r="BO326" s="338"/>
      <c r="BP326" s="338"/>
      <c r="BQ326" s="338"/>
      <c r="BR326" s="338"/>
      <c r="BS326" s="338"/>
      <c r="BT326" s="338"/>
      <c r="BU326" s="338"/>
      <c r="BV326" s="338"/>
      <c r="BW326" s="338"/>
      <c r="BX326" s="338"/>
      <c r="BY326" s="338"/>
      <c r="BZ326" s="338"/>
      <c r="CA326" s="338"/>
      <c r="CB326" s="338"/>
      <c r="CC326" s="338"/>
      <c r="CD326" s="338"/>
      <c r="CE326" s="338"/>
      <c r="CF326" s="338"/>
      <c r="CG326" s="338"/>
      <c r="CH326" s="338"/>
      <c r="CI326" s="338"/>
      <c r="CJ326" s="338"/>
      <c r="CK326" s="338"/>
      <c r="CL326" s="338"/>
    </row>
    <row r="327" ht="14.2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40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  <c r="AI327" s="338"/>
      <c r="AJ327" s="338"/>
      <c r="AK327" s="338"/>
      <c r="AL327" s="338"/>
      <c r="AM327" s="338"/>
      <c r="AN327" s="338"/>
      <c r="AO327" s="338"/>
      <c r="AP327" s="338"/>
      <c r="AQ327" s="338"/>
      <c r="AR327" s="338"/>
      <c r="AS327" s="338"/>
      <c r="AT327" s="338"/>
      <c r="AU327" s="338"/>
      <c r="AV327" s="338"/>
      <c r="AW327" s="338"/>
      <c r="AX327" s="338"/>
      <c r="AY327" s="338"/>
      <c r="AZ327" s="338"/>
      <c r="BA327" s="338"/>
      <c r="BB327" s="338"/>
      <c r="BC327" s="338"/>
      <c r="BD327" s="338"/>
      <c r="BE327" s="338"/>
      <c r="BF327" s="338"/>
      <c r="BG327" s="338"/>
      <c r="BH327" s="338"/>
      <c r="BI327" s="338"/>
      <c r="BJ327" s="338"/>
      <c r="BK327" s="338"/>
      <c r="BL327" s="338"/>
      <c r="BM327" s="338"/>
      <c r="BN327" s="338"/>
      <c r="BO327" s="338"/>
      <c r="BP327" s="338"/>
      <c r="BQ327" s="338"/>
      <c r="BR327" s="338"/>
      <c r="BS327" s="338"/>
      <c r="BT327" s="338"/>
      <c r="BU327" s="338"/>
      <c r="BV327" s="338"/>
      <c r="BW327" s="338"/>
      <c r="BX327" s="338"/>
      <c r="BY327" s="338"/>
      <c r="BZ327" s="338"/>
      <c r="CA327" s="338"/>
      <c r="CB327" s="338"/>
      <c r="CC327" s="338"/>
      <c r="CD327" s="338"/>
      <c r="CE327" s="338"/>
      <c r="CF327" s="338"/>
      <c r="CG327" s="338"/>
      <c r="CH327" s="338"/>
      <c r="CI327" s="338"/>
      <c r="CJ327" s="338"/>
      <c r="CK327" s="338"/>
      <c r="CL327" s="338"/>
    </row>
    <row r="328" ht="14.2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40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  <c r="AI328" s="338"/>
      <c r="AJ328" s="338"/>
      <c r="AK328" s="338"/>
      <c r="AL328" s="338"/>
      <c r="AM328" s="338"/>
      <c r="AN328" s="338"/>
      <c r="AO328" s="338"/>
      <c r="AP328" s="338"/>
      <c r="AQ328" s="338"/>
      <c r="AR328" s="338"/>
      <c r="AS328" s="338"/>
      <c r="AT328" s="338"/>
      <c r="AU328" s="338"/>
      <c r="AV328" s="338"/>
      <c r="AW328" s="338"/>
      <c r="AX328" s="338"/>
      <c r="AY328" s="338"/>
      <c r="AZ328" s="338"/>
      <c r="BA328" s="338"/>
      <c r="BB328" s="338"/>
      <c r="BC328" s="338"/>
      <c r="BD328" s="338"/>
      <c r="BE328" s="338"/>
      <c r="BF328" s="338"/>
      <c r="BG328" s="338"/>
      <c r="BH328" s="338"/>
      <c r="BI328" s="338"/>
      <c r="BJ328" s="338"/>
      <c r="BK328" s="338"/>
      <c r="BL328" s="338"/>
      <c r="BM328" s="338"/>
      <c r="BN328" s="338"/>
      <c r="BO328" s="338"/>
      <c r="BP328" s="338"/>
      <c r="BQ328" s="338"/>
      <c r="BR328" s="338"/>
      <c r="BS328" s="338"/>
      <c r="BT328" s="338"/>
      <c r="BU328" s="338"/>
      <c r="BV328" s="338"/>
      <c r="BW328" s="338"/>
      <c r="BX328" s="338"/>
      <c r="BY328" s="338"/>
      <c r="BZ328" s="338"/>
      <c r="CA328" s="338"/>
      <c r="CB328" s="338"/>
      <c r="CC328" s="338"/>
      <c r="CD328" s="338"/>
      <c r="CE328" s="338"/>
      <c r="CF328" s="338"/>
      <c r="CG328" s="338"/>
      <c r="CH328" s="338"/>
      <c r="CI328" s="338"/>
      <c r="CJ328" s="338"/>
      <c r="CK328" s="338"/>
      <c r="CL328" s="338"/>
    </row>
    <row r="329" ht="14.2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40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  <c r="AI329" s="338"/>
      <c r="AJ329" s="338"/>
      <c r="AK329" s="338"/>
      <c r="AL329" s="338"/>
      <c r="AM329" s="338"/>
      <c r="AN329" s="338"/>
      <c r="AO329" s="338"/>
      <c r="AP329" s="338"/>
      <c r="AQ329" s="338"/>
      <c r="AR329" s="338"/>
      <c r="AS329" s="338"/>
      <c r="AT329" s="338"/>
      <c r="AU329" s="338"/>
      <c r="AV329" s="338"/>
      <c r="AW329" s="338"/>
      <c r="AX329" s="338"/>
      <c r="AY329" s="338"/>
      <c r="AZ329" s="338"/>
      <c r="BA329" s="338"/>
      <c r="BB329" s="338"/>
      <c r="BC329" s="338"/>
      <c r="BD329" s="338"/>
      <c r="BE329" s="338"/>
      <c r="BF329" s="338"/>
      <c r="BG329" s="338"/>
      <c r="BH329" s="338"/>
      <c r="BI329" s="338"/>
      <c r="BJ329" s="338"/>
      <c r="BK329" s="338"/>
      <c r="BL329" s="338"/>
      <c r="BM329" s="338"/>
      <c r="BN329" s="338"/>
      <c r="BO329" s="338"/>
      <c r="BP329" s="338"/>
      <c r="BQ329" s="338"/>
      <c r="BR329" s="338"/>
      <c r="BS329" s="338"/>
      <c r="BT329" s="338"/>
      <c r="BU329" s="338"/>
      <c r="BV329" s="338"/>
      <c r="BW329" s="338"/>
      <c r="BX329" s="338"/>
      <c r="BY329" s="338"/>
      <c r="BZ329" s="338"/>
      <c r="CA329" s="338"/>
      <c r="CB329" s="338"/>
      <c r="CC329" s="338"/>
      <c r="CD329" s="338"/>
      <c r="CE329" s="338"/>
      <c r="CF329" s="338"/>
      <c r="CG329" s="338"/>
      <c r="CH329" s="338"/>
      <c r="CI329" s="338"/>
      <c r="CJ329" s="338"/>
      <c r="CK329" s="338"/>
      <c r="CL329" s="338"/>
    </row>
    <row r="330" ht="14.2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40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  <c r="AI330" s="338"/>
      <c r="AJ330" s="338"/>
      <c r="AK330" s="338"/>
      <c r="AL330" s="338"/>
      <c r="AM330" s="338"/>
      <c r="AN330" s="338"/>
      <c r="AO330" s="338"/>
      <c r="AP330" s="338"/>
      <c r="AQ330" s="338"/>
      <c r="AR330" s="338"/>
      <c r="AS330" s="338"/>
      <c r="AT330" s="338"/>
      <c r="AU330" s="338"/>
      <c r="AV330" s="338"/>
      <c r="AW330" s="338"/>
      <c r="AX330" s="338"/>
      <c r="AY330" s="338"/>
      <c r="AZ330" s="338"/>
      <c r="BA330" s="338"/>
      <c r="BB330" s="338"/>
      <c r="BC330" s="338"/>
      <c r="BD330" s="338"/>
      <c r="BE330" s="338"/>
      <c r="BF330" s="338"/>
      <c r="BG330" s="338"/>
      <c r="BH330" s="338"/>
      <c r="BI330" s="338"/>
      <c r="BJ330" s="338"/>
      <c r="BK330" s="338"/>
      <c r="BL330" s="338"/>
      <c r="BM330" s="338"/>
      <c r="BN330" s="338"/>
      <c r="BO330" s="338"/>
      <c r="BP330" s="338"/>
      <c r="BQ330" s="338"/>
      <c r="BR330" s="338"/>
      <c r="BS330" s="338"/>
      <c r="BT330" s="338"/>
      <c r="BU330" s="338"/>
      <c r="BV330" s="338"/>
      <c r="BW330" s="338"/>
      <c r="BX330" s="338"/>
      <c r="BY330" s="338"/>
      <c r="BZ330" s="338"/>
      <c r="CA330" s="338"/>
      <c r="CB330" s="338"/>
      <c r="CC330" s="338"/>
      <c r="CD330" s="338"/>
      <c r="CE330" s="338"/>
      <c r="CF330" s="338"/>
      <c r="CG330" s="338"/>
      <c r="CH330" s="338"/>
      <c r="CI330" s="338"/>
      <c r="CJ330" s="338"/>
      <c r="CK330" s="338"/>
      <c r="CL330" s="338"/>
    </row>
    <row r="331" ht="14.2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40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338"/>
      <c r="AN331" s="338"/>
      <c r="AO331" s="338"/>
      <c r="AP331" s="338"/>
      <c r="AQ331" s="338"/>
      <c r="AR331" s="338"/>
      <c r="AS331" s="338"/>
      <c r="AT331" s="338"/>
      <c r="AU331" s="338"/>
      <c r="AV331" s="338"/>
      <c r="AW331" s="338"/>
      <c r="AX331" s="338"/>
      <c r="AY331" s="338"/>
      <c r="AZ331" s="338"/>
      <c r="BA331" s="338"/>
      <c r="BB331" s="338"/>
      <c r="BC331" s="338"/>
      <c r="BD331" s="338"/>
      <c r="BE331" s="338"/>
      <c r="BF331" s="338"/>
      <c r="BG331" s="338"/>
      <c r="BH331" s="338"/>
      <c r="BI331" s="338"/>
      <c r="BJ331" s="338"/>
      <c r="BK331" s="338"/>
      <c r="BL331" s="338"/>
      <c r="BM331" s="338"/>
      <c r="BN331" s="338"/>
      <c r="BO331" s="338"/>
      <c r="BP331" s="338"/>
      <c r="BQ331" s="338"/>
      <c r="BR331" s="338"/>
      <c r="BS331" s="338"/>
      <c r="BT331" s="338"/>
      <c r="BU331" s="338"/>
      <c r="BV331" s="338"/>
      <c r="BW331" s="338"/>
      <c r="BX331" s="338"/>
      <c r="BY331" s="338"/>
      <c r="BZ331" s="338"/>
      <c r="CA331" s="338"/>
      <c r="CB331" s="338"/>
      <c r="CC331" s="338"/>
      <c r="CD331" s="338"/>
      <c r="CE331" s="338"/>
      <c r="CF331" s="338"/>
      <c r="CG331" s="338"/>
      <c r="CH331" s="338"/>
      <c r="CI331" s="338"/>
      <c r="CJ331" s="338"/>
      <c r="CK331" s="338"/>
      <c r="CL331" s="338"/>
    </row>
    <row r="332" ht="14.2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40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  <c r="AI332" s="338"/>
      <c r="AJ332" s="338"/>
      <c r="AK332" s="338"/>
      <c r="AL332" s="338"/>
      <c r="AM332" s="338"/>
      <c r="AN332" s="338"/>
      <c r="AO332" s="338"/>
      <c r="AP332" s="338"/>
      <c r="AQ332" s="338"/>
      <c r="AR332" s="338"/>
      <c r="AS332" s="338"/>
      <c r="AT332" s="338"/>
      <c r="AU332" s="338"/>
      <c r="AV332" s="338"/>
      <c r="AW332" s="338"/>
      <c r="AX332" s="338"/>
      <c r="AY332" s="338"/>
      <c r="AZ332" s="338"/>
      <c r="BA332" s="338"/>
      <c r="BB332" s="338"/>
      <c r="BC332" s="338"/>
      <c r="BD332" s="338"/>
      <c r="BE332" s="338"/>
      <c r="BF332" s="338"/>
      <c r="BG332" s="338"/>
      <c r="BH332" s="338"/>
      <c r="BI332" s="338"/>
      <c r="BJ332" s="338"/>
      <c r="BK332" s="338"/>
      <c r="BL332" s="338"/>
      <c r="BM332" s="338"/>
      <c r="BN332" s="338"/>
      <c r="BO332" s="338"/>
      <c r="BP332" s="338"/>
      <c r="BQ332" s="338"/>
      <c r="BR332" s="338"/>
      <c r="BS332" s="338"/>
      <c r="BT332" s="338"/>
      <c r="BU332" s="338"/>
      <c r="BV332" s="338"/>
      <c r="BW332" s="338"/>
      <c r="BX332" s="338"/>
      <c r="BY332" s="338"/>
      <c r="BZ332" s="338"/>
      <c r="CA332" s="338"/>
      <c r="CB332" s="338"/>
      <c r="CC332" s="338"/>
      <c r="CD332" s="338"/>
      <c r="CE332" s="338"/>
      <c r="CF332" s="338"/>
      <c r="CG332" s="338"/>
      <c r="CH332" s="338"/>
      <c r="CI332" s="338"/>
      <c r="CJ332" s="338"/>
      <c r="CK332" s="338"/>
      <c r="CL332" s="338"/>
    </row>
    <row r="333" ht="14.2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40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  <c r="AI333" s="338"/>
      <c r="AJ333" s="338"/>
      <c r="AK333" s="338"/>
      <c r="AL333" s="338"/>
      <c r="AM333" s="338"/>
      <c r="AN333" s="338"/>
      <c r="AO333" s="338"/>
      <c r="AP333" s="338"/>
      <c r="AQ333" s="338"/>
      <c r="AR333" s="338"/>
      <c r="AS333" s="338"/>
      <c r="AT333" s="338"/>
      <c r="AU333" s="338"/>
      <c r="AV333" s="338"/>
      <c r="AW333" s="338"/>
      <c r="AX333" s="338"/>
      <c r="AY333" s="338"/>
      <c r="AZ333" s="338"/>
      <c r="BA333" s="338"/>
      <c r="BB333" s="338"/>
      <c r="BC333" s="338"/>
      <c r="BD333" s="338"/>
      <c r="BE333" s="338"/>
      <c r="BF333" s="338"/>
      <c r="BG333" s="338"/>
      <c r="BH333" s="338"/>
      <c r="BI333" s="338"/>
      <c r="BJ333" s="338"/>
      <c r="BK333" s="338"/>
      <c r="BL333" s="338"/>
      <c r="BM333" s="338"/>
      <c r="BN333" s="338"/>
      <c r="BO333" s="338"/>
      <c r="BP333" s="338"/>
      <c r="BQ333" s="338"/>
      <c r="BR333" s="338"/>
      <c r="BS333" s="338"/>
      <c r="BT333" s="338"/>
      <c r="BU333" s="338"/>
      <c r="BV333" s="338"/>
      <c r="BW333" s="338"/>
      <c r="BX333" s="338"/>
      <c r="BY333" s="338"/>
      <c r="BZ333" s="338"/>
      <c r="CA333" s="338"/>
      <c r="CB333" s="338"/>
      <c r="CC333" s="338"/>
      <c r="CD333" s="338"/>
      <c r="CE333" s="338"/>
      <c r="CF333" s="338"/>
      <c r="CG333" s="338"/>
      <c r="CH333" s="338"/>
      <c r="CI333" s="338"/>
      <c r="CJ333" s="338"/>
      <c r="CK333" s="338"/>
      <c r="CL333" s="338"/>
    </row>
    <row r="334" ht="14.2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40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  <c r="AI334" s="338"/>
      <c r="AJ334" s="338"/>
      <c r="AK334" s="338"/>
      <c r="AL334" s="338"/>
      <c r="AM334" s="338"/>
      <c r="AN334" s="338"/>
      <c r="AO334" s="338"/>
      <c r="AP334" s="338"/>
      <c r="AQ334" s="338"/>
      <c r="AR334" s="338"/>
      <c r="AS334" s="338"/>
      <c r="AT334" s="338"/>
      <c r="AU334" s="338"/>
      <c r="AV334" s="338"/>
      <c r="AW334" s="338"/>
      <c r="AX334" s="338"/>
      <c r="AY334" s="338"/>
      <c r="AZ334" s="338"/>
      <c r="BA334" s="338"/>
      <c r="BB334" s="338"/>
      <c r="BC334" s="338"/>
      <c r="BD334" s="338"/>
      <c r="BE334" s="338"/>
      <c r="BF334" s="338"/>
      <c r="BG334" s="338"/>
      <c r="BH334" s="338"/>
      <c r="BI334" s="338"/>
      <c r="BJ334" s="338"/>
      <c r="BK334" s="338"/>
      <c r="BL334" s="338"/>
      <c r="BM334" s="338"/>
      <c r="BN334" s="338"/>
      <c r="BO334" s="338"/>
      <c r="BP334" s="338"/>
      <c r="BQ334" s="338"/>
      <c r="BR334" s="338"/>
      <c r="BS334" s="338"/>
      <c r="BT334" s="338"/>
      <c r="BU334" s="338"/>
      <c r="BV334" s="338"/>
      <c r="BW334" s="338"/>
      <c r="BX334" s="338"/>
      <c r="BY334" s="338"/>
      <c r="BZ334" s="338"/>
      <c r="CA334" s="338"/>
      <c r="CB334" s="338"/>
      <c r="CC334" s="338"/>
      <c r="CD334" s="338"/>
      <c r="CE334" s="338"/>
      <c r="CF334" s="338"/>
      <c r="CG334" s="338"/>
      <c r="CH334" s="338"/>
      <c r="CI334" s="338"/>
      <c r="CJ334" s="338"/>
      <c r="CK334" s="338"/>
      <c r="CL334" s="338"/>
    </row>
    <row r="335" ht="14.2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40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  <c r="AI335" s="338"/>
      <c r="AJ335" s="338"/>
      <c r="AK335" s="338"/>
      <c r="AL335" s="338"/>
      <c r="AM335" s="338"/>
      <c r="AN335" s="338"/>
      <c r="AO335" s="338"/>
      <c r="AP335" s="338"/>
      <c r="AQ335" s="338"/>
      <c r="AR335" s="338"/>
      <c r="AS335" s="338"/>
      <c r="AT335" s="338"/>
      <c r="AU335" s="338"/>
      <c r="AV335" s="338"/>
      <c r="AW335" s="338"/>
      <c r="AX335" s="338"/>
      <c r="AY335" s="338"/>
      <c r="AZ335" s="338"/>
      <c r="BA335" s="338"/>
      <c r="BB335" s="338"/>
      <c r="BC335" s="338"/>
      <c r="BD335" s="338"/>
      <c r="BE335" s="338"/>
      <c r="BF335" s="338"/>
      <c r="BG335" s="338"/>
      <c r="BH335" s="338"/>
      <c r="BI335" s="338"/>
      <c r="BJ335" s="338"/>
      <c r="BK335" s="338"/>
      <c r="BL335" s="338"/>
      <c r="BM335" s="338"/>
      <c r="BN335" s="338"/>
      <c r="BO335" s="338"/>
      <c r="BP335" s="338"/>
      <c r="BQ335" s="338"/>
      <c r="BR335" s="338"/>
      <c r="BS335" s="338"/>
      <c r="BT335" s="338"/>
      <c r="BU335" s="338"/>
      <c r="BV335" s="338"/>
      <c r="BW335" s="338"/>
      <c r="BX335" s="338"/>
      <c r="BY335" s="338"/>
      <c r="BZ335" s="338"/>
      <c r="CA335" s="338"/>
      <c r="CB335" s="338"/>
      <c r="CC335" s="338"/>
      <c r="CD335" s="338"/>
      <c r="CE335" s="338"/>
      <c r="CF335" s="338"/>
      <c r="CG335" s="338"/>
      <c r="CH335" s="338"/>
      <c r="CI335" s="338"/>
      <c r="CJ335" s="338"/>
      <c r="CK335" s="338"/>
      <c r="CL335" s="338"/>
    </row>
    <row r="336" ht="14.2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40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  <c r="AI336" s="338"/>
      <c r="AJ336" s="338"/>
      <c r="AK336" s="338"/>
      <c r="AL336" s="338"/>
      <c r="AM336" s="338"/>
      <c r="AN336" s="338"/>
      <c r="AO336" s="338"/>
      <c r="AP336" s="338"/>
      <c r="AQ336" s="338"/>
      <c r="AR336" s="338"/>
      <c r="AS336" s="338"/>
      <c r="AT336" s="338"/>
      <c r="AU336" s="338"/>
      <c r="AV336" s="338"/>
      <c r="AW336" s="338"/>
      <c r="AX336" s="338"/>
      <c r="AY336" s="338"/>
      <c r="AZ336" s="338"/>
      <c r="BA336" s="338"/>
      <c r="BB336" s="338"/>
      <c r="BC336" s="338"/>
      <c r="BD336" s="338"/>
      <c r="BE336" s="338"/>
      <c r="BF336" s="338"/>
      <c r="BG336" s="338"/>
      <c r="BH336" s="338"/>
      <c r="BI336" s="338"/>
      <c r="BJ336" s="338"/>
      <c r="BK336" s="338"/>
      <c r="BL336" s="338"/>
      <c r="BM336" s="338"/>
      <c r="BN336" s="338"/>
      <c r="BO336" s="338"/>
      <c r="BP336" s="338"/>
      <c r="BQ336" s="338"/>
      <c r="BR336" s="338"/>
      <c r="BS336" s="338"/>
      <c r="BT336" s="338"/>
      <c r="BU336" s="338"/>
      <c r="BV336" s="338"/>
      <c r="BW336" s="338"/>
      <c r="BX336" s="338"/>
      <c r="BY336" s="338"/>
      <c r="BZ336" s="338"/>
      <c r="CA336" s="338"/>
      <c r="CB336" s="338"/>
      <c r="CC336" s="338"/>
      <c r="CD336" s="338"/>
      <c r="CE336" s="338"/>
      <c r="CF336" s="338"/>
      <c r="CG336" s="338"/>
      <c r="CH336" s="338"/>
      <c r="CI336" s="338"/>
      <c r="CJ336" s="338"/>
      <c r="CK336" s="338"/>
      <c r="CL336" s="338"/>
    </row>
    <row r="337" ht="14.2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40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  <c r="AI337" s="338"/>
      <c r="AJ337" s="338"/>
      <c r="AK337" s="338"/>
      <c r="AL337" s="338"/>
      <c r="AM337" s="338"/>
      <c r="AN337" s="338"/>
      <c r="AO337" s="338"/>
      <c r="AP337" s="338"/>
      <c r="AQ337" s="338"/>
      <c r="AR337" s="338"/>
      <c r="AS337" s="338"/>
      <c r="AT337" s="338"/>
      <c r="AU337" s="338"/>
      <c r="AV337" s="338"/>
      <c r="AW337" s="338"/>
      <c r="AX337" s="338"/>
      <c r="AY337" s="338"/>
      <c r="AZ337" s="338"/>
      <c r="BA337" s="338"/>
      <c r="BB337" s="338"/>
      <c r="BC337" s="338"/>
      <c r="BD337" s="338"/>
      <c r="BE337" s="338"/>
      <c r="BF337" s="338"/>
      <c r="BG337" s="338"/>
      <c r="BH337" s="338"/>
      <c r="BI337" s="338"/>
      <c r="BJ337" s="338"/>
      <c r="BK337" s="338"/>
      <c r="BL337" s="338"/>
      <c r="BM337" s="338"/>
      <c r="BN337" s="338"/>
      <c r="BO337" s="338"/>
      <c r="BP337" s="338"/>
      <c r="BQ337" s="338"/>
      <c r="BR337" s="338"/>
      <c r="BS337" s="338"/>
      <c r="BT337" s="338"/>
      <c r="BU337" s="338"/>
      <c r="BV337" s="338"/>
      <c r="BW337" s="338"/>
      <c r="BX337" s="338"/>
      <c r="BY337" s="338"/>
      <c r="BZ337" s="338"/>
      <c r="CA337" s="338"/>
      <c r="CB337" s="338"/>
      <c r="CC337" s="338"/>
      <c r="CD337" s="338"/>
      <c r="CE337" s="338"/>
      <c r="CF337" s="338"/>
      <c r="CG337" s="338"/>
      <c r="CH337" s="338"/>
      <c r="CI337" s="338"/>
      <c r="CJ337" s="338"/>
      <c r="CK337" s="338"/>
      <c r="CL337" s="338"/>
    </row>
    <row r="338" ht="14.2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40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  <c r="AI338" s="338"/>
      <c r="AJ338" s="338"/>
      <c r="AK338" s="338"/>
      <c r="AL338" s="338"/>
      <c r="AM338" s="338"/>
      <c r="AN338" s="338"/>
      <c r="AO338" s="338"/>
      <c r="AP338" s="338"/>
      <c r="AQ338" s="338"/>
      <c r="AR338" s="338"/>
      <c r="AS338" s="338"/>
      <c r="AT338" s="338"/>
      <c r="AU338" s="338"/>
      <c r="AV338" s="338"/>
      <c r="AW338" s="338"/>
      <c r="AX338" s="338"/>
      <c r="AY338" s="338"/>
      <c r="AZ338" s="338"/>
      <c r="BA338" s="338"/>
      <c r="BB338" s="338"/>
      <c r="BC338" s="338"/>
      <c r="BD338" s="338"/>
      <c r="BE338" s="338"/>
      <c r="BF338" s="338"/>
      <c r="BG338" s="338"/>
      <c r="BH338" s="338"/>
      <c r="BI338" s="338"/>
      <c r="BJ338" s="338"/>
      <c r="BK338" s="338"/>
      <c r="BL338" s="338"/>
      <c r="BM338" s="338"/>
      <c r="BN338" s="338"/>
      <c r="BO338" s="338"/>
      <c r="BP338" s="338"/>
      <c r="BQ338" s="338"/>
      <c r="BR338" s="338"/>
      <c r="BS338" s="338"/>
      <c r="BT338" s="338"/>
      <c r="BU338" s="338"/>
      <c r="BV338" s="338"/>
      <c r="BW338" s="338"/>
      <c r="BX338" s="338"/>
      <c r="BY338" s="338"/>
      <c r="BZ338" s="338"/>
      <c r="CA338" s="338"/>
      <c r="CB338" s="338"/>
      <c r="CC338" s="338"/>
      <c r="CD338" s="338"/>
      <c r="CE338" s="338"/>
      <c r="CF338" s="338"/>
      <c r="CG338" s="338"/>
      <c r="CH338" s="338"/>
      <c r="CI338" s="338"/>
      <c r="CJ338" s="338"/>
      <c r="CK338" s="338"/>
      <c r="CL338" s="338"/>
    </row>
    <row r="339" ht="14.2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40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  <c r="AI339" s="338"/>
      <c r="AJ339" s="338"/>
      <c r="AK339" s="338"/>
      <c r="AL339" s="338"/>
      <c r="AM339" s="338"/>
      <c r="AN339" s="338"/>
      <c r="AO339" s="338"/>
      <c r="AP339" s="338"/>
      <c r="AQ339" s="338"/>
      <c r="AR339" s="338"/>
      <c r="AS339" s="338"/>
      <c r="AT339" s="338"/>
      <c r="AU339" s="338"/>
      <c r="AV339" s="338"/>
      <c r="AW339" s="338"/>
      <c r="AX339" s="338"/>
      <c r="AY339" s="338"/>
      <c r="AZ339" s="338"/>
      <c r="BA339" s="338"/>
      <c r="BB339" s="338"/>
      <c r="BC339" s="338"/>
      <c r="BD339" s="338"/>
      <c r="BE339" s="338"/>
      <c r="BF339" s="338"/>
      <c r="BG339" s="338"/>
      <c r="BH339" s="338"/>
      <c r="BI339" s="338"/>
      <c r="BJ339" s="338"/>
      <c r="BK339" s="338"/>
      <c r="BL339" s="338"/>
      <c r="BM339" s="338"/>
      <c r="BN339" s="338"/>
      <c r="BO339" s="338"/>
      <c r="BP339" s="338"/>
      <c r="BQ339" s="338"/>
      <c r="BR339" s="338"/>
      <c r="BS339" s="338"/>
      <c r="BT339" s="338"/>
      <c r="BU339" s="338"/>
      <c r="BV339" s="338"/>
      <c r="BW339" s="338"/>
      <c r="BX339" s="338"/>
      <c r="BY339" s="338"/>
      <c r="BZ339" s="338"/>
      <c r="CA339" s="338"/>
      <c r="CB339" s="338"/>
      <c r="CC339" s="338"/>
      <c r="CD339" s="338"/>
      <c r="CE339" s="338"/>
      <c r="CF339" s="338"/>
      <c r="CG339" s="338"/>
      <c r="CH339" s="338"/>
      <c r="CI339" s="338"/>
      <c r="CJ339" s="338"/>
      <c r="CK339" s="338"/>
      <c r="CL339" s="338"/>
    </row>
    <row r="340" ht="14.2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40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  <c r="AI340" s="338"/>
      <c r="AJ340" s="338"/>
      <c r="AK340" s="338"/>
      <c r="AL340" s="338"/>
      <c r="AM340" s="338"/>
      <c r="AN340" s="338"/>
      <c r="AO340" s="338"/>
      <c r="AP340" s="338"/>
      <c r="AQ340" s="338"/>
      <c r="AR340" s="338"/>
      <c r="AS340" s="338"/>
      <c r="AT340" s="338"/>
      <c r="AU340" s="338"/>
      <c r="AV340" s="338"/>
      <c r="AW340" s="338"/>
      <c r="AX340" s="338"/>
      <c r="AY340" s="338"/>
      <c r="AZ340" s="338"/>
      <c r="BA340" s="338"/>
      <c r="BB340" s="338"/>
      <c r="BC340" s="338"/>
      <c r="BD340" s="338"/>
      <c r="BE340" s="338"/>
      <c r="BF340" s="338"/>
      <c r="BG340" s="338"/>
      <c r="BH340" s="338"/>
      <c r="BI340" s="338"/>
      <c r="BJ340" s="338"/>
      <c r="BK340" s="338"/>
      <c r="BL340" s="338"/>
      <c r="BM340" s="338"/>
      <c r="BN340" s="338"/>
      <c r="BO340" s="338"/>
      <c r="BP340" s="338"/>
      <c r="BQ340" s="338"/>
      <c r="BR340" s="338"/>
      <c r="BS340" s="338"/>
      <c r="BT340" s="338"/>
      <c r="BU340" s="338"/>
      <c r="BV340" s="338"/>
      <c r="BW340" s="338"/>
      <c r="BX340" s="338"/>
      <c r="BY340" s="338"/>
      <c r="BZ340" s="338"/>
      <c r="CA340" s="338"/>
      <c r="CB340" s="338"/>
      <c r="CC340" s="338"/>
      <c r="CD340" s="338"/>
      <c r="CE340" s="338"/>
      <c r="CF340" s="338"/>
      <c r="CG340" s="338"/>
      <c r="CH340" s="338"/>
      <c r="CI340" s="338"/>
      <c r="CJ340" s="338"/>
      <c r="CK340" s="338"/>
      <c r="CL340" s="338"/>
    </row>
    <row r="341" ht="14.2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40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  <c r="AI341" s="338"/>
      <c r="AJ341" s="338"/>
      <c r="AK341" s="338"/>
      <c r="AL341" s="338"/>
      <c r="AM341" s="338"/>
      <c r="AN341" s="338"/>
      <c r="AO341" s="338"/>
      <c r="AP341" s="338"/>
      <c r="AQ341" s="338"/>
      <c r="AR341" s="338"/>
      <c r="AS341" s="338"/>
      <c r="AT341" s="338"/>
      <c r="AU341" s="338"/>
      <c r="AV341" s="338"/>
      <c r="AW341" s="338"/>
      <c r="AX341" s="338"/>
      <c r="AY341" s="338"/>
      <c r="AZ341" s="338"/>
      <c r="BA341" s="338"/>
      <c r="BB341" s="338"/>
      <c r="BC341" s="338"/>
      <c r="BD341" s="338"/>
      <c r="BE341" s="338"/>
      <c r="BF341" s="338"/>
      <c r="BG341" s="338"/>
      <c r="BH341" s="338"/>
      <c r="BI341" s="338"/>
      <c r="BJ341" s="338"/>
      <c r="BK341" s="338"/>
      <c r="BL341" s="338"/>
      <c r="BM341" s="338"/>
      <c r="BN341" s="338"/>
      <c r="BO341" s="338"/>
      <c r="BP341" s="338"/>
      <c r="BQ341" s="338"/>
      <c r="BR341" s="338"/>
      <c r="BS341" s="338"/>
      <c r="BT341" s="338"/>
      <c r="BU341" s="338"/>
      <c r="BV341" s="338"/>
      <c r="BW341" s="338"/>
      <c r="BX341" s="338"/>
      <c r="BY341" s="338"/>
      <c r="BZ341" s="338"/>
      <c r="CA341" s="338"/>
      <c r="CB341" s="338"/>
      <c r="CC341" s="338"/>
      <c r="CD341" s="338"/>
      <c r="CE341" s="338"/>
      <c r="CF341" s="338"/>
      <c r="CG341" s="338"/>
      <c r="CH341" s="338"/>
      <c r="CI341" s="338"/>
      <c r="CJ341" s="338"/>
      <c r="CK341" s="338"/>
      <c r="CL341" s="338"/>
    </row>
    <row r="342" ht="14.2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40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  <c r="AI342" s="338"/>
      <c r="AJ342" s="338"/>
      <c r="AK342" s="338"/>
      <c r="AL342" s="338"/>
      <c r="AM342" s="338"/>
      <c r="AN342" s="338"/>
      <c r="AO342" s="338"/>
      <c r="AP342" s="338"/>
      <c r="AQ342" s="338"/>
      <c r="AR342" s="338"/>
      <c r="AS342" s="338"/>
      <c r="AT342" s="338"/>
      <c r="AU342" s="338"/>
      <c r="AV342" s="338"/>
      <c r="AW342" s="338"/>
      <c r="AX342" s="338"/>
      <c r="AY342" s="338"/>
      <c r="AZ342" s="338"/>
      <c r="BA342" s="338"/>
      <c r="BB342" s="338"/>
      <c r="BC342" s="338"/>
      <c r="BD342" s="338"/>
      <c r="BE342" s="338"/>
      <c r="BF342" s="338"/>
      <c r="BG342" s="338"/>
      <c r="BH342" s="338"/>
      <c r="BI342" s="338"/>
      <c r="BJ342" s="338"/>
      <c r="BK342" s="338"/>
      <c r="BL342" s="338"/>
      <c r="BM342" s="338"/>
      <c r="BN342" s="338"/>
      <c r="BO342" s="338"/>
      <c r="BP342" s="338"/>
      <c r="BQ342" s="338"/>
      <c r="BR342" s="338"/>
      <c r="BS342" s="338"/>
      <c r="BT342" s="338"/>
      <c r="BU342" s="338"/>
      <c r="BV342" s="338"/>
      <c r="BW342" s="338"/>
      <c r="BX342" s="338"/>
      <c r="BY342" s="338"/>
      <c r="BZ342" s="338"/>
      <c r="CA342" s="338"/>
      <c r="CB342" s="338"/>
      <c r="CC342" s="338"/>
      <c r="CD342" s="338"/>
      <c r="CE342" s="338"/>
      <c r="CF342" s="338"/>
      <c r="CG342" s="338"/>
      <c r="CH342" s="338"/>
      <c r="CI342" s="338"/>
      <c r="CJ342" s="338"/>
      <c r="CK342" s="338"/>
      <c r="CL342" s="338"/>
    </row>
    <row r="343" ht="14.2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40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  <c r="AI343" s="338"/>
      <c r="AJ343" s="338"/>
      <c r="AK343" s="338"/>
      <c r="AL343" s="338"/>
      <c r="AM343" s="338"/>
      <c r="AN343" s="338"/>
      <c r="AO343" s="338"/>
      <c r="AP343" s="338"/>
      <c r="AQ343" s="338"/>
      <c r="AR343" s="338"/>
      <c r="AS343" s="338"/>
      <c r="AT343" s="338"/>
      <c r="AU343" s="338"/>
      <c r="AV343" s="338"/>
      <c r="AW343" s="338"/>
      <c r="AX343" s="338"/>
      <c r="AY343" s="338"/>
      <c r="AZ343" s="338"/>
      <c r="BA343" s="338"/>
      <c r="BB343" s="338"/>
      <c r="BC343" s="338"/>
      <c r="BD343" s="338"/>
      <c r="BE343" s="338"/>
      <c r="BF343" s="338"/>
      <c r="BG343" s="338"/>
      <c r="BH343" s="338"/>
      <c r="BI343" s="338"/>
      <c r="BJ343" s="338"/>
      <c r="BK343" s="338"/>
      <c r="BL343" s="338"/>
      <c r="BM343" s="338"/>
      <c r="BN343" s="338"/>
      <c r="BO343" s="338"/>
      <c r="BP343" s="338"/>
      <c r="BQ343" s="338"/>
      <c r="BR343" s="338"/>
      <c r="BS343" s="338"/>
      <c r="BT343" s="338"/>
      <c r="BU343" s="338"/>
      <c r="BV343" s="338"/>
      <c r="BW343" s="338"/>
      <c r="BX343" s="338"/>
      <c r="BY343" s="338"/>
      <c r="BZ343" s="338"/>
      <c r="CA343" s="338"/>
      <c r="CB343" s="338"/>
      <c r="CC343" s="338"/>
      <c r="CD343" s="338"/>
      <c r="CE343" s="338"/>
      <c r="CF343" s="338"/>
      <c r="CG343" s="338"/>
      <c r="CH343" s="338"/>
      <c r="CI343" s="338"/>
      <c r="CJ343" s="338"/>
      <c r="CK343" s="338"/>
      <c r="CL343" s="338"/>
    </row>
    <row r="344" ht="14.2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40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  <c r="AI344" s="338"/>
      <c r="AJ344" s="338"/>
      <c r="AK344" s="338"/>
      <c r="AL344" s="338"/>
      <c r="AM344" s="338"/>
      <c r="AN344" s="338"/>
      <c r="AO344" s="338"/>
      <c r="AP344" s="338"/>
      <c r="AQ344" s="338"/>
      <c r="AR344" s="338"/>
      <c r="AS344" s="338"/>
      <c r="AT344" s="338"/>
      <c r="AU344" s="338"/>
      <c r="AV344" s="338"/>
      <c r="AW344" s="338"/>
      <c r="AX344" s="338"/>
      <c r="AY344" s="338"/>
      <c r="AZ344" s="338"/>
      <c r="BA344" s="338"/>
      <c r="BB344" s="338"/>
      <c r="BC344" s="338"/>
      <c r="BD344" s="338"/>
      <c r="BE344" s="338"/>
      <c r="BF344" s="338"/>
      <c r="BG344" s="338"/>
      <c r="BH344" s="338"/>
      <c r="BI344" s="338"/>
      <c r="BJ344" s="338"/>
      <c r="BK344" s="338"/>
      <c r="BL344" s="338"/>
      <c r="BM344" s="338"/>
      <c r="BN344" s="338"/>
      <c r="BO344" s="338"/>
      <c r="BP344" s="338"/>
      <c r="BQ344" s="338"/>
      <c r="BR344" s="338"/>
      <c r="BS344" s="338"/>
      <c r="BT344" s="338"/>
      <c r="BU344" s="338"/>
      <c r="BV344" s="338"/>
      <c r="BW344" s="338"/>
      <c r="BX344" s="338"/>
      <c r="BY344" s="338"/>
      <c r="BZ344" s="338"/>
      <c r="CA344" s="338"/>
      <c r="CB344" s="338"/>
      <c r="CC344" s="338"/>
      <c r="CD344" s="338"/>
      <c r="CE344" s="338"/>
      <c r="CF344" s="338"/>
      <c r="CG344" s="338"/>
      <c r="CH344" s="338"/>
      <c r="CI344" s="338"/>
      <c r="CJ344" s="338"/>
      <c r="CK344" s="338"/>
      <c r="CL344" s="338"/>
    </row>
    <row r="345" ht="14.2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40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  <c r="AI345" s="338"/>
      <c r="AJ345" s="338"/>
      <c r="AK345" s="338"/>
      <c r="AL345" s="338"/>
      <c r="AM345" s="338"/>
      <c r="AN345" s="338"/>
      <c r="AO345" s="338"/>
      <c r="AP345" s="338"/>
      <c r="AQ345" s="338"/>
      <c r="AR345" s="338"/>
      <c r="AS345" s="338"/>
      <c r="AT345" s="338"/>
      <c r="AU345" s="338"/>
      <c r="AV345" s="338"/>
      <c r="AW345" s="338"/>
      <c r="AX345" s="338"/>
      <c r="AY345" s="338"/>
      <c r="AZ345" s="338"/>
      <c r="BA345" s="338"/>
      <c r="BB345" s="338"/>
      <c r="BC345" s="338"/>
      <c r="BD345" s="338"/>
      <c r="BE345" s="338"/>
      <c r="BF345" s="338"/>
      <c r="BG345" s="338"/>
      <c r="BH345" s="338"/>
      <c r="BI345" s="338"/>
      <c r="BJ345" s="338"/>
      <c r="BK345" s="338"/>
      <c r="BL345" s="338"/>
      <c r="BM345" s="338"/>
      <c r="BN345" s="338"/>
      <c r="BO345" s="338"/>
      <c r="BP345" s="338"/>
      <c r="BQ345" s="338"/>
      <c r="BR345" s="338"/>
      <c r="BS345" s="338"/>
      <c r="BT345" s="338"/>
      <c r="BU345" s="338"/>
      <c r="BV345" s="338"/>
      <c r="BW345" s="338"/>
      <c r="BX345" s="338"/>
      <c r="BY345" s="338"/>
      <c r="BZ345" s="338"/>
      <c r="CA345" s="338"/>
      <c r="CB345" s="338"/>
      <c r="CC345" s="338"/>
      <c r="CD345" s="338"/>
      <c r="CE345" s="338"/>
      <c r="CF345" s="338"/>
      <c r="CG345" s="338"/>
      <c r="CH345" s="338"/>
      <c r="CI345" s="338"/>
      <c r="CJ345" s="338"/>
      <c r="CK345" s="338"/>
      <c r="CL345" s="338"/>
    </row>
    <row r="346" ht="14.2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40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  <c r="AI346" s="338"/>
      <c r="AJ346" s="338"/>
      <c r="AK346" s="338"/>
      <c r="AL346" s="338"/>
      <c r="AM346" s="338"/>
      <c r="AN346" s="338"/>
      <c r="AO346" s="338"/>
      <c r="AP346" s="338"/>
      <c r="AQ346" s="338"/>
      <c r="AR346" s="338"/>
      <c r="AS346" s="338"/>
      <c r="AT346" s="338"/>
      <c r="AU346" s="338"/>
      <c r="AV346" s="338"/>
      <c r="AW346" s="338"/>
      <c r="AX346" s="338"/>
      <c r="AY346" s="338"/>
      <c r="AZ346" s="338"/>
      <c r="BA346" s="338"/>
      <c r="BB346" s="338"/>
      <c r="BC346" s="338"/>
      <c r="BD346" s="338"/>
      <c r="BE346" s="338"/>
      <c r="BF346" s="338"/>
      <c r="BG346" s="338"/>
      <c r="BH346" s="338"/>
      <c r="BI346" s="338"/>
      <c r="BJ346" s="338"/>
      <c r="BK346" s="338"/>
      <c r="BL346" s="338"/>
      <c r="BM346" s="338"/>
      <c r="BN346" s="338"/>
      <c r="BO346" s="338"/>
      <c r="BP346" s="338"/>
      <c r="BQ346" s="338"/>
      <c r="BR346" s="338"/>
      <c r="BS346" s="338"/>
      <c r="BT346" s="338"/>
      <c r="BU346" s="338"/>
      <c r="BV346" s="338"/>
      <c r="BW346" s="338"/>
      <c r="BX346" s="338"/>
      <c r="BY346" s="338"/>
      <c r="BZ346" s="338"/>
      <c r="CA346" s="338"/>
      <c r="CB346" s="338"/>
      <c r="CC346" s="338"/>
      <c r="CD346" s="338"/>
      <c r="CE346" s="338"/>
      <c r="CF346" s="338"/>
      <c r="CG346" s="338"/>
      <c r="CH346" s="338"/>
      <c r="CI346" s="338"/>
      <c r="CJ346" s="338"/>
      <c r="CK346" s="338"/>
      <c r="CL346" s="338"/>
    </row>
    <row r="347" ht="14.2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40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  <c r="AI347" s="338"/>
      <c r="AJ347" s="338"/>
      <c r="AK347" s="338"/>
      <c r="AL347" s="338"/>
      <c r="AM347" s="338"/>
      <c r="AN347" s="338"/>
      <c r="AO347" s="338"/>
      <c r="AP347" s="338"/>
      <c r="AQ347" s="338"/>
      <c r="AR347" s="338"/>
      <c r="AS347" s="338"/>
      <c r="AT347" s="338"/>
      <c r="AU347" s="338"/>
      <c r="AV347" s="338"/>
      <c r="AW347" s="338"/>
      <c r="AX347" s="338"/>
      <c r="AY347" s="338"/>
      <c r="AZ347" s="338"/>
      <c r="BA347" s="338"/>
      <c r="BB347" s="338"/>
      <c r="BC347" s="338"/>
      <c r="BD347" s="338"/>
      <c r="BE347" s="338"/>
      <c r="BF347" s="338"/>
      <c r="BG347" s="338"/>
      <c r="BH347" s="338"/>
      <c r="BI347" s="338"/>
      <c r="BJ347" s="338"/>
      <c r="BK347" s="338"/>
      <c r="BL347" s="338"/>
      <c r="BM347" s="338"/>
      <c r="BN347" s="338"/>
      <c r="BO347" s="338"/>
      <c r="BP347" s="338"/>
      <c r="BQ347" s="338"/>
      <c r="BR347" s="338"/>
      <c r="BS347" s="338"/>
      <c r="BT347" s="338"/>
      <c r="BU347" s="338"/>
      <c r="BV347" s="338"/>
      <c r="BW347" s="338"/>
      <c r="BX347" s="338"/>
      <c r="BY347" s="338"/>
      <c r="BZ347" s="338"/>
      <c r="CA347" s="338"/>
      <c r="CB347" s="338"/>
      <c r="CC347" s="338"/>
      <c r="CD347" s="338"/>
      <c r="CE347" s="338"/>
      <c r="CF347" s="338"/>
      <c r="CG347" s="338"/>
      <c r="CH347" s="338"/>
      <c r="CI347" s="338"/>
      <c r="CJ347" s="338"/>
      <c r="CK347" s="338"/>
      <c r="CL347" s="338"/>
    </row>
    <row r="348" ht="14.2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40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  <c r="AI348" s="338"/>
      <c r="AJ348" s="338"/>
      <c r="AK348" s="338"/>
      <c r="AL348" s="338"/>
      <c r="AM348" s="338"/>
      <c r="AN348" s="338"/>
      <c r="AO348" s="338"/>
      <c r="AP348" s="338"/>
      <c r="AQ348" s="338"/>
      <c r="AR348" s="338"/>
      <c r="AS348" s="338"/>
      <c r="AT348" s="338"/>
      <c r="AU348" s="338"/>
      <c r="AV348" s="338"/>
      <c r="AW348" s="338"/>
      <c r="AX348" s="338"/>
      <c r="AY348" s="338"/>
      <c r="AZ348" s="338"/>
      <c r="BA348" s="338"/>
      <c r="BB348" s="338"/>
      <c r="BC348" s="338"/>
      <c r="BD348" s="338"/>
      <c r="BE348" s="338"/>
      <c r="BF348" s="338"/>
      <c r="BG348" s="338"/>
      <c r="BH348" s="338"/>
      <c r="BI348" s="338"/>
      <c r="BJ348" s="338"/>
      <c r="BK348" s="338"/>
      <c r="BL348" s="338"/>
      <c r="BM348" s="338"/>
      <c r="BN348" s="338"/>
      <c r="BO348" s="338"/>
      <c r="BP348" s="338"/>
      <c r="BQ348" s="338"/>
      <c r="BR348" s="338"/>
      <c r="BS348" s="338"/>
      <c r="BT348" s="338"/>
      <c r="BU348" s="338"/>
      <c r="BV348" s="338"/>
      <c r="BW348" s="338"/>
      <c r="BX348" s="338"/>
      <c r="BY348" s="338"/>
      <c r="BZ348" s="338"/>
      <c r="CA348" s="338"/>
      <c r="CB348" s="338"/>
      <c r="CC348" s="338"/>
      <c r="CD348" s="338"/>
      <c r="CE348" s="338"/>
      <c r="CF348" s="338"/>
      <c r="CG348" s="338"/>
      <c r="CH348" s="338"/>
      <c r="CI348" s="338"/>
      <c r="CJ348" s="338"/>
      <c r="CK348" s="338"/>
      <c r="CL348" s="338"/>
    </row>
    <row r="349" ht="14.2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40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  <c r="AI349" s="338"/>
      <c r="AJ349" s="338"/>
      <c r="AK349" s="338"/>
      <c r="AL349" s="338"/>
      <c r="AM349" s="338"/>
      <c r="AN349" s="338"/>
      <c r="AO349" s="338"/>
      <c r="AP349" s="338"/>
      <c r="AQ349" s="338"/>
      <c r="AR349" s="338"/>
      <c r="AS349" s="338"/>
      <c r="AT349" s="338"/>
      <c r="AU349" s="338"/>
      <c r="AV349" s="338"/>
      <c r="AW349" s="338"/>
      <c r="AX349" s="338"/>
      <c r="AY349" s="338"/>
      <c r="AZ349" s="338"/>
      <c r="BA349" s="338"/>
      <c r="BB349" s="338"/>
      <c r="BC349" s="338"/>
      <c r="BD349" s="338"/>
      <c r="BE349" s="338"/>
      <c r="BF349" s="338"/>
      <c r="BG349" s="338"/>
      <c r="BH349" s="338"/>
      <c r="BI349" s="338"/>
      <c r="BJ349" s="338"/>
      <c r="BK349" s="338"/>
      <c r="BL349" s="338"/>
      <c r="BM349" s="338"/>
      <c r="BN349" s="338"/>
      <c r="BO349" s="338"/>
      <c r="BP349" s="338"/>
      <c r="BQ349" s="338"/>
      <c r="BR349" s="338"/>
      <c r="BS349" s="338"/>
      <c r="BT349" s="338"/>
      <c r="BU349" s="338"/>
      <c r="BV349" s="338"/>
      <c r="BW349" s="338"/>
      <c r="BX349" s="338"/>
      <c r="BY349" s="338"/>
      <c r="BZ349" s="338"/>
      <c r="CA349" s="338"/>
      <c r="CB349" s="338"/>
      <c r="CC349" s="338"/>
      <c r="CD349" s="338"/>
      <c r="CE349" s="338"/>
      <c r="CF349" s="338"/>
      <c r="CG349" s="338"/>
      <c r="CH349" s="338"/>
      <c r="CI349" s="338"/>
      <c r="CJ349" s="338"/>
      <c r="CK349" s="338"/>
      <c r="CL349" s="338"/>
    </row>
    <row r="350" ht="14.2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40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  <c r="AI350" s="338"/>
      <c r="AJ350" s="338"/>
      <c r="AK350" s="338"/>
      <c r="AL350" s="338"/>
      <c r="AM350" s="338"/>
      <c r="AN350" s="338"/>
      <c r="AO350" s="338"/>
      <c r="AP350" s="338"/>
      <c r="AQ350" s="338"/>
      <c r="AR350" s="338"/>
      <c r="AS350" s="338"/>
      <c r="AT350" s="338"/>
      <c r="AU350" s="338"/>
      <c r="AV350" s="338"/>
      <c r="AW350" s="338"/>
      <c r="AX350" s="338"/>
      <c r="AY350" s="338"/>
      <c r="AZ350" s="338"/>
      <c r="BA350" s="338"/>
      <c r="BB350" s="338"/>
      <c r="BC350" s="338"/>
      <c r="BD350" s="338"/>
      <c r="BE350" s="338"/>
      <c r="BF350" s="338"/>
      <c r="BG350" s="338"/>
      <c r="BH350" s="338"/>
      <c r="BI350" s="338"/>
      <c r="BJ350" s="338"/>
      <c r="BK350" s="338"/>
      <c r="BL350" s="338"/>
      <c r="BM350" s="338"/>
      <c r="BN350" s="338"/>
      <c r="BO350" s="338"/>
      <c r="BP350" s="338"/>
      <c r="BQ350" s="338"/>
      <c r="BR350" s="338"/>
      <c r="BS350" s="338"/>
      <c r="BT350" s="338"/>
      <c r="BU350" s="338"/>
      <c r="BV350" s="338"/>
      <c r="BW350" s="338"/>
      <c r="BX350" s="338"/>
      <c r="BY350" s="338"/>
      <c r="BZ350" s="338"/>
      <c r="CA350" s="338"/>
      <c r="CB350" s="338"/>
      <c r="CC350" s="338"/>
      <c r="CD350" s="338"/>
      <c r="CE350" s="338"/>
      <c r="CF350" s="338"/>
      <c r="CG350" s="338"/>
      <c r="CH350" s="338"/>
      <c r="CI350" s="338"/>
      <c r="CJ350" s="338"/>
      <c r="CK350" s="338"/>
      <c r="CL350" s="338"/>
    </row>
    <row r="351" ht="14.2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40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  <c r="AI351" s="338"/>
      <c r="AJ351" s="338"/>
      <c r="AK351" s="338"/>
      <c r="AL351" s="338"/>
      <c r="AM351" s="338"/>
      <c r="AN351" s="338"/>
      <c r="AO351" s="338"/>
      <c r="AP351" s="338"/>
      <c r="AQ351" s="338"/>
      <c r="AR351" s="338"/>
      <c r="AS351" s="338"/>
      <c r="AT351" s="338"/>
      <c r="AU351" s="338"/>
      <c r="AV351" s="338"/>
      <c r="AW351" s="338"/>
      <c r="AX351" s="338"/>
      <c r="AY351" s="338"/>
      <c r="AZ351" s="338"/>
      <c r="BA351" s="338"/>
      <c r="BB351" s="338"/>
      <c r="BC351" s="338"/>
      <c r="BD351" s="338"/>
      <c r="BE351" s="338"/>
      <c r="BF351" s="338"/>
      <c r="BG351" s="338"/>
      <c r="BH351" s="338"/>
      <c r="BI351" s="338"/>
      <c r="BJ351" s="338"/>
      <c r="BK351" s="338"/>
      <c r="BL351" s="338"/>
      <c r="BM351" s="338"/>
      <c r="BN351" s="338"/>
      <c r="BO351" s="338"/>
      <c r="BP351" s="338"/>
      <c r="BQ351" s="338"/>
      <c r="BR351" s="338"/>
      <c r="BS351" s="338"/>
      <c r="BT351" s="338"/>
      <c r="BU351" s="338"/>
      <c r="BV351" s="338"/>
      <c r="BW351" s="338"/>
      <c r="BX351" s="338"/>
      <c r="BY351" s="338"/>
      <c r="BZ351" s="338"/>
      <c r="CA351" s="338"/>
      <c r="CB351" s="338"/>
      <c r="CC351" s="338"/>
      <c r="CD351" s="338"/>
      <c r="CE351" s="338"/>
      <c r="CF351" s="338"/>
      <c r="CG351" s="338"/>
      <c r="CH351" s="338"/>
      <c r="CI351" s="338"/>
      <c r="CJ351" s="338"/>
      <c r="CK351" s="338"/>
      <c r="CL351" s="338"/>
    </row>
    <row r="352" ht="14.2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40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  <c r="AI352" s="338"/>
      <c r="AJ352" s="338"/>
      <c r="AK352" s="338"/>
      <c r="AL352" s="338"/>
      <c r="AM352" s="338"/>
      <c r="AN352" s="338"/>
      <c r="AO352" s="338"/>
      <c r="AP352" s="338"/>
      <c r="AQ352" s="338"/>
      <c r="AR352" s="338"/>
      <c r="AS352" s="338"/>
      <c r="AT352" s="338"/>
      <c r="AU352" s="338"/>
      <c r="AV352" s="338"/>
      <c r="AW352" s="338"/>
      <c r="AX352" s="338"/>
      <c r="AY352" s="338"/>
      <c r="AZ352" s="338"/>
      <c r="BA352" s="338"/>
      <c r="BB352" s="338"/>
      <c r="BC352" s="338"/>
      <c r="BD352" s="338"/>
      <c r="BE352" s="338"/>
      <c r="BF352" s="338"/>
      <c r="BG352" s="338"/>
      <c r="BH352" s="338"/>
      <c r="BI352" s="338"/>
      <c r="BJ352" s="338"/>
      <c r="BK352" s="338"/>
      <c r="BL352" s="338"/>
      <c r="BM352" s="338"/>
      <c r="BN352" s="338"/>
      <c r="BO352" s="338"/>
      <c r="BP352" s="338"/>
      <c r="BQ352" s="338"/>
      <c r="BR352" s="338"/>
      <c r="BS352" s="338"/>
      <c r="BT352" s="338"/>
      <c r="BU352" s="338"/>
      <c r="BV352" s="338"/>
      <c r="BW352" s="338"/>
      <c r="BX352" s="338"/>
      <c r="BY352" s="338"/>
      <c r="BZ352" s="338"/>
      <c r="CA352" s="338"/>
      <c r="CB352" s="338"/>
      <c r="CC352" s="338"/>
      <c r="CD352" s="338"/>
      <c r="CE352" s="338"/>
      <c r="CF352" s="338"/>
      <c r="CG352" s="338"/>
      <c r="CH352" s="338"/>
      <c r="CI352" s="338"/>
      <c r="CJ352" s="338"/>
      <c r="CK352" s="338"/>
      <c r="CL352" s="338"/>
    </row>
    <row r="353" ht="14.2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40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  <c r="AI353" s="338"/>
      <c r="AJ353" s="338"/>
      <c r="AK353" s="338"/>
      <c r="AL353" s="338"/>
      <c r="AM353" s="338"/>
      <c r="AN353" s="338"/>
      <c r="AO353" s="338"/>
      <c r="AP353" s="338"/>
      <c r="AQ353" s="338"/>
      <c r="AR353" s="338"/>
      <c r="AS353" s="338"/>
      <c r="AT353" s="338"/>
      <c r="AU353" s="338"/>
      <c r="AV353" s="338"/>
      <c r="AW353" s="338"/>
      <c r="AX353" s="338"/>
      <c r="AY353" s="338"/>
      <c r="AZ353" s="338"/>
      <c r="BA353" s="338"/>
      <c r="BB353" s="338"/>
      <c r="BC353" s="338"/>
      <c r="BD353" s="338"/>
      <c r="BE353" s="338"/>
      <c r="BF353" s="338"/>
      <c r="BG353" s="338"/>
      <c r="BH353" s="338"/>
      <c r="BI353" s="338"/>
      <c r="BJ353" s="338"/>
      <c r="BK353" s="338"/>
      <c r="BL353" s="338"/>
      <c r="BM353" s="338"/>
      <c r="BN353" s="338"/>
      <c r="BO353" s="338"/>
      <c r="BP353" s="338"/>
      <c r="BQ353" s="338"/>
      <c r="BR353" s="338"/>
      <c r="BS353" s="338"/>
      <c r="BT353" s="338"/>
      <c r="BU353" s="338"/>
      <c r="BV353" s="338"/>
      <c r="BW353" s="338"/>
      <c r="BX353" s="338"/>
      <c r="BY353" s="338"/>
      <c r="BZ353" s="338"/>
      <c r="CA353" s="338"/>
      <c r="CB353" s="338"/>
      <c r="CC353" s="338"/>
      <c r="CD353" s="338"/>
      <c r="CE353" s="338"/>
      <c r="CF353" s="338"/>
      <c r="CG353" s="338"/>
      <c r="CH353" s="338"/>
      <c r="CI353" s="338"/>
      <c r="CJ353" s="338"/>
      <c r="CK353" s="338"/>
      <c r="CL353" s="338"/>
    </row>
    <row r="354" ht="14.2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40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  <c r="AI354" s="338"/>
      <c r="AJ354" s="338"/>
      <c r="AK354" s="338"/>
      <c r="AL354" s="338"/>
      <c r="AM354" s="338"/>
      <c r="AN354" s="338"/>
      <c r="AO354" s="338"/>
      <c r="AP354" s="338"/>
      <c r="AQ354" s="338"/>
      <c r="AR354" s="338"/>
      <c r="AS354" s="338"/>
      <c r="AT354" s="338"/>
      <c r="AU354" s="338"/>
      <c r="AV354" s="338"/>
      <c r="AW354" s="338"/>
      <c r="AX354" s="338"/>
      <c r="AY354" s="338"/>
      <c r="AZ354" s="338"/>
      <c r="BA354" s="338"/>
      <c r="BB354" s="338"/>
      <c r="BC354" s="338"/>
      <c r="BD354" s="338"/>
      <c r="BE354" s="338"/>
      <c r="BF354" s="338"/>
      <c r="BG354" s="338"/>
      <c r="BH354" s="338"/>
      <c r="BI354" s="338"/>
      <c r="BJ354" s="338"/>
      <c r="BK354" s="338"/>
      <c r="BL354" s="338"/>
      <c r="BM354" s="338"/>
      <c r="BN354" s="338"/>
      <c r="BO354" s="338"/>
      <c r="BP354" s="338"/>
      <c r="BQ354" s="338"/>
      <c r="BR354" s="338"/>
      <c r="BS354" s="338"/>
      <c r="BT354" s="338"/>
      <c r="BU354" s="338"/>
      <c r="BV354" s="338"/>
      <c r="BW354" s="338"/>
      <c r="BX354" s="338"/>
      <c r="BY354" s="338"/>
      <c r="BZ354" s="338"/>
      <c r="CA354" s="338"/>
      <c r="CB354" s="338"/>
      <c r="CC354" s="338"/>
      <c r="CD354" s="338"/>
      <c r="CE354" s="338"/>
      <c r="CF354" s="338"/>
      <c r="CG354" s="338"/>
      <c r="CH354" s="338"/>
      <c r="CI354" s="338"/>
      <c r="CJ354" s="338"/>
      <c r="CK354" s="338"/>
      <c r="CL354" s="338"/>
    </row>
    <row r="355" ht="14.2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40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  <c r="AI355" s="338"/>
      <c r="AJ355" s="338"/>
      <c r="AK355" s="338"/>
      <c r="AL355" s="338"/>
      <c r="AM355" s="338"/>
      <c r="AN355" s="338"/>
      <c r="AO355" s="338"/>
      <c r="AP355" s="338"/>
      <c r="AQ355" s="338"/>
      <c r="AR355" s="338"/>
      <c r="AS355" s="338"/>
      <c r="AT355" s="338"/>
      <c r="AU355" s="338"/>
      <c r="AV355" s="338"/>
      <c r="AW355" s="338"/>
      <c r="AX355" s="338"/>
      <c r="AY355" s="338"/>
      <c r="AZ355" s="338"/>
      <c r="BA355" s="338"/>
      <c r="BB355" s="338"/>
      <c r="BC355" s="338"/>
      <c r="BD355" s="338"/>
      <c r="BE355" s="338"/>
      <c r="BF355" s="338"/>
      <c r="BG355" s="338"/>
      <c r="BH355" s="338"/>
      <c r="BI355" s="338"/>
      <c r="BJ355" s="338"/>
      <c r="BK355" s="338"/>
      <c r="BL355" s="338"/>
      <c r="BM355" s="338"/>
      <c r="BN355" s="338"/>
      <c r="BO355" s="338"/>
      <c r="BP355" s="338"/>
      <c r="BQ355" s="338"/>
      <c r="BR355" s="338"/>
      <c r="BS355" s="338"/>
      <c r="BT355" s="338"/>
      <c r="BU355" s="338"/>
      <c r="BV355" s="338"/>
      <c r="BW355" s="338"/>
      <c r="BX355" s="338"/>
      <c r="BY355" s="338"/>
      <c r="BZ355" s="338"/>
      <c r="CA355" s="338"/>
      <c r="CB355" s="338"/>
      <c r="CC355" s="338"/>
      <c r="CD355" s="338"/>
      <c r="CE355" s="338"/>
      <c r="CF355" s="338"/>
      <c r="CG355" s="338"/>
      <c r="CH355" s="338"/>
      <c r="CI355" s="338"/>
      <c r="CJ355" s="338"/>
      <c r="CK355" s="338"/>
      <c r="CL355" s="338"/>
    </row>
    <row r="356" ht="14.2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40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  <c r="AI356" s="338"/>
      <c r="AJ356" s="338"/>
      <c r="AK356" s="338"/>
      <c r="AL356" s="338"/>
      <c r="AM356" s="338"/>
      <c r="AN356" s="338"/>
      <c r="AO356" s="338"/>
      <c r="AP356" s="338"/>
      <c r="AQ356" s="338"/>
      <c r="AR356" s="338"/>
      <c r="AS356" s="338"/>
      <c r="AT356" s="338"/>
      <c r="AU356" s="338"/>
      <c r="AV356" s="338"/>
      <c r="AW356" s="338"/>
      <c r="AX356" s="338"/>
      <c r="AY356" s="338"/>
      <c r="AZ356" s="338"/>
      <c r="BA356" s="338"/>
      <c r="BB356" s="338"/>
      <c r="BC356" s="338"/>
      <c r="BD356" s="338"/>
      <c r="BE356" s="338"/>
      <c r="BF356" s="338"/>
      <c r="BG356" s="338"/>
      <c r="BH356" s="338"/>
      <c r="BI356" s="338"/>
      <c r="BJ356" s="338"/>
      <c r="BK356" s="338"/>
      <c r="BL356" s="338"/>
      <c r="BM356" s="338"/>
      <c r="BN356" s="338"/>
      <c r="BO356" s="338"/>
      <c r="BP356" s="338"/>
      <c r="BQ356" s="338"/>
      <c r="BR356" s="338"/>
      <c r="BS356" s="338"/>
      <c r="BT356" s="338"/>
      <c r="BU356" s="338"/>
      <c r="BV356" s="338"/>
      <c r="BW356" s="338"/>
      <c r="BX356" s="338"/>
      <c r="BY356" s="338"/>
      <c r="BZ356" s="338"/>
      <c r="CA356" s="338"/>
      <c r="CB356" s="338"/>
      <c r="CC356" s="338"/>
      <c r="CD356" s="338"/>
      <c r="CE356" s="338"/>
      <c r="CF356" s="338"/>
      <c r="CG356" s="338"/>
      <c r="CH356" s="338"/>
      <c r="CI356" s="338"/>
      <c r="CJ356" s="338"/>
      <c r="CK356" s="338"/>
      <c r="CL356" s="338"/>
    </row>
    <row r="357" ht="14.2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40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  <c r="AI357" s="338"/>
      <c r="AJ357" s="338"/>
      <c r="AK357" s="338"/>
      <c r="AL357" s="338"/>
      <c r="AM357" s="338"/>
      <c r="AN357" s="338"/>
      <c r="AO357" s="338"/>
      <c r="AP357" s="338"/>
      <c r="AQ357" s="338"/>
      <c r="AR357" s="338"/>
      <c r="AS357" s="338"/>
      <c r="AT357" s="338"/>
      <c r="AU357" s="338"/>
      <c r="AV357" s="338"/>
      <c r="AW357" s="338"/>
      <c r="AX357" s="338"/>
      <c r="AY357" s="338"/>
      <c r="AZ357" s="338"/>
      <c r="BA357" s="338"/>
      <c r="BB357" s="338"/>
      <c r="BC357" s="338"/>
      <c r="BD357" s="338"/>
      <c r="BE357" s="338"/>
      <c r="BF357" s="338"/>
      <c r="BG357" s="338"/>
      <c r="BH357" s="338"/>
      <c r="BI357" s="338"/>
      <c r="BJ357" s="338"/>
      <c r="BK357" s="338"/>
      <c r="BL357" s="338"/>
      <c r="BM357" s="338"/>
      <c r="BN357" s="338"/>
      <c r="BO357" s="338"/>
      <c r="BP357" s="338"/>
      <c r="BQ357" s="338"/>
      <c r="BR357" s="338"/>
      <c r="BS357" s="338"/>
      <c r="BT357" s="338"/>
      <c r="BU357" s="338"/>
      <c r="BV357" s="338"/>
      <c r="BW357" s="338"/>
      <c r="BX357" s="338"/>
      <c r="BY357" s="338"/>
      <c r="BZ357" s="338"/>
      <c r="CA357" s="338"/>
      <c r="CB357" s="338"/>
      <c r="CC357" s="338"/>
      <c r="CD357" s="338"/>
      <c r="CE357" s="338"/>
      <c r="CF357" s="338"/>
      <c r="CG357" s="338"/>
      <c r="CH357" s="338"/>
      <c r="CI357" s="338"/>
      <c r="CJ357" s="338"/>
      <c r="CK357" s="338"/>
      <c r="CL357" s="338"/>
    </row>
    <row r="358" ht="14.2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40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  <c r="AI358" s="338"/>
      <c r="AJ358" s="338"/>
      <c r="AK358" s="338"/>
      <c r="AL358" s="338"/>
      <c r="AM358" s="338"/>
      <c r="AN358" s="338"/>
      <c r="AO358" s="338"/>
      <c r="AP358" s="338"/>
      <c r="AQ358" s="338"/>
      <c r="AR358" s="338"/>
      <c r="AS358" s="338"/>
      <c r="AT358" s="338"/>
      <c r="AU358" s="338"/>
      <c r="AV358" s="338"/>
      <c r="AW358" s="338"/>
      <c r="AX358" s="338"/>
      <c r="AY358" s="338"/>
      <c r="AZ358" s="338"/>
      <c r="BA358" s="338"/>
      <c r="BB358" s="338"/>
      <c r="BC358" s="338"/>
      <c r="BD358" s="338"/>
      <c r="BE358" s="338"/>
      <c r="BF358" s="338"/>
      <c r="BG358" s="338"/>
      <c r="BH358" s="338"/>
      <c r="BI358" s="338"/>
      <c r="BJ358" s="338"/>
      <c r="BK358" s="338"/>
      <c r="BL358" s="338"/>
      <c r="BM358" s="338"/>
      <c r="BN358" s="338"/>
      <c r="BO358" s="338"/>
      <c r="BP358" s="338"/>
      <c r="BQ358" s="338"/>
      <c r="BR358" s="338"/>
      <c r="BS358" s="338"/>
      <c r="BT358" s="338"/>
      <c r="BU358" s="338"/>
      <c r="BV358" s="338"/>
      <c r="BW358" s="338"/>
      <c r="BX358" s="338"/>
      <c r="BY358" s="338"/>
      <c r="BZ358" s="338"/>
      <c r="CA358" s="338"/>
      <c r="CB358" s="338"/>
      <c r="CC358" s="338"/>
      <c r="CD358" s="338"/>
      <c r="CE358" s="338"/>
      <c r="CF358" s="338"/>
      <c r="CG358" s="338"/>
      <c r="CH358" s="338"/>
      <c r="CI358" s="338"/>
      <c r="CJ358" s="338"/>
      <c r="CK358" s="338"/>
      <c r="CL358" s="338"/>
    </row>
    <row r="359" ht="14.2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40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  <c r="AI359" s="338"/>
      <c r="AJ359" s="338"/>
      <c r="AK359" s="338"/>
      <c r="AL359" s="338"/>
      <c r="AM359" s="338"/>
      <c r="AN359" s="338"/>
      <c r="AO359" s="338"/>
      <c r="AP359" s="338"/>
      <c r="AQ359" s="338"/>
      <c r="AR359" s="338"/>
      <c r="AS359" s="338"/>
      <c r="AT359" s="338"/>
      <c r="AU359" s="338"/>
      <c r="AV359" s="338"/>
      <c r="AW359" s="338"/>
      <c r="AX359" s="338"/>
      <c r="AY359" s="338"/>
      <c r="AZ359" s="338"/>
      <c r="BA359" s="338"/>
      <c r="BB359" s="338"/>
      <c r="BC359" s="338"/>
      <c r="BD359" s="338"/>
      <c r="BE359" s="338"/>
      <c r="BF359" s="338"/>
      <c r="BG359" s="338"/>
      <c r="BH359" s="338"/>
      <c r="BI359" s="338"/>
      <c r="BJ359" s="338"/>
      <c r="BK359" s="338"/>
      <c r="BL359" s="338"/>
      <c r="BM359" s="338"/>
      <c r="BN359" s="338"/>
      <c r="BO359" s="338"/>
      <c r="BP359" s="338"/>
      <c r="BQ359" s="338"/>
      <c r="BR359" s="338"/>
      <c r="BS359" s="338"/>
      <c r="BT359" s="338"/>
      <c r="BU359" s="338"/>
      <c r="BV359" s="338"/>
      <c r="BW359" s="338"/>
      <c r="BX359" s="338"/>
      <c r="BY359" s="338"/>
      <c r="BZ359" s="338"/>
      <c r="CA359" s="338"/>
      <c r="CB359" s="338"/>
      <c r="CC359" s="338"/>
      <c r="CD359" s="338"/>
      <c r="CE359" s="338"/>
      <c r="CF359" s="338"/>
      <c r="CG359" s="338"/>
      <c r="CH359" s="338"/>
      <c r="CI359" s="338"/>
      <c r="CJ359" s="338"/>
      <c r="CK359" s="338"/>
      <c r="CL359" s="338"/>
    </row>
    <row r="360" ht="14.2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40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  <c r="AI360" s="338"/>
      <c r="AJ360" s="338"/>
      <c r="AK360" s="338"/>
      <c r="AL360" s="338"/>
      <c r="AM360" s="338"/>
      <c r="AN360" s="338"/>
      <c r="AO360" s="338"/>
      <c r="AP360" s="338"/>
      <c r="AQ360" s="338"/>
      <c r="AR360" s="338"/>
      <c r="AS360" s="338"/>
      <c r="AT360" s="338"/>
      <c r="AU360" s="338"/>
      <c r="AV360" s="338"/>
      <c r="AW360" s="338"/>
      <c r="AX360" s="338"/>
      <c r="AY360" s="338"/>
      <c r="AZ360" s="338"/>
      <c r="BA360" s="338"/>
      <c r="BB360" s="338"/>
      <c r="BC360" s="338"/>
      <c r="BD360" s="338"/>
      <c r="BE360" s="338"/>
      <c r="BF360" s="338"/>
      <c r="BG360" s="338"/>
      <c r="BH360" s="338"/>
      <c r="BI360" s="338"/>
      <c r="BJ360" s="338"/>
      <c r="BK360" s="338"/>
      <c r="BL360" s="338"/>
      <c r="BM360" s="338"/>
      <c r="BN360" s="338"/>
      <c r="BO360" s="338"/>
      <c r="BP360" s="338"/>
      <c r="BQ360" s="338"/>
      <c r="BR360" s="338"/>
      <c r="BS360" s="338"/>
      <c r="BT360" s="338"/>
      <c r="BU360" s="338"/>
      <c r="BV360" s="338"/>
      <c r="BW360" s="338"/>
      <c r="BX360" s="338"/>
      <c r="BY360" s="338"/>
      <c r="BZ360" s="338"/>
      <c r="CA360" s="338"/>
      <c r="CB360" s="338"/>
      <c r="CC360" s="338"/>
      <c r="CD360" s="338"/>
      <c r="CE360" s="338"/>
      <c r="CF360" s="338"/>
      <c r="CG360" s="338"/>
      <c r="CH360" s="338"/>
      <c r="CI360" s="338"/>
      <c r="CJ360" s="338"/>
      <c r="CK360" s="338"/>
      <c r="CL360" s="338"/>
    </row>
    <row r="361" ht="14.2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40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  <c r="AI361" s="338"/>
      <c r="AJ361" s="338"/>
      <c r="AK361" s="338"/>
      <c r="AL361" s="338"/>
      <c r="AM361" s="338"/>
      <c r="AN361" s="338"/>
      <c r="AO361" s="338"/>
      <c r="AP361" s="338"/>
      <c r="AQ361" s="338"/>
      <c r="AR361" s="338"/>
      <c r="AS361" s="338"/>
      <c r="AT361" s="338"/>
      <c r="AU361" s="338"/>
      <c r="AV361" s="338"/>
      <c r="AW361" s="338"/>
      <c r="AX361" s="338"/>
      <c r="AY361" s="338"/>
      <c r="AZ361" s="338"/>
      <c r="BA361" s="338"/>
      <c r="BB361" s="338"/>
      <c r="BC361" s="338"/>
      <c r="BD361" s="338"/>
      <c r="BE361" s="338"/>
      <c r="BF361" s="338"/>
      <c r="BG361" s="338"/>
      <c r="BH361" s="338"/>
      <c r="BI361" s="338"/>
      <c r="BJ361" s="338"/>
      <c r="BK361" s="338"/>
      <c r="BL361" s="338"/>
      <c r="BM361" s="338"/>
      <c r="BN361" s="338"/>
      <c r="BO361" s="338"/>
      <c r="BP361" s="338"/>
      <c r="BQ361" s="338"/>
      <c r="BR361" s="338"/>
      <c r="BS361" s="338"/>
      <c r="BT361" s="338"/>
      <c r="BU361" s="338"/>
      <c r="BV361" s="338"/>
      <c r="BW361" s="338"/>
      <c r="BX361" s="338"/>
      <c r="BY361" s="338"/>
      <c r="BZ361" s="338"/>
      <c r="CA361" s="338"/>
      <c r="CB361" s="338"/>
      <c r="CC361" s="338"/>
      <c r="CD361" s="338"/>
      <c r="CE361" s="338"/>
      <c r="CF361" s="338"/>
      <c r="CG361" s="338"/>
      <c r="CH361" s="338"/>
      <c r="CI361" s="338"/>
      <c r="CJ361" s="338"/>
      <c r="CK361" s="338"/>
      <c r="CL361" s="338"/>
    </row>
    <row r="362" ht="14.2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40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  <c r="AI362" s="338"/>
      <c r="AJ362" s="338"/>
      <c r="AK362" s="338"/>
      <c r="AL362" s="338"/>
      <c r="AM362" s="338"/>
      <c r="AN362" s="338"/>
      <c r="AO362" s="338"/>
      <c r="AP362" s="338"/>
      <c r="AQ362" s="338"/>
      <c r="AR362" s="338"/>
      <c r="AS362" s="338"/>
      <c r="AT362" s="338"/>
      <c r="AU362" s="338"/>
      <c r="AV362" s="338"/>
      <c r="AW362" s="338"/>
      <c r="AX362" s="338"/>
      <c r="AY362" s="338"/>
      <c r="AZ362" s="338"/>
      <c r="BA362" s="338"/>
      <c r="BB362" s="338"/>
      <c r="BC362" s="338"/>
      <c r="BD362" s="338"/>
      <c r="BE362" s="338"/>
      <c r="BF362" s="338"/>
      <c r="BG362" s="338"/>
      <c r="BH362" s="338"/>
      <c r="BI362" s="338"/>
      <c r="BJ362" s="338"/>
      <c r="BK362" s="338"/>
      <c r="BL362" s="338"/>
      <c r="BM362" s="338"/>
      <c r="BN362" s="338"/>
      <c r="BO362" s="338"/>
      <c r="BP362" s="338"/>
      <c r="BQ362" s="338"/>
      <c r="BR362" s="338"/>
      <c r="BS362" s="338"/>
      <c r="BT362" s="338"/>
      <c r="BU362" s="338"/>
      <c r="BV362" s="338"/>
      <c r="BW362" s="338"/>
      <c r="BX362" s="338"/>
      <c r="BY362" s="338"/>
      <c r="BZ362" s="338"/>
      <c r="CA362" s="338"/>
      <c r="CB362" s="338"/>
      <c r="CC362" s="338"/>
      <c r="CD362" s="338"/>
      <c r="CE362" s="338"/>
      <c r="CF362" s="338"/>
      <c r="CG362" s="338"/>
      <c r="CH362" s="338"/>
      <c r="CI362" s="338"/>
      <c r="CJ362" s="338"/>
      <c r="CK362" s="338"/>
      <c r="CL362" s="338"/>
    </row>
    <row r="363" ht="14.2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40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  <c r="AI363" s="338"/>
      <c r="AJ363" s="338"/>
      <c r="AK363" s="338"/>
      <c r="AL363" s="338"/>
      <c r="AM363" s="338"/>
      <c r="AN363" s="338"/>
      <c r="AO363" s="338"/>
      <c r="AP363" s="338"/>
      <c r="AQ363" s="338"/>
      <c r="AR363" s="338"/>
      <c r="AS363" s="338"/>
      <c r="AT363" s="338"/>
      <c r="AU363" s="338"/>
      <c r="AV363" s="338"/>
      <c r="AW363" s="338"/>
      <c r="AX363" s="338"/>
      <c r="AY363" s="338"/>
      <c r="AZ363" s="338"/>
      <c r="BA363" s="338"/>
      <c r="BB363" s="338"/>
      <c r="BC363" s="338"/>
      <c r="BD363" s="338"/>
      <c r="BE363" s="338"/>
      <c r="BF363" s="338"/>
      <c r="BG363" s="338"/>
      <c r="BH363" s="338"/>
      <c r="BI363" s="338"/>
      <c r="BJ363" s="338"/>
      <c r="BK363" s="338"/>
      <c r="BL363" s="338"/>
      <c r="BM363" s="338"/>
      <c r="BN363" s="338"/>
      <c r="BO363" s="338"/>
      <c r="BP363" s="338"/>
      <c r="BQ363" s="338"/>
      <c r="BR363" s="338"/>
      <c r="BS363" s="338"/>
      <c r="BT363" s="338"/>
      <c r="BU363" s="338"/>
      <c r="BV363" s="338"/>
      <c r="BW363" s="338"/>
      <c r="BX363" s="338"/>
      <c r="BY363" s="338"/>
      <c r="BZ363" s="338"/>
      <c r="CA363" s="338"/>
      <c r="CB363" s="338"/>
      <c r="CC363" s="338"/>
      <c r="CD363" s="338"/>
      <c r="CE363" s="338"/>
      <c r="CF363" s="338"/>
      <c r="CG363" s="338"/>
      <c r="CH363" s="338"/>
      <c r="CI363" s="338"/>
      <c r="CJ363" s="338"/>
      <c r="CK363" s="338"/>
      <c r="CL363" s="338"/>
    </row>
    <row r="364" ht="14.2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40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  <c r="AI364" s="338"/>
      <c r="AJ364" s="338"/>
      <c r="AK364" s="338"/>
      <c r="AL364" s="338"/>
      <c r="AM364" s="338"/>
      <c r="AN364" s="338"/>
      <c r="AO364" s="338"/>
      <c r="AP364" s="338"/>
      <c r="AQ364" s="338"/>
      <c r="AR364" s="338"/>
      <c r="AS364" s="338"/>
      <c r="AT364" s="338"/>
      <c r="AU364" s="338"/>
      <c r="AV364" s="338"/>
      <c r="AW364" s="338"/>
      <c r="AX364" s="338"/>
      <c r="AY364" s="338"/>
      <c r="AZ364" s="338"/>
      <c r="BA364" s="338"/>
      <c r="BB364" s="338"/>
      <c r="BC364" s="338"/>
      <c r="BD364" s="338"/>
      <c r="BE364" s="338"/>
      <c r="BF364" s="338"/>
      <c r="BG364" s="338"/>
      <c r="BH364" s="338"/>
      <c r="BI364" s="338"/>
      <c r="BJ364" s="338"/>
      <c r="BK364" s="338"/>
      <c r="BL364" s="338"/>
      <c r="BM364" s="338"/>
      <c r="BN364" s="338"/>
      <c r="BO364" s="338"/>
      <c r="BP364" s="338"/>
      <c r="BQ364" s="338"/>
      <c r="BR364" s="338"/>
      <c r="BS364" s="338"/>
      <c r="BT364" s="338"/>
      <c r="BU364" s="338"/>
      <c r="BV364" s="338"/>
      <c r="BW364" s="338"/>
      <c r="BX364" s="338"/>
      <c r="BY364" s="338"/>
      <c r="BZ364" s="338"/>
      <c r="CA364" s="338"/>
      <c r="CB364" s="338"/>
      <c r="CC364" s="338"/>
      <c r="CD364" s="338"/>
      <c r="CE364" s="338"/>
      <c r="CF364" s="338"/>
      <c r="CG364" s="338"/>
      <c r="CH364" s="338"/>
      <c r="CI364" s="338"/>
      <c r="CJ364" s="338"/>
      <c r="CK364" s="338"/>
      <c r="CL364" s="338"/>
    </row>
    <row r="365" ht="14.2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40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  <c r="AI365" s="338"/>
      <c r="AJ365" s="338"/>
      <c r="AK365" s="338"/>
      <c r="AL365" s="338"/>
      <c r="AM365" s="338"/>
      <c r="AN365" s="338"/>
      <c r="AO365" s="338"/>
      <c r="AP365" s="338"/>
      <c r="AQ365" s="338"/>
      <c r="AR365" s="338"/>
      <c r="AS365" s="338"/>
      <c r="AT365" s="338"/>
      <c r="AU365" s="338"/>
      <c r="AV365" s="338"/>
      <c r="AW365" s="338"/>
      <c r="AX365" s="338"/>
      <c r="AY365" s="338"/>
      <c r="AZ365" s="338"/>
      <c r="BA365" s="338"/>
      <c r="BB365" s="338"/>
      <c r="BC365" s="338"/>
      <c r="BD365" s="338"/>
      <c r="BE365" s="338"/>
      <c r="BF365" s="338"/>
      <c r="BG365" s="338"/>
      <c r="BH365" s="338"/>
      <c r="BI365" s="338"/>
      <c r="BJ365" s="338"/>
      <c r="BK365" s="338"/>
      <c r="BL365" s="338"/>
      <c r="BM365" s="338"/>
      <c r="BN365" s="338"/>
      <c r="BO365" s="338"/>
      <c r="BP365" s="338"/>
      <c r="BQ365" s="338"/>
      <c r="BR365" s="338"/>
      <c r="BS365" s="338"/>
      <c r="BT365" s="338"/>
      <c r="BU365" s="338"/>
      <c r="BV365" s="338"/>
      <c r="BW365" s="338"/>
      <c r="BX365" s="338"/>
      <c r="BY365" s="338"/>
      <c r="BZ365" s="338"/>
      <c r="CA365" s="338"/>
      <c r="CB365" s="338"/>
      <c r="CC365" s="338"/>
      <c r="CD365" s="338"/>
      <c r="CE365" s="338"/>
      <c r="CF365" s="338"/>
      <c r="CG365" s="338"/>
      <c r="CH365" s="338"/>
      <c r="CI365" s="338"/>
      <c r="CJ365" s="338"/>
      <c r="CK365" s="338"/>
      <c r="CL365" s="338"/>
    </row>
    <row r="366" ht="14.2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40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  <c r="AI366" s="338"/>
      <c r="AJ366" s="338"/>
      <c r="AK366" s="338"/>
      <c r="AL366" s="338"/>
      <c r="AM366" s="338"/>
      <c r="AN366" s="338"/>
      <c r="AO366" s="338"/>
      <c r="AP366" s="338"/>
      <c r="AQ366" s="338"/>
      <c r="AR366" s="338"/>
      <c r="AS366" s="338"/>
      <c r="AT366" s="338"/>
      <c r="AU366" s="338"/>
      <c r="AV366" s="338"/>
      <c r="AW366" s="338"/>
      <c r="AX366" s="338"/>
      <c r="AY366" s="338"/>
      <c r="AZ366" s="338"/>
      <c r="BA366" s="338"/>
      <c r="BB366" s="338"/>
      <c r="BC366" s="338"/>
      <c r="BD366" s="338"/>
      <c r="BE366" s="338"/>
      <c r="BF366" s="338"/>
      <c r="BG366" s="338"/>
      <c r="BH366" s="338"/>
      <c r="BI366" s="338"/>
      <c r="BJ366" s="338"/>
      <c r="BK366" s="338"/>
      <c r="BL366" s="338"/>
      <c r="BM366" s="338"/>
      <c r="BN366" s="338"/>
      <c r="BO366" s="338"/>
      <c r="BP366" s="338"/>
      <c r="BQ366" s="338"/>
      <c r="BR366" s="338"/>
      <c r="BS366" s="338"/>
      <c r="BT366" s="338"/>
      <c r="BU366" s="338"/>
      <c r="BV366" s="338"/>
      <c r="BW366" s="338"/>
      <c r="BX366" s="338"/>
      <c r="BY366" s="338"/>
      <c r="BZ366" s="338"/>
      <c r="CA366" s="338"/>
      <c r="CB366" s="338"/>
      <c r="CC366" s="338"/>
      <c r="CD366" s="338"/>
      <c r="CE366" s="338"/>
      <c r="CF366" s="338"/>
      <c r="CG366" s="338"/>
      <c r="CH366" s="338"/>
      <c r="CI366" s="338"/>
      <c r="CJ366" s="338"/>
      <c r="CK366" s="338"/>
      <c r="CL366" s="338"/>
    </row>
    <row r="367" ht="14.2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40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  <c r="AI367" s="338"/>
      <c r="AJ367" s="338"/>
      <c r="AK367" s="338"/>
      <c r="AL367" s="338"/>
      <c r="AM367" s="338"/>
      <c r="AN367" s="338"/>
      <c r="AO367" s="338"/>
      <c r="AP367" s="338"/>
      <c r="AQ367" s="338"/>
      <c r="AR367" s="338"/>
      <c r="AS367" s="338"/>
      <c r="AT367" s="338"/>
      <c r="AU367" s="338"/>
      <c r="AV367" s="338"/>
      <c r="AW367" s="338"/>
      <c r="AX367" s="338"/>
      <c r="AY367" s="338"/>
      <c r="AZ367" s="338"/>
      <c r="BA367" s="338"/>
      <c r="BB367" s="338"/>
      <c r="BC367" s="338"/>
      <c r="BD367" s="338"/>
      <c r="BE367" s="338"/>
      <c r="BF367" s="338"/>
      <c r="BG367" s="338"/>
      <c r="BH367" s="338"/>
      <c r="BI367" s="338"/>
      <c r="BJ367" s="338"/>
      <c r="BK367" s="338"/>
      <c r="BL367" s="338"/>
      <c r="BM367" s="338"/>
      <c r="BN367" s="338"/>
      <c r="BO367" s="338"/>
      <c r="BP367" s="338"/>
      <c r="BQ367" s="338"/>
      <c r="BR367" s="338"/>
      <c r="BS367" s="338"/>
      <c r="BT367" s="338"/>
      <c r="BU367" s="338"/>
      <c r="BV367" s="338"/>
      <c r="BW367" s="338"/>
      <c r="BX367" s="338"/>
      <c r="BY367" s="338"/>
      <c r="BZ367" s="338"/>
      <c r="CA367" s="338"/>
      <c r="CB367" s="338"/>
      <c r="CC367" s="338"/>
      <c r="CD367" s="338"/>
      <c r="CE367" s="338"/>
      <c r="CF367" s="338"/>
      <c r="CG367" s="338"/>
      <c r="CH367" s="338"/>
      <c r="CI367" s="338"/>
      <c r="CJ367" s="338"/>
      <c r="CK367" s="338"/>
      <c r="CL367" s="338"/>
    </row>
    <row r="368" ht="14.2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40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  <c r="AI368" s="338"/>
      <c r="AJ368" s="338"/>
      <c r="AK368" s="338"/>
      <c r="AL368" s="338"/>
      <c r="AM368" s="338"/>
      <c r="AN368" s="338"/>
      <c r="AO368" s="338"/>
      <c r="AP368" s="338"/>
      <c r="AQ368" s="338"/>
      <c r="AR368" s="338"/>
      <c r="AS368" s="338"/>
      <c r="AT368" s="338"/>
      <c r="AU368" s="338"/>
      <c r="AV368" s="338"/>
      <c r="AW368" s="338"/>
      <c r="AX368" s="338"/>
      <c r="AY368" s="338"/>
      <c r="AZ368" s="338"/>
      <c r="BA368" s="338"/>
      <c r="BB368" s="338"/>
      <c r="BC368" s="338"/>
      <c r="BD368" s="338"/>
      <c r="BE368" s="338"/>
      <c r="BF368" s="338"/>
      <c r="BG368" s="338"/>
      <c r="BH368" s="338"/>
      <c r="BI368" s="338"/>
      <c r="BJ368" s="338"/>
      <c r="BK368" s="338"/>
      <c r="BL368" s="338"/>
      <c r="BM368" s="338"/>
      <c r="BN368" s="338"/>
      <c r="BO368" s="338"/>
      <c r="BP368" s="338"/>
      <c r="BQ368" s="338"/>
      <c r="BR368" s="338"/>
      <c r="BS368" s="338"/>
      <c r="BT368" s="338"/>
      <c r="BU368" s="338"/>
      <c r="BV368" s="338"/>
      <c r="BW368" s="338"/>
      <c r="BX368" s="338"/>
      <c r="BY368" s="338"/>
      <c r="BZ368" s="338"/>
      <c r="CA368" s="338"/>
      <c r="CB368" s="338"/>
      <c r="CC368" s="338"/>
      <c r="CD368" s="338"/>
      <c r="CE368" s="338"/>
      <c r="CF368" s="338"/>
      <c r="CG368" s="338"/>
      <c r="CH368" s="338"/>
      <c r="CI368" s="338"/>
      <c r="CJ368" s="338"/>
      <c r="CK368" s="338"/>
      <c r="CL368" s="338"/>
    </row>
    <row r="369" ht="14.2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40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  <c r="AI369" s="338"/>
      <c r="AJ369" s="338"/>
      <c r="AK369" s="338"/>
      <c r="AL369" s="338"/>
      <c r="AM369" s="338"/>
      <c r="AN369" s="338"/>
      <c r="AO369" s="338"/>
      <c r="AP369" s="338"/>
      <c r="AQ369" s="338"/>
      <c r="AR369" s="338"/>
      <c r="AS369" s="338"/>
      <c r="AT369" s="338"/>
      <c r="AU369" s="338"/>
      <c r="AV369" s="338"/>
      <c r="AW369" s="338"/>
      <c r="AX369" s="338"/>
      <c r="AY369" s="338"/>
      <c r="AZ369" s="338"/>
      <c r="BA369" s="338"/>
      <c r="BB369" s="338"/>
      <c r="BC369" s="338"/>
      <c r="BD369" s="338"/>
      <c r="BE369" s="338"/>
      <c r="BF369" s="338"/>
      <c r="BG369" s="338"/>
      <c r="BH369" s="338"/>
      <c r="BI369" s="338"/>
      <c r="BJ369" s="338"/>
      <c r="BK369" s="338"/>
      <c r="BL369" s="338"/>
      <c r="BM369" s="338"/>
      <c r="BN369" s="338"/>
      <c r="BO369" s="338"/>
      <c r="BP369" s="338"/>
      <c r="BQ369" s="338"/>
      <c r="BR369" s="338"/>
      <c r="BS369" s="338"/>
      <c r="BT369" s="338"/>
      <c r="BU369" s="338"/>
      <c r="BV369" s="338"/>
      <c r="BW369" s="338"/>
      <c r="BX369" s="338"/>
      <c r="BY369" s="338"/>
      <c r="BZ369" s="338"/>
      <c r="CA369" s="338"/>
      <c r="CB369" s="338"/>
      <c r="CC369" s="338"/>
      <c r="CD369" s="338"/>
      <c r="CE369" s="338"/>
      <c r="CF369" s="338"/>
      <c r="CG369" s="338"/>
      <c r="CH369" s="338"/>
      <c r="CI369" s="338"/>
      <c r="CJ369" s="338"/>
      <c r="CK369" s="338"/>
      <c r="CL369" s="338"/>
    </row>
    <row r="370" ht="14.2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40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  <c r="AI370" s="338"/>
      <c r="AJ370" s="338"/>
      <c r="AK370" s="338"/>
      <c r="AL370" s="338"/>
      <c r="AM370" s="338"/>
      <c r="AN370" s="338"/>
      <c r="AO370" s="338"/>
      <c r="AP370" s="338"/>
      <c r="AQ370" s="338"/>
      <c r="AR370" s="338"/>
      <c r="AS370" s="338"/>
      <c r="AT370" s="338"/>
      <c r="AU370" s="338"/>
      <c r="AV370" s="338"/>
      <c r="AW370" s="338"/>
      <c r="AX370" s="338"/>
      <c r="AY370" s="338"/>
      <c r="AZ370" s="338"/>
      <c r="BA370" s="338"/>
      <c r="BB370" s="338"/>
      <c r="BC370" s="338"/>
      <c r="BD370" s="338"/>
      <c r="BE370" s="338"/>
      <c r="BF370" s="338"/>
      <c r="BG370" s="338"/>
      <c r="BH370" s="338"/>
      <c r="BI370" s="338"/>
      <c r="BJ370" s="338"/>
      <c r="BK370" s="338"/>
      <c r="BL370" s="338"/>
      <c r="BM370" s="338"/>
      <c r="BN370" s="338"/>
      <c r="BO370" s="338"/>
      <c r="BP370" s="338"/>
      <c r="BQ370" s="338"/>
      <c r="BR370" s="338"/>
      <c r="BS370" s="338"/>
      <c r="BT370" s="338"/>
      <c r="BU370" s="338"/>
      <c r="BV370" s="338"/>
      <c r="BW370" s="338"/>
      <c r="BX370" s="338"/>
      <c r="BY370" s="338"/>
      <c r="BZ370" s="338"/>
      <c r="CA370" s="338"/>
      <c r="CB370" s="338"/>
      <c r="CC370" s="338"/>
      <c r="CD370" s="338"/>
      <c r="CE370" s="338"/>
      <c r="CF370" s="338"/>
      <c r="CG370" s="338"/>
      <c r="CH370" s="338"/>
      <c r="CI370" s="338"/>
      <c r="CJ370" s="338"/>
      <c r="CK370" s="338"/>
      <c r="CL370" s="338"/>
    </row>
    <row r="371" ht="14.2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40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  <c r="AI371" s="338"/>
      <c r="AJ371" s="338"/>
      <c r="AK371" s="338"/>
      <c r="AL371" s="338"/>
      <c r="AM371" s="338"/>
      <c r="AN371" s="338"/>
      <c r="AO371" s="338"/>
      <c r="AP371" s="338"/>
      <c r="AQ371" s="338"/>
      <c r="AR371" s="338"/>
      <c r="AS371" s="338"/>
      <c r="AT371" s="338"/>
      <c r="AU371" s="338"/>
      <c r="AV371" s="338"/>
      <c r="AW371" s="338"/>
      <c r="AX371" s="338"/>
      <c r="AY371" s="338"/>
      <c r="AZ371" s="338"/>
      <c r="BA371" s="338"/>
      <c r="BB371" s="338"/>
      <c r="BC371" s="338"/>
      <c r="BD371" s="338"/>
      <c r="BE371" s="338"/>
      <c r="BF371" s="338"/>
      <c r="BG371" s="338"/>
      <c r="BH371" s="338"/>
      <c r="BI371" s="338"/>
      <c r="BJ371" s="338"/>
      <c r="BK371" s="338"/>
      <c r="BL371" s="338"/>
      <c r="BM371" s="338"/>
      <c r="BN371" s="338"/>
      <c r="BO371" s="338"/>
      <c r="BP371" s="338"/>
      <c r="BQ371" s="338"/>
      <c r="BR371" s="338"/>
      <c r="BS371" s="338"/>
      <c r="BT371" s="338"/>
      <c r="BU371" s="338"/>
      <c r="BV371" s="338"/>
      <c r="BW371" s="338"/>
      <c r="BX371" s="338"/>
      <c r="BY371" s="338"/>
      <c r="BZ371" s="338"/>
      <c r="CA371" s="338"/>
      <c r="CB371" s="338"/>
      <c r="CC371" s="338"/>
      <c r="CD371" s="338"/>
      <c r="CE371" s="338"/>
      <c r="CF371" s="338"/>
      <c r="CG371" s="338"/>
      <c r="CH371" s="338"/>
      <c r="CI371" s="338"/>
      <c r="CJ371" s="338"/>
      <c r="CK371" s="338"/>
      <c r="CL371" s="338"/>
    </row>
    <row r="372" ht="14.2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40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  <c r="AI372" s="338"/>
      <c r="AJ372" s="338"/>
      <c r="AK372" s="338"/>
      <c r="AL372" s="338"/>
      <c r="AM372" s="338"/>
      <c r="AN372" s="338"/>
      <c r="AO372" s="338"/>
      <c r="AP372" s="338"/>
      <c r="AQ372" s="338"/>
      <c r="AR372" s="338"/>
      <c r="AS372" s="338"/>
      <c r="AT372" s="338"/>
      <c r="AU372" s="338"/>
      <c r="AV372" s="338"/>
      <c r="AW372" s="338"/>
      <c r="AX372" s="338"/>
      <c r="AY372" s="338"/>
      <c r="AZ372" s="338"/>
      <c r="BA372" s="338"/>
      <c r="BB372" s="338"/>
      <c r="BC372" s="338"/>
      <c r="BD372" s="338"/>
      <c r="BE372" s="338"/>
      <c r="BF372" s="338"/>
      <c r="BG372" s="338"/>
      <c r="BH372" s="338"/>
      <c r="BI372" s="338"/>
      <c r="BJ372" s="338"/>
      <c r="BK372" s="338"/>
      <c r="BL372" s="338"/>
      <c r="BM372" s="338"/>
      <c r="BN372" s="338"/>
      <c r="BO372" s="338"/>
      <c r="BP372" s="338"/>
      <c r="BQ372" s="338"/>
      <c r="BR372" s="338"/>
      <c r="BS372" s="338"/>
      <c r="BT372" s="338"/>
      <c r="BU372" s="338"/>
      <c r="BV372" s="338"/>
      <c r="BW372" s="338"/>
      <c r="BX372" s="338"/>
      <c r="BY372" s="338"/>
      <c r="BZ372" s="338"/>
      <c r="CA372" s="338"/>
      <c r="CB372" s="338"/>
      <c r="CC372" s="338"/>
      <c r="CD372" s="338"/>
      <c r="CE372" s="338"/>
      <c r="CF372" s="338"/>
      <c r="CG372" s="338"/>
      <c r="CH372" s="338"/>
      <c r="CI372" s="338"/>
      <c r="CJ372" s="338"/>
      <c r="CK372" s="338"/>
      <c r="CL372" s="338"/>
    </row>
    <row r="373" ht="14.2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40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  <c r="AI373" s="338"/>
      <c r="AJ373" s="338"/>
      <c r="AK373" s="338"/>
      <c r="AL373" s="338"/>
      <c r="AM373" s="338"/>
      <c r="AN373" s="338"/>
      <c r="AO373" s="338"/>
      <c r="AP373" s="338"/>
      <c r="AQ373" s="338"/>
      <c r="AR373" s="338"/>
      <c r="AS373" s="338"/>
      <c r="AT373" s="338"/>
      <c r="AU373" s="338"/>
      <c r="AV373" s="338"/>
      <c r="AW373" s="338"/>
      <c r="AX373" s="338"/>
      <c r="AY373" s="338"/>
      <c r="AZ373" s="338"/>
      <c r="BA373" s="338"/>
      <c r="BB373" s="338"/>
      <c r="BC373" s="338"/>
      <c r="BD373" s="338"/>
      <c r="BE373" s="338"/>
      <c r="BF373" s="338"/>
      <c r="BG373" s="338"/>
      <c r="BH373" s="338"/>
      <c r="BI373" s="338"/>
      <c r="BJ373" s="338"/>
      <c r="BK373" s="338"/>
      <c r="BL373" s="338"/>
      <c r="BM373" s="338"/>
      <c r="BN373" s="338"/>
      <c r="BO373" s="338"/>
      <c r="BP373" s="338"/>
      <c r="BQ373" s="338"/>
      <c r="BR373" s="338"/>
      <c r="BS373" s="338"/>
      <c r="BT373" s="338"/>
      <c r="BU373" s="338"/>
      <c r="BV373" s="338"/>
      <c r="BW373" s="338"/>
      <c r="BX373" s="338"/>
      <c r="BY373" s="338"/>
      <c r="BZ373" s="338"/>
      <c r="CA373" s="338"/>
      <c r="CB373" s="338"/>
      <c r="CC373" s="338"/>
      <c r="CD373" s="338"/>
      <c r="CE373" s="338"/>
      <c r="CF373" s="338"/>
      <c r="CG373" s="338"/>
      <c r="CH373" s="338"/>
      <c r="CI373" s="338"/>
      <c r="CJ373" s="338"/>
      <c r="CK373" s="338"/>
      <c r="CL373" s="338"/>
    </row>
    <row r="374" ht="14.2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40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  <c r="AI374" s="338"/>
      <c r="AJ374" s="338"/>
      <c r="AK374" s="338"/>
      <c r="AL374" s="338"/>
      <c r="AM374" s="338"/>
      <c r="AN374" s="338"/>
      <c r="AO374" s="338"/>
      <c r="AP374" s="338"/>
      <c r="AQ374" s="338"/>
      <c r="AR374" s="338"/>
      <c r="AS374" s="338"/>
      <c r="AT374" s="338"/>
      <c r="AU374" s="338"/>
      <c r="AV374" s="338"/>
      <c r="AW374" s="338"/>
      <c r="AX374" s="338"/>
      <c r="AY374" s="338"/>
      <c r="AZ374" s="338"/>
      <c r="BA374" s="338"/>
      <c r="BB374" s="338"/>
      <c r="BC374" s="338"/>
      <c r="BD374" s="338"/>
      <c r="BE374" s="338"/>
      <c r="BF374" s="338"/>
      <c r="BG374" s="338"/>
      <c r="BH374" s="338"/>
      <c r="BI374" s="338"/>
      <c r="BJ374" s="338"/>
      <c r="BK374" s="338"/>
      <c r="BL374" s="338"/>
      <c r="BM374" s="338"/>
      <c r="BN374" s="338"/>
      <c r="BO374" s="338"/>
      <c r="BP374" s="338"/>
      <c r="BQ374" s="338"/>
      <c r="BR374" s="338"/>
      <c r="BS374" s="338"/>
      <c r="BT374" s="338"/>
      <c r="BU374" s="338"/>
      <c r="BV374" s="338"/>
      <c r="BW374" s="338"/>
      <c r="BX374" s="338"/>
      <c r="BY374" s="338"/>
      <c r="BZ374" s="338"/>
      <c r="CA374" s="338"/>
      <c r="CB374" s="338"/>
      <c r="CC374" s="338"/>
      <c r="CD374" s="338"/>
      <c r="CE374" s="338"/>
      <c r="CF374" s="338"/>
      <c r="CG374" s="338"/>
      <c r="CH374" s="338"/>
      <c r="CI374" s="338"/>
      <c r="CJ374" s="338"/>
      <c r="CK374" s="338"/>
      <c r="CL374" s="338"/>
    </row>
    <row r="375" ht="14.2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40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  <c r="AI375" s="338"/>
      <c r="AJ375" s="338"/>
      <c r="AK375" s="338"/>
      <c r="AL375" s="338"/>
      <c r="AM375" s="338"/>
      <c r="AN375" s="338"/>
      <c r="AO375" s="338"/>
      <c r="AP375" s="338"/>
      <c r="AQ375" s="338"/>
      <c r="AR375" s="338"/>
      <c r="AS375" s="338"/>
      <c r="AT375" s="338"/>
      <c r="AU375" s="338"/>
      <c r="AV375" s="338"/>
      <c r="AW375" s="338"/>
      <c r="AX375" s="338"/>
      <c r="AY375" s="338"/>
      <c r="AZ375" s="338"/>
      <c r="BA375" s="338"/>
      <c r="BB375" s="338"/>
      <c r="BC375" s="338"/>
      <c r="BD375" s="338"/>
      <c r="BE375" s="338"/>
      <c r="BF375" s="338"/>
      <c r="BG375" s="338"/>
      <c r="BH375" s="338"/>
      <c r="BI375" s="338"/>
      <c r="BJ375" s="338"/>
      <c r="BK375" s="338"/>
      <c r="BL375" s="338"/>
      <c r="BM375" s="338"/>
      <c r="BN375" s="338"/>
      <c r="BO375" s="338"/>
      <c r="BP375" s="338"/>
      <c r="BQ375" s="338"/>
      <c r="BR375" s="338"/>
      <c r="BS375" s="338"/>
      <c r="BT375" s="338"/>
      <c r="BU375" s="338"/>
      <c r="BV375" s="338"/>
      <c r="BW375" s="338"/>
      <c r="BX375" s="338"/>
      <c r="BY375" s="338"/>
      <c r="BZ375" s="338"/>
      <c r="CA375" s="338"/>
      <c r="CB375" s="338"/>
      <c r="CC375" s="338"/>
      <c r="CD375" s="338"/>
      <c r="CE375" s="338"/>
      <c r="CF375" s="338"/>
      <c r="CG375" s="338"/>
      <c r="CH375" s="338"/>
      <c r="CI375" s="338"/>
      <c r="CJ375" s="338"/>
      <c r="CK375" s="338"/>
      <c r="CL375" s="338"/>
    </row>
    <row r="376" ht="14.2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40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  <c r="AI376" s="338"/>
      <c r="AJ376" s="338"/>
      <c r="AK376" s="338"/>
      <c r="AL376" s="338"/>
      <c r="AM376" s="338"/>
      <c r="AN376" s="338"/>
      <c r="AO376" s="338"/>
      <c r="AP376" s="338"/>
      <c r="AQ376" s="338"/>
      <c r="AR376" s="338"/>
      <c r="AS376" s="338"/>
      <c r="AT376" s="338"/>
      <c r="AU376" s="338"/>
      <c r="AV376" s="338"/>
      <c r="AW376" s="338"/>
      <c r="AX376" s="338"/>
      <c r="AY376" s="338"/>
      <c r="AZ376" s="338"/>
      <c r="BA376" s="338"/>
      <c r="BB376" s="338"/>
      <c r="BC376" s="338"/>
      <c r="BD376" s="338"/>
      <c r="BE376" s="338"/>
      <c r="BF376" s="338"/>
      <c r="BG376" s="338"/>
      <c r="BH376" s="338"/>
      <c r="BI376" s="338"/>
      <c r="BJ376" s="338"/>
      <c r="BK376" s="338"/>
      <c r="BL376" s="338"/>
      <c r="BM376" s="338"/>
      <c r="BN376" s="338"/>
      <c r="BO376" s="338"/>
      <c r="BP376" s="338"/>
      <c r="BQ376" s="338"/>
      <c r="BR376" s="338"/>
      <c r="BS376" s="338"/>
      <c r="BT376" s="338"/>
      <c r="BU376" s="338"/>
      <c r="BV376" s="338"/>
      <c r="BW376" s="338"/>
      <c r="BX376" s="338"/>
      <c r="BY376" s="338"/>
      <c r="BZ376" s="338"/>
      <c r="CA376" s="338"/>
      <c r="CB376" s="338"/>
      <c r="CC376" s="338"/>
      <c r="CD376" s="338"/>
      <c r="CE376" s="338"/>
      <c r="CF376" s="338"/>
      <c r="CG376" s="338"/>
      <c r="CH376" s="338"/>
      <c r="CI376" s="338"/>
      <c r="CJ376" s="338"/>
      <c r="CK376" s="338"/>
      <c r="CL376" s="338"/>
    </row>
    <row r="377" ht="14.2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40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  <c r="AI377" s="338"/>
      <c r="AJ377" s="338"/>
      <c r="AK377" s="338"/>
      <c r="AL377" s="338"/>
      <c r="AM377" s="338"/>
      <c r="AN377" s="338"/>
      <c r="AO377" s="338"/>
      <c r="AP377" s="338"/>
      <c r="AQ377" s="338"/>
      <c r="AR377" s="338"/>
      <c r="AS377" s="338"/>
      <c r="AT377" s="338"/>
      <c r="AU377" s="338"/>
      <c r="AV377" s="338"/>
      <c r="AW377" s="338"/>
      <c r="AX377" s="338"/>
      <c r="AY377" s="338"/>
      <c r="AZ377" s="338"/>
      <c r="BA377" s="338"/>
      <c r="BB377" s="338"/>
      <c r="BC377" s="338"/>
      <c r="BD377" s="338"/>
      <c r="BE377" s="338"/>
      <c r="BF377" s="338"/>
      <c r="BG377" s="338"/>
      <c r="BH377" s="338"/>
      <c r="BI377" s="338"/>
      <c r="BJ377" s="338"/>
      <c r="BK377" s="338"/>
      <c r="BL377" s="338"/>
      <c r="BM377" s="338"/>
      <c r="BN377" s="338"/>
      <c r="BO377" s="338"/>
      <c r="BP377" s="338"/>
      <c r="BQ377" s="338"/>
      <c r="BR377" s="338"/>
      <c r="BS377" s="338"/>
      <c r="BT377" s="338"/>
      <c r="BU377" s="338"/>
      <c r="BV377" s="338"/>
      <c r="BW377" s="338"/>
      <c r="BX377" s="338"/>
      <c r="BY377" s="338"/>
      <c r="BZ377" s="338"/>
      <c r="CA377" s="338"/>
      <c r="CB377" s="338"/>
      <c r="CC377" s="338"/>
      <c r="CD377" s="338"/>
      <c r="CE377" s="338"/>
      <c r="CF377" s="338"/>
      <c r="CG377" s="338"/>
      <c r="CH377" s="338"/>
      <c r="CI377" s="338"/>
      <c r="CJ377" s="338"/>
      <c r="CK377" s="338"/>
      <c r="CL377" s="338"/>
    </row>
    <row r="378" ht="14.2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40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  <c r="AI378" s="338"/>
      <c r="AJ378" s="338"/>
      <c r="AK378" s="338"/>
      <c r="AL378" s="338"/>
      <c r="AM378" s="338"/>
      <c r="AN378" s="338"/>
      <c r="AO378" s="338"/>
      <c r="AP378" s="338"/>
      <c r="AQ378" s="338"/>
      <c r="AR378" s="338"/>
      <c r="AS378" s="338"/>
      <c r="AT378" s="338"/>
      <c r="AU378" s="338"/>
      <c r="AV378" s="338"/>
      <c r="AW378" s="338"/>
      <c r="AX378" s="338"/>
      <c r="AY378" s="338"/>
      <c r="AZ378" s="338"/>
      <c r="BA378" s="338"/>
      <c r="BB378" s="338"/>
      <c r="BC378" s="338"/>
      <c r="BD378" s="338"/>
      <c r="BE378" s="338"/>
      <c r="BF378" s="338"/>
      <c r="BG378" s="338"/>
      <c r="BH378" s="338"/>
      <c r="BI378" s="338"/>
      <c r="BJ378" s="338"/>
      <c r="BK378" s="338"/>
      <c r="BL378" s="338"/>
      <c r="BM378" s="338"/>
      <c r="BN378" s="338"/>
      <c r="BO378" s="338"/>
      <c r="BP378" s="338"/>
      <c r="BQ378" s="338"/>
      <c r="BR378" s="338"/>
      <c r="BS378" s="338"/>
      <c r="BT378" s="338"/>
      <c r="BU378" s="338"/>
      <c r="BV378" s="338"/>
      <c r="BW378" s="338"/>
      <c r="BX378" s="338"/>
      <c r="BY378" s="338"/>
      <c r="BZ378" s="338"/>
      <c r="CA378" s="338"/>
      <c r="CB378" s="338"/>
      <c r="CC378" s="338"/>
      <c r="CD378" s="338"/>
      <c r="CE378" s="338"/>
      <c r="CF378" s="338"/>
      <c r="CG378" s="338"/>
      <c r="CH378" s="338"/>
      <c r="CI378" s="338"/>
      <c r="CJ378" s="338"/>
      <c r="CK378" s="338"/>
      <c r="CL378" s="338"/>
    </row>
    <row r="379" ht="14.2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40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  <c r="AI379" s="338"/>
      <c r="AJ379" s="338"/>
      <c r="AK379" s="338"/>
      <c r="AL379" s="338"/>
      <c r="AM379" s="338"/>
      <c r="AN379" s="338"/>
      <c r="AO379" s="338"/>
      <c r="AP379" s="338"/>
      <c r="AQ379" s="338"/>
      <c r="AR379" s="338"/>
      <c r="AS379" s="338"/>
      <c r="AT379" s="338"/>
      <c r="AU379" s="338"/>
      <c r="AV379" s="338"/>
      <c r="AW379" s="338"/>
      <c r="AX379" s="338"/>
      <c r="AY379" s="338"/>
      <c r="AZ379" s="338"/>
      <c r="BA379" s="338"/>
      <c r="BB379" s="338"/>
      <c r="BC379" s="338"/>
      <c r="BD379" s="338"/>
      <c r="BE379" s="338"/>
      <c r="BF379" s="338"/>
      <c r="BG379" s="338"/>
      <c r="BH379" s="338"/>
      <c r="BI379" s="338"/>
      <c r="BJ379" s="338"/>
      <c r="BK379" s="338"/>
      <c r="BL379" s="338"/>
      <c r="BM379" s="338"/>
      <c r="BN379" s="338"/>
      <c r="BO379" s="338"/>
      <c r="BP379" s="338"/>
      <c r="BQ379" s="338"/>
      <c r="BR379" s="338"/>
      <c r="BS379" s="338"/>
      <c r="BT379" s="338"/>
      <c r="BU379" s="338"/>
      <c r="BV379" s="338"/>
      <c r="BW379" s="338"/>
      <c r="BX379" s="338"/>
      <c r="BY379" s="338"/>
      <c r="BZ379" s="338"/>
      <c r="CA379" s="338"/>
      <c r="CB379" s="338"/>
      <c r="CC379" s="338"/>
      <c r="CD379" s="338"/>
      <c r="CE379" s="338"/>
      <c r="CF379" s="338"/>
      <c r="CG379" s="338"/>
      <c r="CH379" s="338"/>
      <c r="CI379" s="338"/>
      <c r="CJ379" s="338"/>
      <c r="CK379" s="338"/>
      <c r="CL379" s="338"/>
    </row>
    <row r="380" ht="14.2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40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  <c r="AI380" s="338"/>
      <c r="AJ380" s="338"/>
      <c r="AK380" s="338"/>
      <c r="AL380" s="338"/>
      <c r="AM380" s="338"/>
      <c r="AN380" s="338"/>
      <c r="AO380" s="338"/>
      <c r="AP380" s="338"/>
      <c r="AQ380" s="338"/>
      <c r="AR380" s="338"/>
      <c r="AS380" s="338"/>
      <c r="AT380" s="338"/>
      <c r="AU380" s="338"/>
      <c r="AV380" s="338"/>
      <c r="AW380" s="338"/>
      <c r="AX380" s="338"/>
      <c r="AY380" s="338"/>
      <c r="AZ380" s="338"/>
      <c r="BA380" s="338"/>
      <c r="BB380" s="338"/>
      <c r="BC380" s="338"/>
      <c r="BD380" s="338"/>
      <c r="BE380" s="338"/>
      <c r="BF380" s="338"/>
      <c r="BG380" s="338"/>
      <c r="BH380" s="338"/>
      <c r="BI380" s="338"/>
      <c r="BJ380" s="338"/>
      <c r="BK380" s="338"/>
      <c r="BL380" s="338"/>
      <c r="BM380" s="338"/>
      <c r="BN380" s="338"/>
      <c r="BO380" s="338"/>
      <c r="BP380" s="338"/>
      <c r="BQ380" s="338"/>
      <c r="BR380" s="338"/>
      <c r="BS380" s="338"/>
      <c r="BT380" s="338"/>
      <c r="BU380" s="338"/>
      <c r="BV380" s="338"/>
      <c r="BW380" s="338"/>
      <c r="BX380" s="338"/>
      <c r="BY380" s="338"/>
      <c r="BZ380" s="338"/>
      <c r="CA380" s="338"/>
      <c r="CB380" s="338"/>
      <c r="CC380" s="338"/>
      <c r="CD380" s="338"/>
      <c r="CE380" s="338"/>
      <c r="CF380" s="338"/>
      <c r="CG380" s="338"/>
      <c r="CH380" s="338"/>
      <c r="CI380" s="338"/>
      <c r="CJ380" s="338"/>
      <c r="CK380" s="338"/>
      <c r="CL380" s="338"/>
    </row>
    <row r="381" ht="14.2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40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  <c r="AI381" s="338"/>
      <c r="AJ381" s="338"/>
      <c r="AK381" s="338"/>
      <c r="AL381" s="338"/>
      <c r="AM381" s="338"/>
      <c r="AN381" s="338"/>
      <c r="AO381" s="338"/>
      <c r="AP381" s="338"/>
      <c r="AQ381" s="338"/>
      <c r="AR381" s="338"/>
      <c r="AS381" s="338"/>
      <c r="AT381" s="338"/>
      <c r="AU381" s="338"/>
      <c r="AV381" s="338"/>
      <c r="AW381" s="338"/>
      <c r="AX381" s="338"/>
      <c r="AY381" s="338"/>
      <c r="AZ381" s="338"/>
      <c r="BA381" s="338"/>
      <c r="BB381" s="338"/>
      <c r="BC381" s="338"/>
      <c r="BD381" s="338"/>
      <c r="BE381" s="338"/>
      <c r="BF381" s="338"/>
      <c r="BG381" s="338"/>
      <c r="BH381" s="338"/>
      <c r="BI381" s="338"/>
      <c r="BJ381" s="338"/>
      <c r="BK381" s="338"/>
      <c r="BL381" s="338"/>
      <c r="BM381" s="338"/>
      <c r="BN381" s="338"/>
      <c r="BO381" s="338"/>
      <c r="BP381" s="338"/>
      <c r="BQ381" s="338"/>
      <c r="BR381" s="338"/>
      <c r="BS381" s="338"/>
      <c r="BT381" s="338"/>
      <c r="BU381" s="338"/>
      <c r="BV381" s="338"/>
      <c r="BW381" s="338"/>
      <c r="BX381" s="338"/>
      <c r="BY381" s="338"/>
      <c r="BZ381" s="338"/>
      <c r="CA381" s="338"/>
      <c r="CB381" s="338"/>
      <c r="CC381" s="338"/>
      <c r="CD381" s="338"/>
      <c r="CE381" s="338"/>
      <c r="CF381" s="338"/>
      <c r="CG381" s="338"/>
      <c r="CH381" s="338"/>
      <c r="CI381" s="338"/>
      <c r="CJ381" s="338"/>
      <c r="CK381" s="338"/>
      <c r="CL381" s="338"/>
    </row>
    <row r="382" ht="14.2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40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N382" s="338"/>
      <c r="AO382" s="338"/>
      <c r="AP382" s="338"/>
      <c r="AQ382" s="338"/>
      <c r="AR382" s="338"/>
      <c r="AS382" s="338"/>
      <c r="AT382" s="338"/>
      <c r="AU382" s="338"/>
      <c r="AV382" s="338"/>
      <c r="AW382" s="338"/>
      <c r="AX382" s="338"/>
      <c r="AY382" s="338"/>
      <c r="AZ382" s="338"/>
      <c r="BA382" s="338"/>
      <c r="BB382" s="338"/>
      <c r="BC382" s="338"/>
      <c r="BD382" s="338"/>
      <c r="BE382" s="338"/>
      <c r="BF382" s="338"/>
      <c r="BG382" s="338"/>
      <c r="BH382" s="338"/>
      <c r="BI382" s="338"/>
      <c r="BJ382" s="338"/>
      <c r="BK382" s="338"/>
      <c r="BL382" s="338"/>
      <c r="BM382" s="338"/>
      <c r="BN382" s="338"/>
      <c r="BO382" s="338"/>
      <c r="BP382" s="338"/>
      <c r="BQ382" s="338"/>
      <c r="BR382" s="338"/>
      <c r="BS382" s="338"/>
      <c r="BT382" s="338"/>
      <c r="BU382" s="338"/>
      <c r="BV382" s="338"/>
      <c r="BW382" s="338"/>
      <c r="BX382" s="338"/>
      <c r="BY382" s="338"/>
      <c r="BZ382" s="338"/>
      <c r="CA382" s="338"/>
      <c r="CB382" s="338"/>
      <c r="CC382" s="338"/>
      <c r="CD382" s="338"/>
      <c r="CE382" s="338"/>
      <c r="CF382" s="338"/>
      <c r="CG382" s="338"/>
      <c r="CH382" s="338"/>
      <c r="CI382" s="338"/>
      <c r="CJ382" s="338"/>
      <c r="CK382" s="338"/>
      <c r="CL382" s="338"/>
    </row>
    <row r="383" ht="14.2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40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  <c r="AI383" s="338"/>
      <c r="AJ383" s="338"/>
      <c r="AK383" s="338"/>
      <c r="AL383" s="338"/>
      <c r="AM383" s="338"/>
      <c r="AN383" s="338"/>
      <c r="AO383" s="338"/>
      <c r="AP383" s="338"/>
      <c r="AQ383" s="338"/>
      <c r="AR383" s="338"/>
      <c r="AS383" s="338"/>
      <c r="AT383" s="338"/>
      <c r="AU383" s="338"/>
      <c r="AV383" s="338"/>
      <c r="AW383" s="338"/>
      <c r="AX383" s="338"/>
      <c r="AY383" s="338"/>
      <c r="AZ383" s="338"/>
      <c r="BA383" s="338"/>
      <c r="BB383" s="338"/>
      <c r="BC383" s="338"/>
      <c r="BD383" s="338"/>
      <c r="BE383" s="338"/>
      <c r="BF383" s="338"/>
      <c r="BG383" s="338"/>
      <c r="BH383" s="338"/>
      <c r="BI383" s="338"/>
      <c r="BJ383" s="338"/>
      <c r="BK383" s="338"/>
      <c r="BL383" s="338"/>
      <c r="BM383" s="338"/>
      <c r="BN383" s="338"/>
      <c r="BO383" s="338"/>
      <c r="BP383" s="338"/>
      <c r="BQ383" s="338"/>
      <c r="BR383" s="338"/>
      <c r="BS383" s="338"/>
      <c r="BT383" s="338"/>
      <c r="BU383" s="338"/>
      <c r="BV383" s="338"/>
      <c r="BW383" s="338"/>
      <c r="BX383" s="338"/>
      <c r="BY383" s="338"/>
      <c r="BZ383" s="338"/>
      <c r="CA383" s="338"/>
      <c r="CB383" s="338"/>
      <c r="CC383" s="338"/>
      <c r="CD383" s="338"/>
      <c r="CE383" s="338"/>
      <c r="CF383" s="338"/>
      <c r="CG383" s="338"/>
      <c r="CH383" s="338"/>
      <c r="CI383" s="338"/>
      <c r="CJ383" s="338"/>
      <c r="CK383" s="338"/>
      <c r="CL383" s="338"/>
    </row>
    <row r="384" ht="14.2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40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  <c r="AI384" s="338"/>
      <c r="AJ384" s="338"/>
      <c r="AK384" s="338"/>
      <c r="AL384" s="338"/>
      <c r="AM384" s="338"/>
      <c r="AN384" s="338"/>
      <c r="AO384" s="338"/>
      <c r="AP384" s="338"/>
      <c r="AQ384" s="338"/>
      <c r="AR384" s="338"/>
      <c r="AS384" s="338"/>
      <c r="AT384" s="338"/>
      <c r="AU384" s="338"/>
      <c r="AV384" s="338"/>
      <c r="AW384" s="338"/>
      <c r="AX384" s="338"/>
      <c r="AY384" s="338"/>
      <c r="AZ384" s="338"/>
      <c r="BA384" s="338"/>
      <c r="BB384" s="338"/>
      <c r="BC384" s="338"/>
      <c r="BD384" s="338"/>
      <c r="BE384" s="338"/>
      <c r="BF384" s="338"/>
      <c r="BG384" s="338"/>
      <c r="BH384" s="338"/>
      <c r="BI384" s="338"/>
      <c r="BJ384" s="338"/>
      <c r="BK384" s="338"/>
      <c r="BL384" s="338"/>
      <c r="BM384" s="338"/>
      <c r="BN384" s="338"/>
      <c r="BO384" s="338"/>
      <c r="BP384" s="338"/>
      <c r="BQ384" s="338"/>
      <c r="BR384" s="338"/>
      <c r="BS384" s="338"/>
      <c r="BT384" s="338"/>
      <c r="BU384" s="338"/>
      <c r="BV384" s="338"/>
      <c r="BW384" s="338"/>
      <c r="BX384" s="338"/>
      <c r="BY384" s="338"/>
      <c r="BZ384" s="338"/>
      <c r="CA384" s="338"/>
      <c r="CB384" s="338"/>
      <c r="CC384" s="338"/>
      <c r="CD384" s="338"/>
      <c r="CE384" s="338"/>
      <c r="CF384" s="338"/>
      <c r="CG384" s="338"/>
      <c r="CH384" s="338"/>
      <c r="CI384" s="338"/>
      <c r="CJ384" s="338"/>
      <c r="CK384" s="338"/>
      <c r="CL384" s="338"/>
    </row>
    <row r="385" ht="14.2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40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  <c r="AI385" s="338"/>
      <c r="AJ385" s="338"/>
      <c r="AK385" s="338"/>
      <c r="AL385" s="338"/>
      <c r="AM385" s="338"/>
      <c r="AN385" s="338"/>
      <c r="AO385" s="338"/>
      <c r="AP385" s="338"/>
      <c r="AQ385" s="338"/>
      <c r="AR385" s="338"/>
      <c r="AS385" s="338"/>
      <c r="AT385" s="338"/>
      <c r="AU385" s="338"/>
      <c r="AV385" s="338"/>
      <c r="AW385" s="338"/>
      <c r="AX385" s="338"/>
      <c r="AY385" s="338"/>
      <c r="AZ385" s="338"/>
      <c r="BA385" s="338"/>
      <c r="BB385" s="338"/>
      <c r="BC385" s="338"/>
      <c r="BD385" s="338"/>
      <c r="BE385" s="338"/>
      <c r="BF385" s="338"/>
      <c r="BG385" s="338"/>
      <c r="BH385" s="338"/>
      <c r="BI385" s="338"/>
      <c r="BJ385" s="338"/>
      <c r="BK385" s="338"/>
      <c r="BL385" s="338"/>
      <c r="BM385" s="338"/>
      <c r="BN385" s="338"/>
      <c r="BO385" s="338"/>
      <c r="BP385" s="338"/>
      <c r="BQ385" s="338"/>
      <c r="BR385" s="338"/>
      <c r="BS385" s="338"/>
      <c r="BT385" s="338"/>
      <c r="BU385" s="338"/>
      <c r="BV385" s="338"/>
      <c r="BW385" s="338"/>
      <c r="BX385" s="338"/>
      <c r="BY385" s="338"/>
      <c r="BZ385" s="338"/>
      <c r="CA385" s="338"/>
      <c r="CB385" s="338"/>
      <c r="CC385" s="338"/>
      <c r="CD385" s="338"/>
      <c r="CE385" s="338"/>
      <c r="CF385" s="338"/>
      <c r="CG385" s="338"/>
      <c r="CH385" s="338"/>
      <c r="CI385" s="338"/>
      <c r="CJ385" s="338"/>
      <c r="CK385" s="338"/>
      <c r="CL385" s="338"/>
    </row>
    <row r="386" ht="14.2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40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  <c r="AI386" s="338"/>
      <c r="AJ386" s="338"/>
      <c r="AK386" s="338"/>
      <c r="AL386" s="338"/>
      <c r="AM386" s="338"/>
      <c r="AN386" s="338"/>
      <c r="AO386" s="338"/>
      <c r="AP386" s="338"/>
      <c r="AQ386" s="338"/>
      <c r="AR386" s="338"/>
      <c r="AS386" s="338"/>
      <c r="AT386" s="338"/>
      <c r="AU386" s="338"/>
      <c r="AV386" s="338"/>
      <c r="AW386" s="338"/>
      <c r="AX386" s="338"/>
      <c r="AY386" s="338"/>
      <c r="AZ386" s="338"/>
      <c r="BA386" s="338"/>
      <c r="BB386" s="338"/>
      <c r="BC386" s="338"/>
      <c r="BD386" s="338"/>
      <c r="BE386" s="338"/>
      <c r="BF386" s="338"/>
      <c r="BG386" s="338"/>
      <c r="BH386" s="338"/>
      <c r="BI386" s="338"/>
      <c r="BJ386" s="338"/>
      <c r="BK386" s="338"/>
      <c r="BL386" s="338"/>
      <c r="BM386" s="338"/>
      <c r="BN386" s="338"/>
      <c r="BO386" s="338"/>
      <c r="BP386" s="338"/>
      <c r="BQ386" s="338"/>
      <c r="BR386" s="338"/>
      <c r="BS386" s="338"/>
      <c r="BT386" s="338"/>
      <c r="BU386" s="338"/>
      <c r="BV386" s="338"/>
      <c r="BW386" s="338"/>
      <c r="BX386" s="338"/>
      <c r="BY386" s="338"/>
      <c r="BZ386" s="338"/>
      <c r="CA386" s="338"/>
      <c r="CB386" s="338"/>
      <c r="CC386" s="338"/>
      <c r="CD386" s="338"/>
      <c r="CE386" s="338"/>
      <c r="CF386" s="338"/>
      <c r="CG386" s="338"/>
      <c r="CH386" s="338"/>
      <c r="CI386" s="338"/>
      <c r="CJ386" s="338"/>
      <c r="CK386" s="338"/>
      <c r="CL386" s="338"/>
    </row>
    <row r="387" ht="14.2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40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  <c r="AI387" s="338"/>
      <c r="AJ387" s="338"/>
      <c r="AK387" s="338"/>
      <c r="AL387" s="338"/>
      <c r="AM387" s="338"/>
      <c r="AN387" s="338"/>
      <c r="AO387" s="338"/>
      <c r="AP387" s="338"/>
      <c r="AQ387" s="338"/>
      <c r="AR387" s="338"/>
      <c r="AS387" s="338"/>
      <c r="AT387" s="338"/>
      <c r="AU387" s="338"/>
      <c r="AV387" s="338"/>
      <c r="AW387" s="338"/>
      <c r="AX387" s="338"/>
      <c r="AY387" s="338"/>
      <c r="AZ387" s="338"/>
      <c r="BA387" s="338"/>
      <c r="BB387" s="338"/>
      <c r="BC387" s="338"/>
      <c r="BD387" s="338"/>
      <c r="BE387" s="338"/>
      <c r="BF387" s="338"/>
      <c r="BG387" s="338"/>
      <c r="BH387" s="338"/>
      <c r="BI387" s="338"/>
      <c r="BJ387" s="338"/>
      <c r="BK387" s="338"/>
      <c r="BL387" s="338"/>
      <c r="BM387" s="338"/>
      <c r="BN387" s="338"/>
      <c r="BO387" s="338"/>
      <c r="BP387" s="338"/>
      <c r="BQ387" s="338"/>
      <c r="BR387" s="338"/>
      <c r="BS387" s="338"/>
      <c r="BT387" s="338"/>
      <c r="BU387" s="338"/>
      <c r="BV387" s="338"/>
      <c r="BW387" s="338"/>
      <c r="BX387" s="338"/>
      <c r="BY387" s="338"/>
      <c r="BZ387" s="338"/>
      <c r="CA387" s="338"/>
      <c r="CB387" s="338"/>
      <c r="CC387" s="338"/>
      <c r="CD387" s="338"/>
      <c r="CE387" s="338"/>
      <c r="CF387" s="338"/>
      <c r="CG387" s="338"/>
      <c r="CH387" s="338"/>
      <c r="CI387" s="338"/>
      <c r="CJ387" s="338"/>
      <c r="CK387" s="338"/>
      <c r="CL387" s="338"/>
    </row>
    <row r="388" ht="14.2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40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  <c r="AI388" s="338"/>
      <c r="AJ388" s="338"/>
      <c r="AK388" s="338"/>
      <c r="AL388" s="338"/>
      <c r="AM388" s="338"/>
      <c r="AN388" s="338"/>
      <c r="AO388" s="338"/>
      <c r="AP388" s="338"/>
      <c r="AQ388" s="338"/>
      <c r="AR388" s="338"/>
      <c r="AS388" s="338"/>
      <c r="AT388" s="338"/>
      <c r="AU388" s="338"/>
      <c r="AV388" s="338"/>
      <c r="AW388" s="338"/>
      <c r="AX388" s="338"/>
      <c r="AY388" s="338"/>
      <c r="AZ388" s="338"/>
      <c r="BA388" s="338"/>
      <c r="BB388" s="338"/>
      <c r="BC388" s="338"/>
      <c r="BD388" s="338"/>
      <c r="BE388" s="338"/>
      <c r="BF388" s="338"/>
      <c r="BG388" s="338"/>
      <c r="BH388" s="338"/>
      <c r="BI388" s="338"/>
      <c r="BJ388" s="338"/>
      <c r="BK388" s="338"/>
      <c r="BL388" s="338"/>
      <c r="BM388" s="338"/>
      <c r="BN388" s="338"/>
      <c r="BO388" s="338"/>
      <c r="BP388" s="338"/>
      <c r="BQ388" s="338"/>
      <c r="BR388" s="338"/>
      <c r="BS388" s="338"/>
      <c r="BT388" s="338"/>
      <c r="BU388" s="338"/>
      <c r="BV388" s="338"/>
      <c r="BW388" s="338"/>
      <c r="BX388" s="338"/>
      <c r="BY388" s="338"/>
      <c r="BZ388" s="338"/>
      <c r="CA388" s="338"/>
      <c r="CB388" s="338"/>
      <c r="CC388" s="338"/>
      <c r="CD388" s="338"/>
      <c r="CE388" s="338"/>
      <c r="CF388" s="338"/>
      <c r="CG388" s="338"/>
      <c r="CH388" s="338"/>
      <c r="CI388" s="338"/>
      <c r="CJ388" s="338"/>
      <c r="CK388" s="338"/>
      <c r="CL388" s="338"/>
    </row>
    <row r="389" ht="14.2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40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  <c r="AI389" s="338"/>
      <c r="AJ389" s="338"/>
      <c r="AK389" s="338"/>
      <c r="AL389" s="338"/>
      <c r="AM389" s="338"/>
      <c r="AN389" s="338"/>
      <c r="AO389" s="338"/>
      <c r="AP389" s="338"/>
      <c r="AQ389" s="338"/>
      <c r="AR389" s="338"/>
      <c r="AS389" s="338"/>
      <c r="AT389" s="338"/>
      <c r="AU389" s="338"/>
      <c r="AV389" s="338"/>
      <c r="AW389" s="338"/>
      <c r="AX389" s="338"/>
      <c r="AY389" s="338"/>
      <c r="AZ389" s="338"/>
      <c r="BA389" s="338"/>
      <c r="BB389" s="338"/>
      <c r="BC389" s="338"/>
      <c r="BD389" s="338"/>
      <c r="BE389" s="338"/>
      <c r="BF389" s="338"/>
      <c r="BG389" s="338"/>
      <c r="BH389" s="338"/>
      <c r="BI389" s="338"/>
      <c r="BJ389" s="338"/>
      <c r="BK389" s="338"/>
      <c r="BL389" s="338"/>
      <c r="BM389" s="338"/>
      <c r="BN389" s="338"/>
      <c r="BO389" s="338"/>
      <c r="BP389" s="338"/>
      <c r="BQ389" s="338"/>
      <c r="BR389" s="338"/>
      <c r="BS389" s="338"/>
      <c r="BT389" s="338"/>
      <c r="BU389" s="338"/>
      <c r="BV389" s="338"/>
      <c r="BW389" s="338"/>
      <c r="BX389" s="338"/>
      <c r="BY389" s="338"/>
      <c r="BZ389" s="338"/>
      <c r="CA389" s="338"/>
      <c r="CB389" s="338"/>
      <c r="CC389" s="338"/>
      <c r="CD389" s="338"/>
      <c r="CE389" s="338"/>
      <c r="CF389" s="338"/>
      <c r="CG389" s="338"/>
      <c r="CH389" s="338"/>
      <c r="CI389" s="338"/>
      <c r="CJ389" s="338"/>
      <c r="CK389" s="338"/>
      <c r="CL389" s="338"/>
    </row>
    <row r="390" ht="14.2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40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  <c r="AI390" s="338"/>
      <c r="AJ390" s="338"/>
      <c r="AK390" s="338"/>
      <c r="AL390" s="338"/>
      <c r="AM390" s="338"/>
      <c r="AN390" s="338"/>
      <c r="AO390" s="338"/>
      <c r="AP390" s="338"/>
      <c r="AQ390" s="338"/>
      <c r="AR390" s="338"/>
      <c r="AS390" s="338"/>
      <c r="AT390" s="338"/>
      <c r="AU390" s="338"/>
      <c r="AV390" s="338"/>
      <c r="AW390" s="338"/>
      <c r="AX390" s="338"/>
      <c r="AY390" s="338"/>
      <c r="AZ390" s="338"/>
      <c r="BA390" s="338"/>
      <c r="BB390" s="338"/>
      <c r="BC390" s="338"/>
      <c r="BD390" s="338"/>
      <c r="BE390" s="338"/>
      <c r="BF390" s="338"/>
      <c r="BG390" s="338"/>
      <c r="BH390" s="338"/>
      <c r="BI390" s="338"/>
      <c r="BJ390" s="338"/>
      <c r="BK390" s="338"/>
      <c r="BL390" s="338"/>
      <c r="BM390" s="338"/>
      <c r="BN390" s="338"/>
      <c r="BO390" s="338"/>
      <c r="BP390" s="338"/>
      <c r="BQ390" s="338"/>
      <c r="BR390" s="338"/>
      <c r="BS390" s="338"/>
      <c r="BT390" s="338"/>
      <c r="BU390" s="338"/>
      <c r="BV390" s="338"/>
      <c r="BW390" s="338"/>
      <c r="BX390" s="338"/>
      <c r="BY390" s="338"/>
      <c r="BZ390" s="338"/>
      <c r="CA390" s="338"/>
      <c r="CB390" s="338"/>
      <c r="CC390" s="338"/>
      <c r="CD390" s="338"/>
      <c r="CE390" s="338"/>
      <c r="CF390" s="338"/>
      <c r="CG390" s="338"/>
      <c r="CH390" s="338"/>
      <c r="CI390" s="338"/>
      <c r="CJ390" s="338"/>
      <c r="CK390" s="338"/>
      <c r="CL390" s="338"/>
    </row>
    <row r="391" ht="14.2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40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  <c r="AI391" s="338"/>
      <c r="AJ391" s="338"/>
      <c r="AK391" s="338"/>
      <c r="AL391" s="338"/>
      <c r="AM391" s="338"/>
      <c r="AN391" s="338"/>
      <c r="AO391" s="338"/>
      <c r="AP391" s="338"/>
      <c r="AQ391" s="338"/>
      <c r="AR391" s="338"/>
      <c r="AS391" s="338"/>
      <c r="AT391" s="338"/>
      <c r="AU391" s="338"/>
      <c r="AV391" s="338"/>
      <c r="AW391" s="338"/>
      <c r="AX391" s="338"/>
      <c r="AY391" s="338"/>
      <c r="AZ391" s="338"/>
      <c r="BA391" s="338"/>
      <c r="BB391" s="338"/>
      <c r="BC391" s="338"/>
      <c r="BD391" s="338"/>
      <c r="BE391" s="338"/>
      <c r="BF391" s="338"/>
      <c r="BG391" s="338"/>
      <c r="BH391" s="338"/>
      <c r="BI391" s="338"/>
      <c r="BJ391" s="338"/>
      <c r="BK391" s="338"/>
      <c r="BL391" s="338"/>
      <c r="BM391" s="338"/>
      <c r="BN391" s="338"/>
      <c r="BO391" s="338"/>
      <c r="BP391" s="338"/>
      <c r="BQ391" s="338"/>
      <c r="BR391" s="338"/>
      <c r="BS391" s="338"/>
      <c r="BT391" s="338"/>
      <c r="BU391" s="338"/>
      <c r="BV391" s="338"/>
      <c r="BW391" s="338"/>
      <c r="BX391" s="338"/>
      <c r="BY391" s="338"/>
      <c r="BZ391" s="338"/>
      <c r="CA391" s="338"/>
      <c r="CB391" s="338"/>
      <c r="CC391" s="338"/>
      <c r="CD391" s="338"/>
      <c r="CE391" s="338"/>
      <c r="CF391" s="338"/>
      <c r="CG391" s="338"/>
      <c r="CH391" s="338"/>
      <c r="CI391" s="338"/>
      <c r="CJ391" s="338"/>
      <c r="CK391" s="338"/>
      <c r="CL391" s="338"/>
    </row>
    <row r="392" ht="14.2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40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  <c r="AI392" s="338"/>
      <c r="AJ392" s="338"/>
      <c r="AK392" s="338"/>
      <c r="AL392" s="338"/>
      <c r="AM392" s="338"/>
      <c r="AN392" s="338"/>
      <c r="AO392" s="338"/>
      <c r="AP392" s="338"/>
      <c r="AQ392" s="338"/>
      <c r="AR392" s="338"/>
      <c r="AS392" s="338"/>
      <c r="AT392" s="338"/>
      <c r="AU392" s="338"/>
      <c r="AV392" s="338"/>
      <c r="AW392" s="338"/>
      <c r="AX392" s="338"/>
      <c r="AY392" s="338"/>
      <c r="AZ392" s="338"/>
      <c r="BA392" s="338"/>
      <c r="BB392" s="338"/>
      <c r="BC392" s="338"/>
      <c r="BD392" s="338"/>
      <c r="BE392" s="338"/>
      <c r="BF392" s="338"/>
      <c r="BG392" s="338"/>
      <c r="BH392" s="338"/>
      <c r="BI392" s="338"/>
      <c r="BJ392" s="338"/>
      <c r="BK392" s="338"/>
      <c r="BL392" s="338"/>
      <c r="BM392" s="338"/>
      <c r="BN392" s="338"/>
      <c r="BO392" s="338"/>
      <c r="BP392" s="338"/>
      <c r="BQ392" s="338"/>
      <c r="BR392" s="338"/>
      <c r="BS392" s="338"/>
      <c r="BT392" s="338"/>
      <c r="BU392" s="338"/>
      <c r="BV392" s="338"/>
      <c r="BW392" s="338"/>
      <c r="BX392" s="338"/>
      <c r="BY392" s="338"/>
      <c r="BZ392" s="338"/>
      <c r="CA392" s="338"/>
      <c r="CB392" s="338"/>
      <c r="CC392" s="338"/>
      <c r="CD392" s="338"/>
      <c r="CE392" s="338"/>
      <c r="CF392" s="338"/>
      <c r="CG392" s="338"/>
      <c r="CH392" s="338"/>
      <c r="CI392" s="338"/>
      <c r="CJ392" s="338"/>
      <c r="CK392" s="338"/>
      <c r="CL392" s="338"/>
    </row>
    <row r="393" ht="14.2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40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  <c r="AI393" s="338"/>
      <c r="AJ393" s="338"/>
      <c r="AK393" s="338"/>
      <c r="AL393" s="338"/>
      <c r="AM393" s="338"/>
      <c r="AN393" s="338"/>
      <c r="AO393" s="338"/>
      <c r="AP393" s="338"/>
      <c r="AQ393" s="338"/>
      <c r="AR393" s="338"/>
      <c r="AS393" s="338"/>
      <c r="AT393" s="338"/>
      <c r="AU393" s="338"/>
      <c r="AV393" s="338"/>
      <c r="AW393" s="338"/>
      <c r="AX393" s="338"/>
      <c r="AY393" s="338"/>
      <c r="AZ393" s="338"/>
      <c r="BA393" s="338"/>
      <c r="BB393" s="338"/>
      <c r="BC393" s="338"/>
      <c r="BD393" s="338"/>
      <c r="BE393" s="338"/>
      <c r="BF393" s="338"/>
      <c r="BG393" s="338"/>
      <c r="BH393" s="338"/>
      <c r="BI393" s="338"/>
      <c r="BJ393" s="338"/>
      <c r="BK393" s="338"/>
      <c r="BL393" s="338"/>
      <c r="BM393" s="338"/>
      <c r="BN393" s="338"/>
      <c r="BO393" s="338"/>
      <c r="BP393" s="338"/>
      <c r="BQ393" s="338"/>
      <c r="BR393" s="338"/>
      <c r="BS393" s="338"/>
      <c r="BT393" s="338"/>
      <c r="BU393" s="338"/>
      <c r="BV393" s="338"/>
      <c r="BW393" s="338"/>
      <c r="BX393" s="338"/>
      <c r="BY393" s="338"/>
      <c r="BZ393" s="338"/>
      <c r="CA393" s="338"/>
      <c r="CB393" s="338"/>
      <c r="CC393" s="338"/>
      <c r="CD393" s="338"/>
      <c r="CE393" s="338"/>
      <c r="CF393" s="338"/>
      <c r="CG393" s="338"/>
      <c r="CH393" s="338"/>
      <c r="CI393" s="338"/>
      <c r="CJ393" s="338"/>
      <c r="CK393" s="338"/>
      <c r="CL393" s="338"/>
    </row>
    <row r="394" ht="14.2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40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  <c r="AI394" s="338"/>
      <c r="AJ394" s="338"/>
      <c r="AK394" s="338"/>
      <c r="AL394" s="338"/>
      <c r="AM394" s="338"/>
      <c r="AN394" s="338"/>
      <c r="AO394" s="338"/>
      <c r="AP394" s="338"/>
      <c r="AQ394" s="338"/>
      <c r="AR394" s="338"/>
      <c r="AS394" s="338"/>
      <c r="AT394" s="338"/>
      <c r="AU394" s="338"/>
      <c r="AV394" s="338"/>
      <c r="AW394" s="338"/>
      <c r="AX394" s="338"/>
      <c r="AY394" s="338"/>
      <c r="AZ394" s="338"/>
      <c r="BA394" s="338"/>
      <c r="BB394" s="338"/>
      <c r="BC394" s="338"/>
      <c r="BD394" s="338"/>
      <c r="BE394" s="338"/>
      <c r="BF394" s="338"/>
      <c r="BG394" s="338"/>
      <c r="BH394" s="338"/>
      <c r="BI394" s="338"/>
      <c r="BJ394" s="338"/>
      <c r="BK394" s="338"/>
      <c r="BL394" s="338"/>
      <c r="BM394" s="338"/>
      <c r="BN394" s="338"/>
      <c r="BO394" s="338"/>
      <c r="BP394" s="338"/>
      <c r="BQ394" s="338"/>
      <c r="BR394" s="338"/>
      <c r="BS394" s="338"/>
      <c r="BT394" s="338"/>
      <c r="BU394" s="338"/>
      <c r="BV394" s="338"/>
      <c r="BW394" s="338"/>
      <c r="BX394" s="338"/>
      <c r="BY394" s="338"/>
      <c r="BZ394" s="338"/>
      <c r="CA394" s="338"/>
      <c r="CB394" s="338"/>
      <c r="CC394" s="338"/>
      <c r="CD394" s="338"/>
      <c r="CE394" s="338"/>
      <c r="CF394" s="338"/>
      <c r="CG394" s="338"/>
      <c r="CH394" s="338"/>
      <c r="CI394" s="338"/>
      <c r="CJ394" s="338"/>
      <c r="CK394" s="338"/>
      <c r="CL394" s="338"/>
    </row>
    <row r="395" ht="14.2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40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  <c r="AI395" s="338"/>
      <c r="AJ395" s="338"/>
      <c r="AK395" s="338"/>
      <c r="AL395" s="338"/>
      <c r="AM395" s="338"/>
      <c r="AN395" s="338"/>
      <c r="AO395" s="338"/>
      <c r="AP395" s="338"/>
      <c r="AQ395" s="338"/>
      <c r="AR395" s="338"/>
      <c r="AS395" s="338"/>
      <c r="AT395" s="338"/>
      <c r="AU395" s="338"/>
      <c r="AV395" s="338"/>
      <c r="AW395" s="338"/>
      <c r="AX395" s="338"/>
      <c r="AY395" s="338"/>
      <c r="AZ395" s="338"/>
      <c r="BA395" s="338"/>
      <c r="BB395" s="338"/>
      <c r="BC395" s="338"/>
      <c r="BD395" s="338"/>
      <c r="BE395" s="338"/>
      <c r="BF395" s="338"/>
      <c r="BG395" s="338"/>
      <c r="BH395" s="338"/>
      <c r="BI395" s="338"/>
      <c r="BJ395" s="338"/>
      <c r="BK395" s="338"/>
      <c r="BL395" s="338"/>
      <c r="BM395" s="338"/>
      <c r="BN395" s="338"/>
      <c r="BO395" s="338"/>
      <c r="BP395" s="338"/>
      <c r="BQ395" s="338"/>
      <c r="BR395" s="338"/>
      <c r="BS395" s="338"/>
      <c r="BT395" s="338"/>
      <c r="BU395" s="338"/>
      <c r="BV395" s="338"/>
      <c r="BW395" s="338"/>
      <c r="BX395" s="338"/>
      <c r="BY395" s="338"/>
      <c r="BZ395" s="338"/>
      <c r="CA395" s="338"/>
      <c r="CB395" s="338"/>
      <c r="CC395" s="338"/>
      <c r="CD395" s="338"/>
      <c r="CE395" s="338"/>
      <c r="CF395" s="338"/>
      <c r="CG395" s="338"/>
      <c r="CH395" s="338"/>
      <c r="CI395" s="338"/>
      <c r="CJ395" s="338"/>
      <c r="CK395" s="338"/>
      <c r="CL395" s="338"/>
    </row>
    <row r="396" ht="14.2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40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  <c r="AI396" s="338"/>
      <c r="AJ396" s="338"/>
      <c r="AK396" s="338"/>
      <c r="AL396" s="338"/>
      <c r="AM396" s="338"/>
      <c r="AN396" s="338"/>
      <c r="AO396" s="338"/>
      <c r="AP396" s="338"/>
      <c r="AQ396" s="338"/>
      <c r="AR396" s="338"/>
      <c r="AS396" s="338"/>
      <c r="AT396" s="338"/>
      <c r="AU396" s="338"/>
      <c r="AV396" s="338"/>
      <c r="AW396" s="338"/>
      <c r="AX396" s="338"/>
      <c r="AY396" s="338"/>
      <c r="AZ396" s="338"/>
      <c r="BA396" s="338"/>
      <c r="BB396" s="338"/>
      <c r="BC396" s="338"/>
      <c r="BD396" s="338"/>
      <c r="BE396" s="338"/>
      <c r="BF396" s="338"/>
      <c r="BG396" s="338"/>
      <c r="BH396" s="338"/>
      <c r="BI396" s="338"/>
      <c r="BJ396" s="338"/>
      <c r="BK396" s="338"/>
      <c r="BL396" s="338"/>
      <c r="BM396" s="338"/>
      <c r="BN396" s="338"/>
      <c r="BO396" s="338"/>
      <c r="BP396" s="338"/>
      <c r="BQ396" s="338"/>
      <c r="BR396" s="338"/>
      <c r="BS396" s="338"/>
      <c r="BT396" s="338"/>
      <c r="BU396" s="338"/>
      <c r="BV396" s="338"/>
      <c r="BW396" s="338"/>
      <c r="BX396" s="338"/>
      <c r="BY396" s="338"/>
      <c r="BZ396" s="338"/>
      <c r="CA396" s="338"/>
      <c r="CB396" s="338"/>
      <c r="CC396" s="338"/>
      <c r="CD396" s="338"/>
      <c r="CE396" s="338"/>
      <c r="CF396" s="338"/>
      <c r="CG396" s="338"/>
      <c r="CH396" s="338"/>
      <c r="CI396" s="338"/>
      <c r="CJ396" s="338"/>
      <c r="CK396" s="338"/>
      <c r="CL396" s="338"/>
    </row>
    <row r="397" ht="14.2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40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  <c r="AI397" s="338"/>
      <c r="AJ397" s="338"/>
      <c r="AK397" s="338"/>
      <c r="AL397" s="338"/>
      <c r="AM397" s="338"/>
      <c r="AN397" s="338"/>
      <c r="AO397" s="338"/>
      <c r="AP397" s="338"/>
      <c r="AQ397" s="338"/>
      <c r="AR397" s="338"/>
      <c r="AS397" s="338"/>
      <c r="AT397" s="338"/>
      <c r="AU397" s="338"/>
      <c r="AV397" s="338"/>
      <c r="AW397" s="338"/>
      <c r="AX397" s="338"/>
      <c r="AY397" s="338"/>
      <c r="AZ397" s="338"/>
      <c r="BA397" s="338"/>
      <c r="BB397" s="338"/>
      <c r="BC397" s="338"/>
      <c r="BD397" s="338"/>
      <c r="BE397" s="338"/>
      <c r="BF397" s="338"/>
      <c r="BG397" s="338"/>
      <c r="BH397" s="338"/>
      <c r="BI397" s="338"/>
      <c r="BJ397" s="338"/>
      <c r="BK397" s="338"/>
      <c r="BL397" s="338"/>
      <c r="BM397" s="338"/>
      <c r="BN397" s="338"/>
      <c r="BO397" s="338"/>
      <c r="BP397" s="338"/>
      <c r="BQ397" s="338"/>
      <c r="BR397" s="338"/>
      <c r="BS397" s="338"/>
      <c r="BT397" s="338"/>
      <c r="BU397" s="338"/>
      <c r="BV397" s="338"/>
      <c r="BW397" s="338"/>
      <c r="BX397" s="338"/>
      <c r="BY397" s="338"/>
      <c r="BZ397" s="338"/>
      <c r="CA397" s="338"/>
      <c r="CB397" s="338"/>
      <c r="CC397" s="338"/>
      <c r="CD397" s="338"/>
      <c r="CE397" s="338"/>
      <c r="CF397" s="338"/>
      <c r="CG397" s="338"/>
      <c r="CH397" s="338"/>
      <c r="CI397" s="338"/>
      <c r="CJ397" s="338"/>
      <c r="CK397" s="338"/>
      <c r="CL397" s="338"/>
    </row>
    <row r="398" ht="14.2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40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  <c r="AI398" s="338"/>
      <c r="AJ398" s="338"/>
      <c r="AK398" s="338"/>
      <c r="AL398" s="338"/>
      <c r="AM398" s="338"/>
      <c r="AN398" s="338"/>
      <c r="AO398" s="338"/>
      <c r="AP398" s="338"/>
      <c r="AQ398" s="338"/>
      <c r="AR398" s="338"/>
      <c r="AS398" s="338"/>
      <c r="AT398" s="338"/>
      <c r="AU398" s="338"/>
      <c r="AV398" s="338"/>
      <c r="AW398" s="338"/>
      <c r="AX398" s="338"/>
      <c r="AY398" s="338"/>
      <c r="AZ398" s="338"/>
      <c r="BA398" s="338"/>
      <c r="BB398" s="338"/>
      <c r="BC398" s="338"/>
      <c r="BD398" s="338"/>
      <c r="BE398" s="338"/>
      <c r="BF398" s="338"/>
      <c r="BG398" s="338"/>
      <c r="BH398" s="338"/>
      <c r="BI398" s="338"/>
      <c r="BJ398" s="338"/>
      <c r="BK398" s="338"/>
      <c r="BL398" s="338"/>
      <c r="BM398" s="338"/>
      <c r="BN398" s="338"/>
      <c r="BO398" s="338"/>
      <c r="BP398" s="338"/>
      <c r="BQ398" s="338"/>
      <c r="BR398" s="338"/>
      <c r="BS398" s="338"/>
      <c r="BT398" s="338"/>
      <c r="BU398" s="338"/>
      <c r="BV398" s="338"/>
      <c r="BW398" s="338"/>
      <c r="BX398" s="338"/>
      <c r="BY398" s="338"/>
      <c r="BZ398" s="338"/>
      <c r="CA398" s="338"/>
      <c r="CB398" s="338"/>
      <c r="CC398" s="338"/>
      <c r="CD398" s="338"/>
      <c r="CE398" s="338"/>
      <c r="CF398" s="338"/>
      <c r="CG398" s="338"/>
      <c r="CH398" s="338"/>
      <c r="CI398" s="338"/>
      <c r="CJ398" s="338"/>
      <c r="CK398" s="338"/>
      <c r="CL398" s="338"/>
    </row>
    <row r="399" ht="14.2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40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  <c r="AI399" s="338"/>
      <c r="AJ399" s="338"/>
      <c r="AK399" s="338"/>
      <c r="AL399" s="338"/>
      <c r="AM399" s="338"/>
      <c r="AN399" s="338"/>
      <c r="AO399" s="338"/>
      <c r="AP399" s="338"/>
      <c r="AQ399" s="338"/>
      <c r="AR399" s="338"/>
      <c r="AS399" s="338"/>
      <c r="AT399" s="338"/>
      <c r="AU399" s="338"/>
      <c r="AV399" s="338"/>
      <c r="AW399" s="338"/>
      <c r="AX399" s="338"/>
      <c r="AY399" s="338"/>
      <c r="AZ399" s="338"/>
      <c r="BA399" s="338"/>
      <c r="BB399" s="338"/>
      <c r="BC399" s="338"/>
      <c r="BD399" s="338"/>
      <c r="BE399" s="338"/>
      <c r="BF399" s="338"/>
      <c r="BG399" s="338"/>
      <c r="BH399" s="338"/>
      <c r="BI399" s="338"/>
      <c r="BJ399" s="338"/>
      <c r="BK399" s="338"/>
      <c r="BL399" s="338"/>
      <c r="BM399" s="338"/>
      <c r="BN399" s="338"/>
      <c r="BO399" s="338"/>
      <c r="BP399" s="338"/>
      <c r="BQ399" s="338"/>
      <c r="BR399" s="338"/>
      <c r="BS399" s="338"/>
      <c r="BT399" s="338"/>
      <c r="BU399" s="338"/>
      <c r="BV399" s="338"/>
      <c r="BW399" s="338"/>
      <c r="BX399" s="338"/>
      <c r="BY399" s="338"/>
      <c r="BZ399" s="338"/>
      <c r="CA399" s="338"/>
      <c r="CB399" s="338"/>
      <c r="CC399" s="338"/>
      <c r="CD399" s="338"/>
      <c r="CE399" s="338"/>
      <c r="CF399" s="338"/>
      <c r="CG399" s="338"/>
      <c r="CH399" s="338"/>
      <c r="CI399" s="338"/>
      <c r="CJ399" s="338"/>
      <c r="CK399" s="338"/>
      <c r="CL399" s="338"/>
    </row>
    <row r="400" ht="14.2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40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  <c r="AI400" s="338"/>
      <c r="AJ400" s="338"/>
      <c r="AK400" s="338"/>
      <c r="AL400" s="338"/>
      <c r="AM400" s="338"/>
      <c r="AN400" s="338"/>
      <c r="AO400" s="338"/>
      <c r="AP400" s="338"/>
      <c r="AQ400" s="338"/>
      <c r="AR400" s="338"/>
      <c r="AS400" s="338"/>
      <c r="AT400" s="338"/>
      <c r="AU400" s="338"/>
      <c r="AV400" s="338"/>
      <c r="AW400" s="338"/>
      <c r="AX400" s="338"/>
      <c r="AY400" s="338"/>
      <c r="AZ400" s="338"/>
      <c r="BA400" s="338"/>
      <c r="BB400" s="338"/>
      <c r="BC400" s="338"/>
      <c r="BD400" s="338"/>
      <c r="BE400" s="338"/>
      <c r="BF400" s="338"/>
      <c r="BG400" s="338"/>
      <c r="BH400" s="338"/>
      <c r="BI400" s="338"/>
      <c r="BJ400" s="338"/>
      <c r="BK400" s="338"/>
      <c r="BL400" s="338"/>
      <c r="BM400" s="338"/>
      <c r="BN400" s="338"/>
      <c r="BO400" s="338"/>
      <c r="BP400" s="338"/>
      <c r="BQ400" s="338"/>
      <c r="BR400" s="338"/>
      <c r="BS400" s="338"/>
      <c r="BT400" s="338"/>
      <c r="BU400" s="338"/>
      <c r="BV400" s="338"/>
      <c r="BW400" s="338"/>
      <c r="BX400" s="338"/>
      <c r="BY400" s="338"/>
      <c r="BZ400" s="338"/>
      <c r="CA400" s="338"/>
      <c r="CB400" s="338"/>
      <c r="CC400" s="338"/>
      <c r="CD400" s="338"/>
      <c r="CE400" s="338"/>
      <c r="CF400" s="338"/>
      <c r="CG400" s="338"/>
      <c r="CH400" s="338"/>
      <c r="CI400" s="338"/>
      <c r="CJ400" s="338"/>
      <c r="CK400" s="338"/>
      <c r="CL400" s="338"/>
    </row>
    <row r="401" ht="14.2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40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  <c r="AI401" s="338"/>
      <c r="AJ401" s="338"/>
      <c r="AK401" s="338"/>
      <c r="AL401" s="338"/>
      <c r="AM401" s="338"/>
      <c r="AN401" s="338"/>
      <c r="AO401" s="338"/>
      <c r="AP401" s="338"/>
      <c r="AQ401" s="338"/>
      <c r="AR401" s="338"/>
      <c r="AS401" s="338"/>
      <c r="AT401" s="338"/>
      <c r="AU401" s="338"/>
      <c r="AV401" s="338"/>
      <c r="AW401" s="338"/>
      <c r="AX401" s="338"/>
      <c r="AY401" s="338"/>
      <c r="AZ401" s="338"/>
      <c r="BA401" s="338"/>
      <c r="BB401" s="338"/>
      <c r="BC401" s="338"/>
      <c r="BD401" s="338"/>
      <c r="BE401" s="338"/>
      <c r="BF401" s="338"/>
      <c r="BG401" s="338"/>
      <c r="BH401" s="338"/>
      <c r="BI401" s="338"/>
      <c r="BJ401" s="338"/>
      <c r="BK401" s="338"/>
      <c r="BL401" s="338"/>
      <c r="BM401" s="338"/>
      <c r="BN401" s="338"/>
      <c r="BO401" s="338"/>
      <c r="BP401" s="338"/>
      <c r="BQ401" s="338"/>
      <c r="BR401" s="338"/>
      <c r="BS401" s="338"/>
      <c r="BT401" s="338"/>
      <c r="BU401" s="338"/>
      <c r="BV401" s="338"/>
      <c r="BW401" s="338"/>
      <c r="BX401" s="338"/>
      <c r="BY401" s="338"/>
      <c r="BZ401" s="338"/>
      <c r="CA401" s="338"/>
      <c r="CB401" s="338"/>
      <c r="CC401" s="338"/>
      <c r="CD401" s="338"/>
      <c r="CE401" s="338"/>
      <c r="CF401" s="338"/>
      <c r="CG401" s="338"/>
      <c r="CH401" s="338"/>
      <c r="CI401" s="338"/>
      <c r="CJ401" s="338"/>
      <c r="CK401" s="338"/>
      <c r="CL401" s="338"/>
    </row>
    <row r="402" ht="14.2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40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  <c r="AI402" s="338"/>
      <c r="AJ402" s="338"/>
      <c r="AK402" s="338"/>
      <c r="AL402" s="338"/>
      <c r="AM402" s="338"/>
      <c r="AN402" s="338"/>
      <c r="AO402" s="338"/>
      <c r="AP402" s="338"/>
      <c r="AQ402" s="338"/>
      <c r="AR402" s="338"/>
      <c r="AS402" s="338"/>
      <c r="AT402" s="338"/>
      <c r="AU402" s="338"/>
      <c r="AV402" s="338"/>
      <c r="AW402" s="338"/>
      <c r="AX402" s="338"/>
      <c r="AY402" s="338"/>
      <c r="AZ402" s="338"/>
      <c r="BA402" s="338"/>
      <c r="BB402" s="338"/>
      <c r="BC402" s="338"/>
      <c r="BD402" s="338"/>
      <c r="BE402" s="338"/>
      <c r="BF402" s="338"/>
      <c r="BG402" s="338"/>
      <c r="BH402" s="338"/>
      <c r="BI402" s="338"/>
      <c r="BJ402" s="338"/>
      <c r="BK402" s="338"/>
      <c r="BL402" s="338"/>
      <c r="BM402" s="338"/>
      <c r="BN402" s="338"/>
      <c r="BO402" s="338"/>
      <c r="BP402" s="338"/>
      <c r="BQ402" s="338"/>
      <c r="BR402" s="338"/>
      <c r="BS402" s="338"/>
      <c r="BT402" s="338"/>
      <c r="BU402" s="338"/>
      <c r="BV402" s="338"/>
      <c r="BW402" s="338"/>
      <c r="BX402" s="338"/>
      <c r="BY402" s="338"/>
      <c r="BZ402" s="338"/>
      <c r="CA402" s="338"/>
      <c r="CB402" s="338"/>
      <c r="CC402" s="338"/>
      <c r="CD402" s="338"/>
      <c r="CE402" s="338"/>
      <c r="CF402" s="338"/>
      <c r="CG402" s="338"/>
      <c r="CH402" s="338"/>
      <c r="CI402" s="338"/>
      <c r="CJ402" s="338"/>
      <c r="CK402" s="338"/>
      <c r="CL402" s="338"/>
    </row>
    <row r="403" ht="14.2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40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  <c r="AI403" s="338"/>
      <c r="AJ403" s="338"/>
      <c r="AK403" s="338"/>
      <c r="AL403" s="338"/>
      <c r="AM403" s="338"/>
      <c r="AN403" s="338"/>
      <c r="AO403" s="338"/>
      <c r="AP403" s="338"/>
      <c r="AQ403" s="338"/>
      <c r="AR403" s="338"/>
      <c r="AS403" s="338"/>
      <c r="AT403" s="338"/>
      <c r="AU403" s="338"/>
      <c r="AV403" s="338"/>
      <c r="AW403" s="338"/>
      <c r="AX403" s="338"/>
      <c r="AY403" s="338"/>
      <c r="AZ403" s="338"/>
      <c r="BA403" s="338"/>
      <c r="BB403" s="338"/>
      <c r="BC403" s="338"/>
      <c r="BD403" s="338"/>
      <c r="BE403" s="338"/>
      <c r="BF403" s="338"/>
      <c r="BG403" s="338"/>
      <c r="BH403" s="338"/>
      <c r="BI403" s="338"/>
      <c r="BJ403" s="338"/>
      <c r="BK403" s="338"/>
      <c r="BL403" s="338"/>
      <c r="BM403" s="338"/>
      <c r="BN403" s="338"/>
      <c r="BO403" s="338"/>
      <c r="BP403" s="338"/>
      <c r="BQ403" s="338"/>
      <c r="BR403" s="338"/>
      <c r="BS403" s="338"/>
      <c r="BT403" s="338"/>
      <c r="BU403" s="338"/>
      <c r="BV403" s="338"/>
      <c r="BW403" s="338"/>
      <c r="BX403" s="338"/>
      <c r="BY403" s="338"/>
      <c r="BZ403" s="338"/>
      <c r="CA403" s="338"/>
      <c r="CB403" s="338"/>
      <c r="CC403" s="338"/>
      <c r="CD403" s="338"/>
      <c r="CE403" s="338"/>
      <c r="CF403" s="338"/>
      <c r="CG403" s="338"/>
      <c r="CH403" s="338"/>
      <c r="CI403" s="338"/>
      <c r="CJ403" s="338"/>
      <c r="CK403" s="338"/>
      <c r="CL403" s="338"/>
    </row>
    <row r="404" ht="14.2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40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  <c r="AI404" s="338"/>
      <c r="AJ404" s="338"/>
      <c r="AK404" s="338"/>
      <c r="AL404" s="338"/>
      <c r="AM404" s="338"/>
      <c r="AN404" s="338"/>
      <c r="AO404" s="338"/>
      <c r="AP404" s="338"/>
      <c r="AQ404" s="338"/>
      <c r="AR404" s="338"/>
      <c r="AS404" s="338"/>
      <c r="AT404" s="338"/>
      <c r="AU404" s="338"/>
      <c r="AV404" s="338"/>
      <c r="AW404" s="338"/>
      <c r="AX404" s="338"/>
      <c r="AY404" s="338"/>
      <c r="AZ404" s="338"/>
      <c r="BA404" s="338"/>
      <c r="BB404" s="338"/>
      <c r="BC404" s="338"/>
      <c r="BD404" s="338"/>
      <c r="BE404" s="338"/>
      <c r="BF404" s="338"/>
      <c r="BG404" s="338"/>
      <c r="BH404" s="338"/>
      <c r="BI404" s="338"/>
      <c r="BJ404" s="338"/>
      <c r="BK404" s="338"/>
      <c r="BL404" s="338"/>
      <c r="BM404" s="338"/>
      <c r="BN404" s="338"/>
      <c r="BO404" s="338"/>
      <c r="BP404" s="338"/>
      <c r="BQ404" s="338"/>
      <c r="BR404" s="338"/>
      <c r="BS404" s="338"/>
      <c r="BT404" s="338"/>
      <c r="BU404" s="338"/>
      <c r="BV404" s="338"/>
      <c r="BW404" s="338"/>
      <c r="BX404" s="338"/>
      <c r="BY404" s="338"/>
      <c r="BZ404" s="338"/>
      <c r="CA404" s="338"/>
      <c r="CB404" s="338"/>
      <c r="CC404" s="338"/>
      <c r="CD404" s="338"/>
      <c r="CE404" s="338"/>
      <c r="CF404" s="338"/>
      <c r="CG404" s="338"/>
      <c r="CH404" s="338"/>
      <c r="CI404" s="338"/>
      <c r="CJ404" s="338"/>
      <c r="CK404" s="338"/>
      <c r="CL404" s="338"/>
    </row>
    <row r="405" ht="14.2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40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  <c r="AI405" s="338"/>
      <c r="AJ405" s="338"/>
      <c r="AK405" s="338"/>
      <c r="AL405" s="338"/>
      <c r="AM405" s="338"/>
      <c r="AN405" s="338"/>
      <c r="AO405" s="338"/>
      <c r="AP405" s="338"/>
      <c r="AQ405" s="338"/>
      <c r="AR405" s="338"/>
      <c r="AS405" s="338"/>
      <c r="AT405" s="338"/>
      <c r="AU405" s="338"/>
      <c r="AV405" s="338"/>
      <c r="AW405" s="338"/>
      <c r="AX405" s="338"/>
      <c r="AY405" s="338"/>
      <c r="AZ405" s="338"/>
      <c r="BA405" s="338"/>
      <c r="BB405" s="338"/>
      <c r="BC405" s="338"/>
      <c r="BD405" s="338"/>
      <c r="BE405" s="338"/>
      <c r="BF405" s="338"/>
      <c r="BG405" s="338"/>
      <c r="BH405" s="338"/>
      <c r="BI405" s="338"/>
      <c r="BJ405" s="338"/>
      <c r="BK405" s="338"/>
      <c r="BL405" s="338"/>
      <c r="BM405" s="338"/>
      <c r="BN405" s="338"/>
      <c r="BO405" s="338"/>
      <c r="BP405" s="338"/>
      <c r="BQ405" s="338"/>
      <c r="BR405" s="338"/>
      <c r="BS405" s="338"/>
      <c r="BT405" s="338"/>
      <c r="BU405" s="338"/>
      <c r="BV405" s="338"/>
      <c r="BW405" s="338"/>
      <c r="BX405" s="338"/>
      <c r="BY405" s="338"/>
      <c r="BZ405" s="338"/>
      <c r="CA405" s="338"/>
      <c r="CB405" s="338"/>
      <c r="CC405" s="338"/>
      <c r="CD405" s="338"/>
      <c r="CE405" s="338"/>
      <c r="CF405" s="338"/>
      <c r="CG405" s="338"/>
      <c r="CH405" s="338"/>
      <c r="CI405" s="338"/>
      <c r="CJ405" s="338"/>
      <c r="CK405" s="338"/>
      <c r="CL405" s="338"/>
    </row>
    <row r="406" ht="14.2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40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  <c r="AI406" s="338"/>
      <c r="AJ406" s="338"/>
      <c r="AK406" s="338"/>
      <c r="AL406" s="338"/>
      <c r="AM406" s="338"/>
      <c r="AN406" s="338"/>
      <c r="AO406" s="338"/>
      <c r="AP406" s="338"/>
      <c r="AQ406" s="338"/>
      <c r="AR406" s="338"/>
      <c r="AS406" s="338"/>
      <c r="AT406" s="338"/>
      <c r="AU406" s="338"/>
      <c r="AV406" s="338"/>
      <c r="AW406" s="338"/>
      <c r="AX406" s="338"/>
      <c r="AY406" s="338"/>
      <c r="AZ406" s="338"/>
      <c r="BA406" s="338"/>
      <c r="BB406" s="338"/>
      <c r="BC406" s="338"/>
      <c r="BD406" s="338"/>
      <c r="BE406" s="338"/>
      <c r="BF406" s="338"/>
      <c r="BG406" s="338"/>
      <c r="BH406" s="338"/>
      <c r="BI406" s="338"/>
      <c r="BJ406" s="338"/>
      <c r="BK406" s="338"/>
      <c r="BL406" s="338"/>
      <c r="BM406" s="338"/>
      <c r="BN406" s="338"/>
      <c r="BO406" s="338"/>
      <c r="BP406" s="338"/>
      <c r="BQ406" s="338"/>
      <c r="BR406" s="338"/>
      <c r="BS406" s="338"/>
      <c r="BT406" s="338"/>
      <c r="BU406" s="338"/>
      <c r="BV406" s="338"/>
      <c r="BW406" s="338"/>
      <c r="BX406" s="338"/>
      <c r="BY406" s="338"/>
      <c r="BZ406" s="338"/>
      <c r="CA406" s="338"/>
      <c r="CB406" s="338"/>
      <c r="CC406" s="338"/>
      <c r="CD406" s="338"/>
      <c r="CE406" s="338"/>
      <c r="CF406" s="338"/>
      <c r="CG406" s="338"/>
      <c r="CH406" s="338"/>
      <c r="CI406" s="338"/>
      <c r="CJ406" s="338"/>
      <c r="CK406" s="338"/>
      <c r="CL406" s="338"/>
    </row>
    <row r="407" ht="14.2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40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  <c r="AI407" s="338"/>
      <c r="AJ407" s="338"/>
      <c r="AK407" s="338"/>
      <c r="AL407" s="338"/>
      <c r="AM407" s="338"/>
      <c r="AN407" s="338"/>
      <c r="AO407" s="338"/>
      <c r="AP407" s="338"/>
      <c r="AQ407" s="338"/>
      <c r="AR407" s="338"/>
      <c r="AS407" s="338"/>
      <c r="AT407" s="338"/>
      <c r="AU407" s="338"/>
      <c r="AV407" s="338"/>
      <c r="AW407" s="338"/>
      <c r="AX407" s="338"/>
      <c r="AY407" s="338"/>
      <c r="AZ407" s="338"/>
      <c r="BA407" s="338"/>
      <c r="BB407" s="338"/>
      <c r="BC407" s="338"/>
      <c r="BD407" s="338"/>
      <c r="BE407" s="338"/>
      <c r="BF407" s="338"/>
      <c r="BG407" s="338"/>
      <c r="BH407" s="338"/>
      <c r="BI407" s="338"/>
      <c r="BJ407" s="338"/>
      <c r="BK407" s="338"/>
      <c r="BL407" s="338"/>
      <c r="BM407" s="338"/>
      <c r="BN407" s="338"/>
      <c r="BO407" s="338"/>
      <c r="BP407" s="338"/>
      <c r="BQ407" s="338"/>
      <c r="BR407" s="338"/>
      <c r="BS407" s="338"/>
      <c r="BT407" s="338"/>
      <c r="BU407" s="338"/>
      <c r="BV407" s="338"/>
      <c r="BW407" s="338"/>
      <c r="BX407" s="338"/>
      <c r="BY407" s="338"/>
      <c r="BZ407" s="338"/>
      <c r="CA407" s="338"/>
      <c r="CB407" s="338"/>
      <c r="CC407" s="338"/>
      <c r="CD407" s="338"/>
      <c r="CE407" s="338"/>
      <c r="CF407" s="338"/>
      <c r="CG407" s="338"/>
      <c r="CH407" s="338"/>
      <c r="CI407" s="338"/>
      <c r="CJ407" s="338"/>
      <c r="CK407" s="338"/>
      <c r="CL407" s="338"/>
    </row>
    <row r="408" ht="14.2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40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  <c r="AI408" s="338"/>
      <c r="AJ408" s="338"/>
      <c r="AK408" s="338"/>
      <c r="AL408" s="338"/>
      <c r="AM408" s="338"/>
      <c r="AN408" s="338"/>
      <c r="AO408" s="338"/>
      <c r="AP408" s="338"/>
      <c r="AQ408" s="338"/>
      <c r="AR408" s="338"/>
      <c r="AS408" s="338"/>
      <c r="AT408" s="338"/>
      <c r="AU408" s="338"/>
      <c r="AV408" s="338"/>
      <c r="AW408" s="338"/>
      <c r="AX408" s="338"/>
      <c r="AY408" s="338"/>
      <c r="AZ408" s="338"/>
      <c r="BA408" s="338"/>
      <c r="BB408" s="338"/>
      <c r="BC408" s="338"/>
      <c r="BD408" s="338"/>
      <c r="BE408" s="338"/>
      <c r="BF408" s="338"/>
      <c r="BG408" s="338"/>
      <c r="BH408" s="338"/>
      <c r="BI408" s="338"/>
      <c r="BJ408" s="338"/>
      <c r="BK408" s="338"/>
      <c r="BL408" s="338"/>
      <c r="BM408" s="338"/>
      <c r="BN408" s="338"/>
      <c r="BO408" s="338"/>
      <c r="BP408" s="338"/>
      <c r="BQ408" s="338"/>
      <c r="BR408" s="338"/>
      <c r="BS408" s="338"/>
      <c r="BT408" s="338"/>
      <c r="BU408" s="338"/>
      <c r="BV408" s="338"/>
      <c r="BW408" s="338"/>
      <c r="BX408" s="338"/>
      <c r="BY408" s="338"/>
      <c r="BZ408" s="338"/>
      <c r="CA408" s="338"/>
      <c r="CB408" s="338"/>
      <c r="CC408" s="338"/>
      <c r="CD408" s="338"/>
      <c r="CE408" s="338"/>
      <c r="CF408" s="338"/>
      <c r="CG408" s="338"/>
      <c r="CH408" s="338"/>
      <c r="CI408" s="338"/>
      <c r="CJ408" s="338"/>
      <c r="CK408" s="338"/>
      <c r="CL408" s="338"/>
    </row>
    <row r="409" ht="14.2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40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  <c r="AI409" s="338"/>
      <c r="AJ409" s="338"/>
      <c r="AK409" s="338"/>
      <c r="AL409" s="338"/>
      <c r="AM409" s="338"/>
      <c r="AN409" s="338"/>
      <c r="AO409" s="338"/>
      <c r="AP409" s="338"/>
      <c r="AQ409" s="338"/>
      <c r="AR409" s="338"/>
      <c r="AS409" s="338"/>
      <c r="AT409" s="338"/>
      <c r="AU409" s="338"/>
      <c r="AV409" s="338"/>
      <c r="AW409" s="338"/>
      <c r="AX409" s="338"/>
      <c r="AY409" s="338"/>
      <c r="AZ409" s="338"/>
      <c r="BA409" s="338"/>
      <c r="BB409" s="338"/>
      <c r="BC409" s="338"/>
      <c r="BD409" s="338"/>
      <c r="BE409" s="338"/>
      <c r="BF409" s="338"/>
      <c r="BG409" s="338"/>
      <c r="BH409" s="338"/>
      <c r="BI409" s="338"/>
      <c r="BJ409" s="338"/>
      <c r="BK409" s="338"/>
      <c r="BL409" s="338"/>
      <c r="BM409" s="338"/>
      <c r="BN409" s="338"/>
      <c r="BO409" s="338"/>
      <c r="BP409" s="338"/>
      <c r="BQ409" s="338"/>
      <c r="BR409" s="338"/>
      <c r="BS409" s="338"/>
      <c r="BT409" s="338"/>
      <c r="BU409" s="338"/>
      <c r="BV409" s="338"/>
      <c r="BW409" s="338"/>
      <c r="BX409" s="338"/>
      <c r="BY409" s="338"/>
      <c r="BZ409" s="338"/>
      <c r="CA409" s="338"/>
      <c r="CB409" s="338"/>
      <c r="CC409" s="338"/>
      <c r="CD409" s="338"/>
      <c r="CE409" s="338"/>
      <c r="CF409" s="338"/>
      <c r="CG409" s="338"/>
      <c r="CH409" s="338"/>
      <c r="CI409" s="338"/>
      <c r="CJ409" s="338"/>
      <c r="CK409" s="338"/>
      <c r="CL409" s="338"/>
    </row>
    <row r="410" ht="14.2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40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  <c r="AI410" s="338"/>
      <c r="AJ410" s="338"/>
      <c r="AK410" s="338"/>
      <c r="AL410" s="338"/>
      <c r="AM410" s="338"/>
      <c r="AN410" s="338"/>
      <c r="AO410" s="338"/>
      <c r="AP410" s="338"/>
      <c r="AQ410" s="338"/>
      <c r="AR410" s="338"/>
      <c r="AS410" s="338"/>
      <c r="AT410" s="338"/>
      <c r="AU410" s="338"/>
      <c r="AV410" s="338"/>
      <c r="AW410" s="338"/>
      <c r="AX410" s="338"/>
      <c r="AY410" s="338"/>
      <c r="AZ410" s="338"/>
      <c r="BA410" s="338"/>
      <c r="BB410" s="338"/>
      <c r="BC410" s="338"/>
      <c r="BD410" s="338"/>
      <c r="BE410" s="338"/>
      <c r="BF410" s="338"/>
      <c r="BG410" s="338"/>
      <c r="BH410" s="338"/>
      <c r="BI410" s="338"/>
      <c r="BJ410" s="338"/>
      <c r="BK410" s="338"/>
      <c r="BL410" s="338"/>
      <c r="BM410" s="338"/>
      <c r="BN410" s="338"/>
      <c r="BO410" s="338"/>
      <c r="BP410" s="338"/>
      <c r="BQ410" s="338"/>
      <c r="BR410" s="338"/>
      <c r="BS410" s="338"/>
      <c r="BT410" s="338"/>
      <c r="BU410" s="338"/>
      <c r="BV410" s="338"/>
      <c r="BW410" s="338"/>
      <c r="BX410" s="338"/>
      <c r="BY410" s="338"/>
      <c r="BZ410" s="338"/>
      <c r="CA410" s="338"/>
      <c r="CB410" s="338"/>
      <c r="CC410" s="338"/>
      <c r="CD410" s="338"/>
      <c r="CE410" s="338"/>
      <c r="CF410" s="338"/>
      <c r="CG410" s="338"/>
      <c r="CH410" s="338"/>
      <c r="CI410" s="338"/>
      <c r="CJ410" s="338"/>
      <c r="CK410" s="338"/>
      <c r="CL410" s="338"/>
    </row>
    <row r="411" ht="14.2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40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  <c r="AI411" s="338"/>
      <c r="AJ411" s="338"/>
      <c r="AK411" s="338"/>
      <c r="AL411" s="338"/>
      <c r="AM411" s="338"/>
      <c r="AN411" s="338"/>
      <c r="AO411" s="338"/>
      <c r="AP411" s="338"/>
      <c r="AQ411" s="338"/>
      <c r="AR411" s="338"/>
      <c r="AS411" s="338"/>
      <c r="AT411" s="338"/>
      <c r="AU411" s="338"/>
      <c r="AV411" s="338"/>
      <c r="AW411" s="338"/>
      <c r="AX411" s="338"/>
      <c r="AY411" s="338"/>
      <c r="AZ411" s="338"/>
      <c r="BA411" s="338"/>
      <c r="BB411" s="338"/>
      <c r="BC411" s="338"/>
      <c r="BD411" s="338"/>
      <c r="BE411" s="338"/>
      <c r="BF411" s="338"/>
      <c r="BG411" s="338"/>
      <c r="BH411" s="338"/>
      <c r="BI411" s="338"/>
      <c r="BJ411" s="338"/>
      <c r="BK411" s="338"/>
      <c r="BL411" s="338"/>
      <c r="BM411" s="338"/>
      <c r="BN411" s="338"/>
      <c r="BO411" s="338"/>
      <c r="BP411" s="338"/>
      <c r="BQ411" s="338"/>
      <c r="BR411" s="338"/>
      <c r="BS411" s="338"/>
      <c r="BT411" s="338"/>
      <c r="BU411" s="338"/>
      <c r="BV411" s="338"/>
      <c r="BW411" s="338"/>
      <c r="BX411" s="338"/>
      <c r="BY411" s="338"/>
      <c r="BZ411" s="338"/>
      <c r="CA411" s="338"/>
      <c r="CB411" s="338"/>
      <c r="CC411" s="338"/>
      <c r="CD411" s="338"/>
      <c r="CE411" s="338"/>
      <c r="CF411" s="338"/>
      <c r="CG411" s="338"/>
      <c r="CH411" s="338"/>
      <c r="CI411" s="338"/>
      <c r="CJ411" s="338"/>
      <c r="CK411" s="338"/>
      <c r="CL411" s="338"/>
    </row>
    <row r="412" ht="14.2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40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  <c r="AI412" s="338"/>
      <c r="AJ412" s="338"/>
      <c r="AK412" s="338"/>
      <c r="AL412" s="338"/>
      <c r="AM412" s="338"/>
      <c r="AN412" s="338"/>
      <c r="AO412" s="338"/>
      <c r="AP412" s="338"/>
      <c r="AQ412" s="338"/>
      <c r="AR412" s="338"/>
      <c r="AS412" s="338"/>
      <c r="AT412" s="338"/>
      <c r="AU412" s="338"/>
      <c r="AV412" s="338"/>
      <c r="AW412" s="338"/>
      <c r="AX412" s="338"/>
      <c r="AY412" s="338"/>
      <c r="AZ412" s="338"/>
      <c r="BA412" s="338"/>
      <c r="BB412" s="338"/>
      <c r="BC412" s="338"/>
      <c r="BD412" s="338"/>
      <c r="BE412" s="338"/>
      <c r="BF412" s="338"/>
      <c r="BG412" s="338"/>
      <c r="BH412" s="338"/>
      <c r="BI412" s="338"/>
      <c r="BJ412" s="338"/>
      <c r="BK412" s="338"/>
      <c r="BL412" s="338"/>
      <c r="BM412" s="338"/>
      <c r="BN412" s="338"/>
      <c r="BO412" s="338"/>
      <c r="BP412" s="338"/>
      <c r="BQ412" s="338"/>
      <c r="BR412" s="338"/>
      <c r="BS412" s="338"/>
      <c r="BT412" s="338"/>
      <c r="BU412" s="338"/>
      <c r="BV412" s="338"/>
      <c r="BW412" s="338"/>
      <c r="BX412" s="338"/>
      <c r="BY412" s="338"/>
      <c r="BZ412" s="338"/>
      <c r="CA412" s="338"/>
      <c r="CB412" s="338"/>
      <c r="CC412" s="338"/>
      <c r="CD412" s="338"/>
      <c r="CE412" s="338"/>
      <c r="CF412" s="338"/>
      <c r="CG412" s="338"/>
      <c r="CH412" s="338"/>
      <c r="CI412" s="338"/>
      <c r="CJ412" s="338"/>
      <c r="CK412" s="338"/>
      <c r="CL412" s="338"/>
    </row>
    <row r="413" ht="14.2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40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  <c r="AI413" s="338"/>
      <c r="AJ413" s="338"/>
      <c r="AK413" s="338"/>
      <c r="AL413" s="338"/>
      <c r="AM413" s="338"/>
      <c r="AN413" s="338"/>
      <c r="AO413" s="338"/>
      <c r="AP413" s="338"/>
      <c r="AQ413" s="338"/>
      <c r="AR413" s="338"/>
      <c r="AS413" s="338"/>
      <c r="AT413" s="338"/>
      <c r="AU413" s="338"/>
      <c r="AV413" s="338"/>
      <c r="AW413" s="338"/>
      <c r="AX413" s="338"/>
      <c r="AY413" s="338"/>
      <c r="AZ413" s="338"/>
      <c r="BA413" s="338"/>
      <c r="BB413" s="338"/>
      <c r="BC413" s="338"/>
      <c r="BD413" s="338"/>
      <c r="BE413" s="338"/>
      <c r="BF413" s="338"/>
      <c r="BG413" s="338"/>
      <c r="BH413" s="338"/>
      <c r="BI413" s="338"/>
      <c r="BJ413" s="338"/>
      <c r="BK413" s="338"/>
      <c r="BL413" s="338"/>
      <c r="BM413" s="338"/>
      <c r="BN413" s="338"/>
      <c r="BO413" s="338"/>
      <c r="BP413" s="338"/>
      <c r="BQ413" s="338"/>
      <c r="BR413" s="338"/>
      <c r="BS413" s="338"/>
      <c r="BT413" s="338"/>
      <c r="BU413" s="338"/>
      <c r="BV413" s="338"/>
      <c r="BW413" s="338"/>
      <c r="BX413" s="338"/>
      <c r="BY413" s="338"/>
      <c r="BZ413" s="338"/>
      <c r="CA413" s="338"/>
      <c r="CB413" s="338"/>
      <c r="CC413" s="338"/>
      <c r="CD413" s="338"/>
      <c r="CE413" s="338"/>
      <c r="CF413" s="338"/>
      <c r="CG413" s="338"/>
      <c r="CH413" s="338"/>
      <c r="CI413" s="338"/>
      <c r="CJ413" s="338"/>
      <c r="CK413" s="338"/>
      <c r="CL413" s="338"/>
    </row>
    <row r="414" ht="14.2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40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  <c r="AI414" s="338"/>
      <c r="AJ414" s="338"/>
      <c r="AK414" s="338"/>
      <c r="AL414" s="338"/>
      <c r="AM414" s="338"/>
      <c r="AN414" s="338"/>
      <c r="AO414" s="338"/>
      <c r="AP414" s="338"/>
      <c r="AQ414" s="338"/>
      <c r="AR414" s="338"/>
      <c r="AS414" s="338"/>
      <c r="AT414" s="338"/>
      <c r="AU414" s="338"/>
      <c r="AV414" s="338"/>
      <c r="AW414" s="338"/>
      <c r="AX414" s="338"/>
      <c r="AY414" s="338"/>
      <c r="AZ414" s="338"/>
      <c r="BA414" s="338"/>
      <c r="BB414" s="338"/>
      <c r="BC414" s="338"/>
      <c r="BD414" s="338"/>
      <c r="BE414" s="338"/>
      <c r="BF414" s="338"/>
      <c r="BG414" s="338"/>
      <c r="BH414" s="338"/>
      <c r="BI414" s="338"/>
      <c r="BJ414" s="338"/>
      <c r="BK414" s="338"/>
      <c r="BL414" s="338"/>
      <c r="BM414" s="338"/>
      <c r="BN414" s="338"/>
      <c r="BO414" s="338"/>
      <c r="BP414" s="338"/>
      <c r="BQ414" s="338"/>
      <c r="BR414" s="338"/>
      <c r="BS414" s="338"/>
      <c r="BT414" s="338"/>
      <c r="BU414" s="338"/>
      <c r="BV414" s="338"/>
      <c r="BW414" s="338"/>
      <c r="BX414" s="338"/>
      <c r="BY414" s="338"/>
      <c r="BZ414" s="338"/>
      <c r="CA414" s="338"/>
      <c r="CB414" s="338"/>
      <c r="CC414" s="338"/>
      <c r="CD414" s="338"/>
      <c r="CE414" s="338"/>
      <c r="CF414" s="338"/>
      <c r="CG414" s="338"/>
      <c r="CH414" s="338"/>
      <c r="CI414" s="338"/>
      <c r="CJ414" s="338"/>
      <c r="CK414" s="338"/>
      <c r="CL414" s="338"/>
    </row>
    <row r="415" ht="14.2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40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  <c r="AI415" s="338"/>
      <c r="AJ415" s="338"/>
      <c r="AK415" s="338"/>
      <c r="AL415" s="338"/>
      <c r="AM415" s="338"/>
      <c r="AN415" s="338"/>
      <c r="AO415" s="338"/>
      <c r="AP415" s="338"/>
      <c r="AQ415" s="338"/>
      <c r="AR415" s="338"/>
      <c r="AS415" s="338"/>
      <c r="AT415" s="338"/>
      <c r="AU415" s="338"/>
      <c r="AV415" s="338"/>
      <c r="AW415" s="338"/>
      <c r="AX415" s="338"/>
      <c r="AY415" s="338"/>
      <c r="AZ415" s="338"/>
      <c r="BA415" s="338"/>
      <c r="BB415" s="338"/>
      <c r="BC415" s="338"/>
      <c r="BD415" s="338"/>
      <c r="BE415" s="338"/>
      <c r="BF415" s="338"/>
      <c r="BG415" s="338"/>
      <c r="BH415" s="338"/>
      <c r="BI415" s="338"/>
      <c r="BJ415" s="338"/>
      <c r="BK415" s="338"/>
      <c r="BL415" s="338"/>
      <c r="BM415" s="338"/>
      <c r="BN415" s="338"/>
      <c r="BO415" s="338"/>
      <c r="BP415" s="338"/>
      <c r="BQ415" s="338"/>
      <c r="BR415" s="338"/>
      <c r="BS415" s="338"/>
      <c r="BT415" s="338"/>
      <c r="BU415" s="338"/>
      <c r="BV415" s="338"/>
      <c r="BW415" s="338"/>
      <c r="BX415" s="338"/>
      <c r="BY415" s="338"/>
      <c r="BZ415" s="338"/>
      <c r="CA415" s="338"/>
      <c r="CB415" s="338"/>
      <c r="CC415" s="338"/>
      <c r="CD415" s="338"/>
      <c r="CE415" s="338"/>
      <c r="CF415" s="338"/>
      <c r="CG415" s="338"/>
      <c r="CH415" s="338"/>
      <c r="CI415" s="338"/>
      <c r="CJ415" s="338"/>
      <c r="CK415" s="338"/>
      <c r="CL415" s="338"/>
    </row>
    <row r="416" ht="14.2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40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  <c r="AI416" s="338"/>
      <c r="AJ416" s="338"/>
      <c r="AK416" s="338"/>
      <c r="AL416" s="338"/>
      <c r="AM416" s="338"/>
      <c r="AN416" s="338"/>
      <c r="AO416" s="338"/>
      <c r="AP416" s="338"/>
      <c r="AQ416" s="338"/>
      <c r="AR416" s="338"/>
      <c r="AS416" s="338"/>
      <c r="AT416" s="338"/>
      <c r="AU416" s="338"/>
      <c r="AV416" s="338"/>
      <c r="AW416" s="338"/>
      <c r="AX416" s="338"/>
      <c r="AY416" s="338"/>
      <c r="AZ416" s="338"/>
      <c r="BA416" s="338"/>
      <c r="BB416" s="338"/>
      <c r="BC416" s="338"/>
      <c r="BD416" s="338"/>
      <c r="BE416" s="338"/>
      <c r="BF416" s="338"/>
      <c r="BG416" s="338"/>
      <c r="BH416" s="338"/>
      <c r="BI416" s="338"/>
      <c r="BJ416" s="338"/>
      <c r="BK416" s="338"/>
      <c r="BL416" s="338"/>
      <c r="BM416" s="338"/>
      <c r="BN416" s="338"/>
      <c r="BO416" s="338"/>
      <c r="BP416" s="338"/>
      <c r="BQ416" s="338"/>
      <c r="BR416" s="338"/>
      <c r="BS416" s="338"/>
      <c r="BT416" s="338"/>
      <c r="BU416" s="338"/>
      <c r="BV416" s="338"/>
      <c r="BW416" s="338"/>
      <c r="BX416" s="338"/>
      <c r="BY416" s="338"/>
      <c r="BZ416" s="338"/>
      <c r="CA416" s="338"/>
      <c r="CB416" s="338"/>
      <c r="CC416" s="338"/>
      <c r="CD416" s="338"/>
      <c r="CE416" s="338"/>
      <c r="CF416" s="338"/>
      <c r="CG416" s="338"/>
      <c r="CH416" s="338"/>
      <c r="CI416" s="338"/>
      <c r="CJ416" s="338"/>
      <c r="CK416" s="338"/>
      <c r="CL416" s="338"/>
    </row>
    <row r="417" ht="14.2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40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  <c r="AI417" s="338"/>
      <c r="AJ417" s="338"/>
      <c r="AK417" s="338"/>
      <c r="AL417" s="338"/>
      <c r="AM417" s="338"/>
      <c r="AN417" s="338"/>
      <c r="AO417" s="338"/>
      <c r="AP417" s="338"/>
      <c r="AQ417" s="338"/>
      <c r="AR417" s="338"/>
      <c r="AS417" s="338"/>
      <c r="AT417" s="338"/>
      <c r="AU417" s="338"/>
      <c r="AV417" s="338"/>
      <c r="AW417" s="338"/>
      <c r="AX417" s="338"/>
      <c r="AY417" s="338"/>
      <c r="AZ417" s="338"/>
      <c r="BA417" s="338"/>
      <c r="BB417" s="338"/>
      <c r="BC417" s="338"/>
      <c r="BD417" s="338"/>
      <c r="BE417" s="338"/>
      <c r="BF417" s="338"/>
      <c r="BG417" s="338"/>
      <c r="BH417" s="338"/>
      <c r="BI417" s="338"/>
      <c r="BJ417" s="338"/>
      <c r="BK417" s="338"/>
      <c r="BL417" s="338"/>
      <c r="BM417" s="338"/>
      <c r="BN417" s="338"/>
      <c r="BO417" s="338"/>
      <c r="BP417" s="338"/>
      <c r="BQ417" s="338"/>
      <c r="BR417" s="338"/>
      <c r="BS417" s="338"/>
      <c r="BT417" s="338"/>
      <c r="BU417" s="338"/>
      <c r="BV417" s="338"/>
      <c r="BW417" s="338"/>
      <c r="BX417" s="338"/>
      <c r="BY417" s="338"/>
      <c r="BZ417" s="338"/>
      <c r="CA417" s="338"/>
      <c r="CB417" s="338"/>
      <c r="CC417" s="338"/>
      <c r="CD417" s="338"/>
      <c r="CE417" s="338"/>
      <c r="CF417" s="338"/>
      <c r="CG417" s="338"/>
      <c r="CH417" s="338"/>
      <c r="CI417" s="338"/>
      <c r="CJ417" s="338"/>
      <c r="CK417" s="338"/>
      <c r="CL417" s="338"/>
    </row>
    <row r="418" ht="14.2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40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  <c r="AI418" s="338"/>
      <c r="AJ418" s="338"/>
      <c r="AK418" s="338"/>
      <c r="AL418" s="338"/>
      <c r="AM418" s="338"/>
      <c r="AN418" s="338"/>
      <c r="AO418" s="338"/>
      <c r="AP418" s="338"/>
      <c r="AQ418" s="338"/>
      <c r="AR418" s="338"/>
      <c r="AS418" s="338"/>
      <c r="AT418" s="338"/>
      <c r="AU418" s="338"/>
      <c r="AV418" s="338"/>
      <c r="AW418" s="338"/>
      <c r="AX418" s="338"/>
      <c r="AY418" s="338"/>
      <c r="AZ418" s="338"/>
      <c r="BA418" s="338"/>
      <c r="BB418" s="338"/>
      <c r="BC418" s="338"/>
      <c r="BD418" s="338"/>
      <c r="BE418" s="338"/>
      <c r="BF418" s="338"/>
      <c r="BG418" s="338"/>
      <c r="BH418" s="338"/>
      <c r="BI418" s="338"/>
      <c r="BJ418" s="338"/>
      <c r="BK418" s="338"/>
      <c r="BL418" s="338"/>
      <c r="BM418" s="338"/>
      <c r="BN418" s="338"/>
      <c r="BO418" s="338"/>
      <c r="BP418" s="338"/>
      <c r="BQ418" s="338"/>
      <c r="BR418" s="338"/>
      <c r="BS418" s="338"/>
      <c r="BT418" s="338"/>
      <c r="BU418" s="338"/>
      <c r="BV418" s="338"/>
      <c r="BW418" s="338"/>
      <c r="BX418" s="338"/>
      <c r="BY418" s="338"/>
      <c r="BZ418" s="338"/>
      <c r="CA418" s="338"/>
      <c r="CB418" s="338"/>
      <c r="CC418" s="338"/>
      <c r="CD418" s="338"/>
      <c r="CE418" s="338"/>
      <c r="CF418" s="338"/>
      <c r="CG418" s="338"/>
      <c r="CH418" s="338"/>
      <c r="CI418" s="338"/>
      <c r="CJ418" s="338"/>
      <c r="CK418" s="338"/>
      <c r="CL418" s="338"/>
    </row>
    <row r="419" ht="14.2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40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  <c r="AI419" s="338"/>
      <c r="AJ419" s="338"/>
      <c r="AK419" s="338"/>
      <c r="AL419" s="338"/>
      <c r="AM419" s="338"/>
      <c r="AN419" s="338"/>
      <c r="AO419" s="338"/>
      <c r="AP419" s="338"/>
      <c r="AQ419" s="338"/>
      <c r="AR419" s="338"/>
      <c r="AS419" s="338"/>
      <c r="AT419" s="338"/>
      <c r="AU419" s="338"/>
      <c r="AV419" s="338"/>
      <c r="AW419" s="338"/>
      <c r="AX419" s="338"/>
      <c r="AY419" s="338"/>
      <c r="AZ419" s="338"/>
      <c r="BA419" s="338"/>
      <c r="BB419" s="338"/>
      <c r="BC419" s="338"/>
      <c r="BD419" s="338"/>
      <c r="BE419" s="338"/>
      <c r="BF419" s="338"/>
      <c r="BG419" s="338"/>
      <c r="BH419" s="338"/>
      <c r="BI419" s="338"/>
      <c r="BJ419" s="338"/>
      <c r="BK419" s="338"/>
      <c r="BL419" s="338"/>
      <c r="BM419" s="338"/>
      <c r="BN419" s="338"/>
      <c r="BO419" s="338"/>
      <c r="BP419" s="338"/>
      <c r="BQ419" s="338"/>
      <c r="BR419" s="338"/>
      <c r="BS419" s="338"/>
      <c r="BT419" s="338"/>
      <c r="BU419" s="338"/>
      <c r="BV419" s="338"/>
      <c r="BW419" s="338"/>
      <c r="BX419" s="338"/>
      <c r="BY419" s="338"/>
      <c r="BZ419" s="338"/>
      <c r="CA419" s="338"/>
      <c r="CB419" s="338"/>
      <c r="CC419" s="338"/>
      <c r="CD419" s="338"/>
      <c r="CE419" s="338"/>
      <c r="CF419" s="338"/>
      <c r="CG419" s="338"/>
      <c r="CH419" s="338"/>
      <c r="CI419" s="338"/>
      <c r="CJ419" s="338"/>
      <c r="CK419" s="338"/>
      <c r="CL419" s="338"/>
    </row>
    <row r="420" ht="14.2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40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  <c r="AI420" s="338"/>
      <c r="AJ420" s="338"/>
      <c r="AK420" s="338"/>
      <c r="AL420" s="338"/>
      <c r="AM420" s="338"/>
      <c r="AN420" s="338"/>
      <c r="AO420" s="338"/>
      <c r="AP420" s="338"/>
      <c r="AQ420" s="338"/>
      <c r="AR420" s="338"/>
      <c r="AS420" s="338"/>
      <c r="AT420" s="338"/>
      <c r="AU420" s="338"/>
      <c r="AV420" s="338"/>
      <c r="AW420" s="338"/>
      <c r="AX420" s="338"/>
      <c r="AY420" s="338"/>
      <c r="AZ420" s="338"/>
      <c r="BA420" s="338"/>
      <c r="BB420" s="338"/>
      <c r="BC420" s="338"/>
      <c r="BD420" s="338"/>
      <c r="BE420" s="338"/>
      <c r="BF420" s="338"/>
      <c r="BG420" s="338"/>
      <c r="BH420" s="338"/>
      <c r="BI420" s="338"/>
      <c r="BJ420" s="338"/>
      <c r="BK420" s="338"/>
      <c r="BL420" s="338"/>
      <c r="BM420" s="338"/>
      <c r="BN420" s="338"/>
      <c r="BO420" s="338"/>
      <c r="BP420" s="338"/>
      <c r="BQ420" s="338"/>
      <c r="BR420" s="338"/>
      <c r="BS420" s="338"/>
      <c r="BT420" s="338"/>
      <c r="BU420" s="338"/>
      <c r="BV420" s="338"/>
      <c r="BW420" s="338"/>
      <c r="BX420" s="338"/>
      <c r="BY420" s="338"/>
      <c r="BZ420" s="338"/>
      <c r="CA420" s="338"/>
      <c r="CB420" s="338"/>
      <c r="CC420" s="338"/>
      <c r="CD420" s="338"/>
      <c r="CE420" s="338"/>
      <c r="CF420" s="338"/>
      <c r="CG420" s="338"/>
      <c r="CH420" s="338"/>
      <c r="CI420" s="338"/>
      <c r="CJ420" s="338"/>
      <c r="CK420" s="338"/>
      <c r="CL420" s="338"/>
    </row>
    <row r="421" ht="14.2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40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  <c r="AI421" s="338"/>
      <c r="AJ421" s="338"/>
      <c r="AK421" s="338"/>
      <c r="AL421" s="338"/>
      <c r="AM421" s="338"/>
      <c r="AN421" s="338"/>
      <c r="AO421" s="338"/>
      <c r="AP421" s="338"/>
      <c r="AQ421" s="338"/>
      <c r="AR421" s="338"/>
      <c r="AS421" s="338"/>
      <c r="AT421" s="338"/>
      <c r="AU421" s="338"/>
      <c r="AV421" s="338"/>
      <c r="AW421" s="338"/>
      <c r="AX421" s="338"/>
      <c r="AY421" s="338"/>
      <c r="AZ421" s="338"/>
      <c r="BA421" s="338"/>
      <c r="BB421" s="338"/>
      <c r="BC421" s="338"/>
      <c r="BD421" s="338"/>
      <c r="BE421" s="338"/>
      <c r="BF421" s="338"/>
      <c r="BG421" s="338"/>
      <c r="BH421" s="338"/>
      <c r="BI421" s="338"/>
      <c r="BJ421" s="338"/>
      <c r="BK421" s="338"/>
      <c r="BL421" s="338"/>
      <c r="BM421" s="338"/>
      <c r="BN421" s="338"/>
      <c r="BO421" s="338"/>
      <c r="BP421" s="338"/>
      <c r="BQ421" s="338"/>
      <c r="BR421" s="338"/>
      <c r="BS421" s="338"/>
      <c r="BT421" s="338"/>
      <c r="BU421" s="338"/>
      <c r="BV421" s="338"/>
      <c r="BW421" s="338"/>
      <c r="BX421" s="338"/>
      <c r="BY421" s="338"/>
      <c r="BZ421" s="338"/>
      <c r="CA421" s="338"/>
      <c r="CB421" s="338"/>
      <c r="CC421" s="338"/>
      <c r="CD421" s="338"/>
      <c r="CE421" s="338"/>
      <c r="CF421" s="338"/>
      <c r="CG421" s="338"/>
      <c r="CH421" s="338"/>
      <c r="CI421" s="338"/>
      <c r="CJ421" s="338"/>
      <c r="CK421" s="338"/>
      <c r="CL421" s="338"/>
    </row>
    <row r="422" ht="14.2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40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  <c r="AI422" s="338"/>
      <c r="AJ422" s="338"/>
      <c r="AK422" s="338"/>
      <c r="AL422" s="338"/>
      <c r="AM422" s="338"/>
      <c r="AN422" s="338"/>
      <c r="AO422" s="338"/>
      <c r="AP422" s="338"/>
      <c r="AQ422" s="338"/>
      <c r="AR422" s="338"/>
      <c r="AS422" s="338"/>
      <c r="AT422" s="338"/>
      <c r="AU422" s="338"/>
      <c r="AV422" s="338"/>
      <c r="AW422" s="338"/>
      <c r="AX422" s="338"/>
      <c r="AY422" s="338"/>
      <c r="AZ422" s="338"/>
      <c r="BA422" s="338"/>
      <c r="BB422" s="338"/>
      <c r="BC422" s="338"/>
      <c r="BD422" s="338"/>
      <c r="BE422" s="338"/>
      <c r="BF422" s="338"/>
      <c r="BG422" s="338"/>
      <c r="BH422" s="338"/>
      <c r="BI422" s="338"/>
      <c r="BJ422" s="338"/>
      <c r="BK422" s="338"/>
      <c r="BL422" s="338"/>
      <c r="BM422" s="338"/>
      <c r="BN422" s="338"/>
      <c r="BO422" s="338"/>
      <c r="BP422" s="338"/>
      <c r="BQ422" s="338"/>
      <c r="BR422" s="338"/>
      <c r="BS422" s="338"/>
      <c r="BT422" s="338"/>
      <c r="BU422" s="338"/>
      <c r="BV422" s="338"/>
      <c r="BW422" s="338"/>
      <c r="BX422" s="338"/>
      <c r="BY422" s="338"/>
      <c r="BZ422" s="338"/>
      <c r="CA422" s="338"/>
      <c r="CB422" s="338"/>
      <c r="CC422" s="338"/>
      <c r="CD422" s="338"/>
      <c r="CE422" s="338"/>
      <c r="CF422" s="338"/>
      <c r="CG422" s="338"/>
      <c r="CH422" s="338"/>
      <c r="CI422" s="338"/>
      <c r="CJ422" s="338"/>
      <c r="CK422" s="338"/>
      <c r="CL422" s="338"/>
    </row>
    <row r="423" ht="14.2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40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  <c r="AI423" s="338"/>
      <c r="AJ423" s="338"/>
      <c r="AK423" s="338"/>
      <c r="AL423" s="338"/>
      <c r="AM423" s="338"/>
      <c r="AN423" s="338"/>
      <c r="AO423" s="338"/>
      <c r="AP423" s="338"/>
      <c r="AQ423" s="338"/>
      <c r="AR423" s="338"/>
      <c r="AS423" s="338"/>
      <c r="AT423" s="338"/>
      <c r="AU423" s="338"/>
      <c r="AV423" s="338"/>
      <c r="AW423" s="338"/>
      <c r="AX423" s="338"/>
      <c r="AY423" s="338"/>
      <c r="AZ423" s="338"/>
      <c r="BA423" s="338"/>
      <c r="BB423" s="338"/>
      <c r="BC423" s="338"/>
      <c r="BD423" s="338"/>
      <c r="BE423" s="338"/>
      <c r="BF423" s="338"/>
      <c r="BG423" s="338"/>
      <c r="BH423" s="338"/>
      <c r="BI423" s="338"/>
      <c r="BJ423" s="338"/>
      <c r="BK423" s="338"/>
      <c r="BL423" s="338"/>
      <c r="BM423" s="338"/>
      <c r="BN423" s="338"/>
      <c r="BO423" s="338"/>
      <c r="BP423" s="338"/>
      <c r="BQ423" s="338"/>
      <c r="BR423" s="338"/>
      <c r="BS423" s="338"/>
      <c r="BT423" s="338"/>
      <c r="BU423" s="338"/>
      <c r="BV423" s="338"/>
      <c r="BW423" s="338"/>
      <c r="BX423" s="338"/>
      <c r="BY423" s="338"/>
      <c r="BZ423" s="338"/>
      <c r="CA423" s="338"/>
      <c r="CB423" s="338"/>
      <c r="CC423" s="338"/>
      <c r="CD423" s="338"/>
      <c r="CE423" s="338"/>
      <c r="CF423" s="338"/>
      <c r="CG423" s="338"/>
      <c r="CH423" s="338"/>
      <c r="CI423" s="338"/>
      <c r="CJ423" s="338"/>
      <c r="CK423" s="338"/>
      <c r="CL423" s="338"/>
    </row>
    <row r="424" ht="14.2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40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  <c r="AI424" s="338"/>
      <c r="AJ424" s="338"/>
      <c r="AK424" s="338"/>
      <c r="AL424" s="338"/>
      <c r="AM424" s="338"/>
      <c r="AN424" s="338"/>
      <c r="AO424" s="338"/>
      <c r="AP424" s="338"/>
      <c r="AQ424" s="338"/>
      <c r="AR424" s="338"/>
      <c r="AS424" s="338"/>
      <c r="AT424" s="338"/>
      <c r="AU424" s="338"/>
      <c r="AV424" s="338"/>
      <c r="AW424" s="338"/>
      <c r="AX424" s="338"/>
      <c r="AY424" s="338"/>
      <c r="AZ424" s="338"/>
      <c r="BA424" s="338"/>
      <c r="BB424" s="338"/>
      <c r="BC424" s="338"/>
      <c r="BD424" s="338"/>
      <c r="BE424" s="338"/>
      <c r="BF424" s="338"/>
      <c r="BG424" s="338"/>
      <c r="BH424" s="338"/>
      <c r="BI424" s="338"/>
      <c r="BJ424" s="338"/>
      <c r="BK424" s="338"/>
      <c r="BL424" s="338"/>
      <c r="BM424" s="338"/>
      <c r="BN424" s="338"/>
      <c r="BO424" s="338"/>
      <c r="BP424" s="338"/>
      <c r="BQ424" s="338"/>
      <c r="BR424" s="338"/>
      <c r="BS424" s="338"/>
      <c r="BT424" s="338"/>
      <c r="BU424" s="338"/>
      <c r="BV424" s="338"/>
      <c r="BW424" s="338"/>
      <c r="BX424" s="338"/>
      <c r="BY424" s="338"/>
      <c r="BZ424" s="338"/>
      <c r="CA424" s="338"/>
      <c r="CB424" s="338"/>
      <c r="CC424" s="338"/>
      <c r="CD424" s="338"/>
      <c r="CE424" s="338"/>
      <c r="CF424" s="338"/>
      <c r="CG424" s="338"/>
      <c r="CH424" s="338"/>
      <c r="CI424" s="338"/>
      <c r="CJ424" s="338"/>
      <c r="CK424" s="338"/>
      <c r="CL424" s="338"/>
    </row>
    <row r="425" ht="14.2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40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  <c r="AI425" s="338"/>
      <c r="AJ425" s="338"/>
      <c r="AK425" s="338"/>
      <c r="AL425" s="338"/>
      <c r="AM425" s="338"/>
      <c r="AN425" s="338"/>
      <c r="AO425" s="338"/>
      <c r="AP425" s="338"/>
      <c r="AQ425" s="338"/>
      <c r="AR425" s="338"/>
      <c r="AS425" s="338"/>
      <c r="AT425" s="338"/>
      <c r="AU425" s="338"/>
      <c r="AV425" s="338"/>
      <c r="AW425" s="338"/>
      <c r="AX425" s="338"/>
      <c r="AY425" s="338"/>
      <c r="AZ425" s="338"/>
      <c r="BA425" s="338"/>
      <c r="BB425" s="338"/>
      <c r="BC425" s="338"/>
      <c r="BD425" s="338"/>
      <c r="BE425" s="338"/>
      <c r="BF425" s="338"/>
      <c r="BG425" s="338"/>
      <c r="BH425" s="338"/>
      <c r="BI425" s="338"/>
      <c r="BJ425" s="338"/>
      <c r="BK425" s="338"/>
      <c r="BL425" s="338"/>
      <c r="BM425" s="338"/>
      <c r="BN425" s="338"/>
      <c r="BO425" s="338"/>
      <c r="BP425" s="338"/>
      <c r="BQ425" s="338"/>
      <c r="BR425" s="338"/>
      <c r="BS425" s="338"/>
      <c r="BT425" s="338"/>
      <c r="BU425" s="338"/>
      <c r="BV425" s="338"/>
      <c r="BW425" s="338"/>
      <c r="BX425" s="338"/>
      <c r="BY425" s="338"/>
      <c r="BZ425" s="338"/>
      <c r="CA425" s="338"/>
      <c r="CB425" s="338"/>
      <c r="CC425" s="338"/>
      <c r="CD425" s="338"/>
      <c r="CE425" s="338"/>
      <c r="CF425" s="338"/>
      <c r="CG425" s="338"/>
      <c r="CH425" s="338"/>
      <c r="CI425" s="338"/>
      <c r="CJ425" s="338"/>
      <c r="CK425" s="338"/>
      <c r="CL425" s="338"/>
    </row>
    <row r="426" ht="14.2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40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  <c r="AI426" s="338"/>
      <c r="AJ426" s="338"/>
      <c r="AK426" s="338"/>
      <c r="AL426" s="338"/>
      <c r="AM426" s="338"/>
      <c r="AN426" s="338"/>
      <c r="AO426" s="338"/>
      <c r="AP426" s="338"/>
      <c r="AQ426" s="338"/>
      <c r="AR426" s="338"/>
      <c r="AS426" s="338"/>
      <c r="AT426" s="338"/>
      <c r="AU426" s="338"/>
      <c r="AV426" s="338"/>
      <c r="AW426" s="338"/>
      <c r="AX426" s="338"/>
      <c r="AY426" s="338"/>
      <c r="AZ426" s="338"/>
      <c r="BA426" s="338"/>
      <c r="BB426" s="338"/>
      <c r="BC426" s="338"/>
      <c r="BD426" s="338"/>
      <c r="BE426" s="338"/>
      <c r="BF426" s="338"/>
      <c r="BG426" s="338"/>
      <c r="BH426" s="338"/>
      <c r="BI426" s="338"/>
      <c r="BJ426" s="338"/>
      <c r="BK426" s="338"/>
      <c r="BL426" s="338"/>
      <c r="BM426" s="338"/>
      <c r="BN426" s="338"/>
      <c r="BO426" s="338"/>
      <c r="BP426" s="338"/>
      <c r="BQ426" s="338"/>
      <c r="BR426" s="338"/>
      <c r="BS426" s="338"/>
      <c r="BT426" s="338"/>
      <c r="BU426" s="338"/>
      <c r="BV426" s="338"/>
      <c r="BW426" s="338"/>
      <c r="BX426" s="338"/>
      <c r="BY426" s="338"/>
      <c r="BZ426" s="338"/>
      <c r="CA426" s="338"/>
      <c r="CB426" s="338"/>
      <c r="CC426" s="338"/>
      <c r="CD426" s="338"/>
      <c r="CE426" s="338"/>
      <c r="CF426" s="338"/>
      <c r="CG426" s="338"/>
      <c r="CH426" s="338"/>
      <c r="CI426" s="338"/>
      <c r="CJ426" s="338"/>
      <c r="CK426" s="338"/>
      <c r="CL426" s="338"/>
    </row>
    <row r="427" ht="14.2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40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8"/>
      <c r="AJ427" s="338"/>
      <c r="AK427" s="338"/>
      <c r="AL427" s="338"/>
      <c r="AM427" s="338"/>
      <c r="AN427" s="338"/>
      <c r="AO427" s="338"/>
      <c r="AP427" s="338"/>
      <c r="AQ427" s="338"/>
      <c r="AR427" s="338"/>
      <c r="AS427" s="338"/>
      <c r="AT427" s="338"/>
      <c r="AU427" s="338"/>
      <c r="AV427" s="338"/>
      <c r="AW427" s="338"/>
      <c r="AX427" s="338"/>
      <c r="AY427" s="338"/>
      <c r="AZ427" s="338"/>
      <c r="BA427" s="338"/>
      <c r="BB427" s="338"/>
      <c r="BC427" s="338"/>
      <c r="BD427" s="338"/>
      <c r="BE427" s="338"/>
      <c r="BF427" s="338"/>
      <c r="BG427" s="338"/>
      <c r="BH427" s="338"/>
      <c r="BI427" s="338"/>
      <c r="BJ427" s="338"/>
      <c r="BK427" s="338"/>
      <c r="BL427" s="338"/>
      <c r="BM427" s="338"/>
      <c r="BN427" s="338"/>
      <c r="BO427" s="338"/>
      <c r="BP427" s="338"/>
      <c r="BQ427" s="338"/>
      <c r="BR427" s="338"/>
      <c r="BS427" s="338"/>
      <c r="BT427" s="338"/>
      <c r="BU427" s="338"/>
      <c r="BV427" s="338"/>
      <c r="BW427" s="338"/>
      <c r="BX427" s="338"/>
      <c r="BY427" s="338"/>
      <c r="BZ427" s="338"/>
      <c r="CA427" s="338"/>
      <c r="CB427" s="338"/>
      <c r="CC427" s="338"/>
      <c r="CD427" s="338"/>
      <c r="CE427" s="338"/>
      <c r="CF427" s="338"/>
      <c r="CG427" s="338"/>
      <c r="CH427" s="338"/>
      <c r="CI427" s="338"/>
      <c r="CJ427" s="338"/>
      <c r="CK427" s="338"/>
      <c r="CL427" s="338"/>
    </row>
    <row r="428" ht="14.2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40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8"/>
      <c r="AJ428" s="338"/>
      <c r="AK428" s="338"/>
      <c r="AL428" s="338"/>
      <c r="AM428" s="338"/>
      <c r="AN428" s="338"/>
      <c r="AO428" s="338"/>
      <c r="AP428" s="338"/>
      <c r="AQ428" s="338"/>
      <c r="AR428" s="338"/>
      <c r="AS428" s="338"/>
      <c r="AT428" s="338"/>
      <c r="AU428" s="338"/>
      <c r="AV428" s="338"/>
      <c r="AW428" s="338"/>
      <c r="AX428" s="338"/>
      <c r="AY428" s="338"/>
      <c r="AZ428" s="338"/>
      <c r="BA428" s="338"/>
      <c r="BB428" s="338"/>
      <c r="BC428" s="338"/>
      <c r="BD428" s="338"/>
      <c r="BE428" s="338"/>
      <c r="BF428" s="338"/>
      <c r="BG428" s="338"/>
      <c r="BH428" s="338"/>
      <c r="BI428" s="338"/>
      <c r="BJ428" s="338"/>
      <c r="BK428" s="338"/>
      <c r="BL428" s="338"/>
      <c r="BM428" s="338"/>
      <c r="BN428" s="338"/>
      <c r="BO428" s="338"/>
      <c r="BP428" s="338"/>
      <c r="BQ428" s="338"/>
      <c r="BR428" s="338"/>
      <c r="BS428" s="338"/>
      <c r="BT428" s="338"/>
      <c r="BU428" s="338"/>
      <c r="BV428" s="338"/>
      <c r="BW428" s="338"/>
      <c r="BX428" s="338"/>
      <c r="BY428" s="338"/>
      <c r="BZ428" s="338"/>
      <c r="CA428" s="338"/>
      <c r="CB428" s="338"/>
      <c r="CC428" s="338"/>
      <c r="CD428" s="338"/>
      <c r="CE428" s="338"/>
      <c r="CF428" s="338"/>
      <c r="CG428" s="338"/>
      <c r="CH428" s="338"/>
      <c r="CI428" s="338"/>
      <c r="CJ428" s="338"/>
      <c r="CK428" s="338"/>
      <c r="CL428" s="338"/>
    </row>
    <row r="429" ht="14.2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40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8"/>
      <c r="AJ429" s="338"/>
      <c r="AK429" s="338"/>
      <c r="AL429" s="338"/>
      <c r="AM429" s="338"/>
      <c r="AN429" s="338"/>
      <c r="AO429" s="338"/>
      <c r="AP429" s="338"/>
      <c r="AQ429" s="338"/>
      <c r="AR429" s="338"/>
      <c r="AS429" s="338"/>
      <c r="AT429" s="338"/>
      <c r="AU429" s="338"/>
      <c r="AV429" s="338"/>
      <c r="AW429" s="338"/>
      <c r="AX429" s="338"/>
      <c r="AY429" s="338"/>
      <c r="AZ429" s="338"/>
      <c r="BA429" s="338"/>
      <c r="BB429" s="338"/>
      <c r="BC429" s="338"/>
      <c r="BD429" s="338"/>
      <c r="BE429" s="338"/>
      <c r="BF429" s="338"/>
      <c r="BG429" s="338"/>
      <c r="BH429" s="338"/>
      <c r="BI429" s="338"/>
      <c r="BJ429" s="338"/>
      <c r="BK429" s="338"/>
      <c r="BL429" s="338"/>
      <c r="BM429" s="338"/>
      <c r="BN429" s="338"/>
      <c r="BO429" s="338"/>
      <c r="BP429" s="338"/>
      <c r="BQ429" s="338"/>
      <c r="BR429" s="338"/>
      <c r="BS429" s="338"/>
      <c r="BT429" s="338"/>
      <c r="BU429" s="338"/>
      <c r="BV429" s="338"/>
      <c r="BW429" s="338"/>
      <c r="BX429" s="338"/>
      <c r="BY429" s="338"/>
      <c r="BZ429" s="338"/>
      <c r="CA429" s="338"/>
      <c r="CB429" s="338"/>
      <c r="CC429" s="338"/>
      <c r="CD429" s="338"/>
      <c r="CE429" s="338"/>
      <c r="CF429" s="338"/>
      <c r="CG429" s="338"/>
      <c r="CH429" s="338"/>
      <c r="CI429" s="338"/>
      <c r="CJ429" s="338"/>
      <c r="CK429" s="338"/>
      <c r="CL429" s="338"/>
    </row>
    <row r="430" ht="14.2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40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  <c r="AI430" s="338"/>
      <c r="AJ430" s="338"/>
      <c r="AK430" s="338"/>
      <c r="AL430" s="338"/>
      <c r="AM430" s="338"/>
      <c r="AN430" s="338"/>
      <c r="AO430" s="338"/>
      <c r="AP430" s="338"/>
      <c r="AQ430" s="338"/>
      <c r="AR430" s="338"/>
      <c r="AS430" s="338"/>
      <c r="AT430" s="338"/>
      <c r="AU430" s="338"/>
      <c r="AV430" s="338"/>
      <c r="AW430" s="338"/>
      <c r="AX430" s="338"/>
      <c r="AY430" s="338"/>
      <c r="AZ430" s="338"/>
      <c r="BA430" s="338"/>
      <c r="BB430" s="338"/>
      <c r="BC430" s="338"/>
      <c r="BD430" s="338"/>
      <c r="BE430" s="338"/>
      <c r="BF430" s="338"/>
      <c r="BG430" s="338"/>
      <c r="BH430" s="338"/>
      <c r="BI430" s="338"/>
      <c r="BJ430" s="338"/>
      <c r="BK430" s="338"/>
      <c r="BL430" s="338"/>
      <c r="BM430" s="338"/>
      <c r="BN430" s="338"/>
      <c r="BO430" s="338"/>
      <c r="BP430" s="338"/>
      <c r="BQ430" s="338"/>
      <c r="BR430" s="338"/>
      <c r="BS430" s="338"/>
      <c r="BT430" s="338"/>
      <c r="BU430" s="338"/>
      <c r="BV430" s="338"/>
      <c r="BW430" s="338"/>
      <c r="BX430" s="338"/>
      <c r="BY430" s="338"/>
      <c r="BZ430" s="338"/>
      <c r="CA430" s="338"/>
      <c r="CB430" s="338"/>
      <c r="CC430" s="338"/>
      <c r="CD430" s="338"/>
      <c r="CE430" s="338"/>
      <c r="CF430" s="338"/>
      <c r="CG430" s="338"/>
      <c r="CH430" s="338"/>
      <c r="CI430" s="338"/>
      <c r="CJ430" s="338"/>
      <c r="CK430" s="338"/>
      <c r="CL430" s="338"/>
    </row>
    <row r="431" ht="14.2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40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  <c r="AI431" s="338"/>
      <c r="AJ431" s="338"/>
      <c r="AK431" s="338"/>
      <c r="AL431" s="338"/>
      <c r="AM431" s="338"/>
      <c r="AN431" s="338"/>
      <c r="AO431" s="338"/>
      <c r="AP431" s="338"/>
      <c r="AQ431" s="338"/>
      <c r="AR431" s="338"/>
      <c r="AS431" s="338"/>
      <c r="AT431" s="338"/>
      <c r="AU431" s="338"/>
      <c r="AV431" s="338"/>
      <c r="AW431" s="338"/>
      <c r="AX431" s="338"/>
      <c r="AY431" s="338"/>
      <c r="AZ431" s="338"/>
      <c r="BA431" s="338"/>
      <c r="BB431" s="338"/>
      <c r="BC431" s="338"/>
      <c r="BD431" s="338"/>
      <c r="BE431" s="338"/>
      <c r="BF431" s="338"/>
      <c r="BG431" s="338"/>
      <c r="BH431" s="338"/>
      <c r="BI431" s="338"/>
      <c r="BJ431" s="338"/>
      <c r="BK431" s="338"/>
      <c r="BL431" s="338"/>
      <c r="BM431" s="338"/>
      <c r="BN431" s="338"/>
      <c r="BO431" s="338"/>
      <c r="BP431" s="338"/>
      <c r="BQ431" s="338"/>
      <c r="BR431" s="338"/>
      <c r="BS431" s="338"/>
      <c r="BT431" s="338"/>
      <c r="BU431" s="338"/>
      <c r="BV431" s="338"/>
      <c r="BW431" s="338"/>
      <c r="BX431" s="338"/>
      <c r="BY431" s="338"/>
      <c r="BZ431" s="338"/>
      <c r="CA431" s="338"/>
      <c r="CB431" s="338"/>
      <c r="CC431" s="338"/>
      <c r="CD431" s="338"/>
      <c r="CE431" s="338"/>
      <c r="CF431" s="338"/>
      <c r="CG431" s="338"/>
      <c r="CH431" s="338"/>
      <c r="CI431" s="338"/>
      <c r="CJ431" s="338"/>
      <c r="CK431" s="338"/>
      <c r="CL431" s="338"/>
    </row>
    <row r="432" ht="14.2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40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  <c r="AI432" s="338"/>
      <c r="AJ432" s="338"/>
      <c r="AK432" s="338"/>
      <c r="AL432" s="338"/>
      <c r="AM432" s="338"/>
      <c r="AN432" s="338"/>
      <c r="AO432" s="338"/>
      <c r="AP432" s="338"/>
      <c r="AQ432" s="338"/>
      <c r="AR432" s="338"/>
      <c r="AS432" s="338"/>
      <c r="AT432" s="338"/>
      <c r="AU432" s="338"/>
      <c r="AV432" s="338"/>
      <c r="AW432" s="338"/>
      <c r="AX432" s="338"/>
      <c r="AY432" s="338"/>
      <c r="AZ432" s="338"/>
      <c r="BA432" s="338"/>
      <c r="BB432" s="338"/>
      <c r="BC432" s="338"/>
      <c r="BD432" s="338"/>
      <c r="BE432" s="338"/>
      <c r="BF432" s="338"/>
      <c r="BG432" s="338"/>
      <c r="BH432" s="338"/>
      <c r="BI432" s="338"/>
      <c r="BJ432" s="338"/>
      <c r="BK432" s="338"/>
      <c r="BL432" s="338"/>
      <c r="BM432" s="338"/>
      <c r="BN432" s="338"/>
      <c r="BO432" s="338"/>
      <c r="BP432" s="338"/>
      <c r="BQ432" s="338"/>
      <c r="BR432" s="338"/>
      <c r="BS432" s="338"/>
      <c r="BT432" s="338"/>
      <c r="BU432" s="338"/>
      <c r="BV432" s="338"/>
      <c r="BW432" s="338"/>
      <c r="BX432" s="338"/>
      <c r="BY432" s="338"/>
      <c r="BZ432" s="338"/>
      <c r="CA432" s="338"/>
      <c r="CB432" s="338"/>
      <c r="CC432" s="338"/>
      <c r="CD432" s="338"/>
      <c r="CE432" s="338"/>
      <c r="CF432" s="338"/>
      <c r="CG432" s="338"/>
      <c r="CH432" s="338"/>
      <c r="CI432" s="338"/>
      <c r="CJ432" s="338"/>
      <c r="CK432" s="338"/>
      <c r="CL432" s="338"/>
    </row>
    <row r="433" ht="14.2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40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  <c r="AI433" s="338"/>
      <c r="AJ433" s="338"/>
      <c r="AK433" s="338"/>
      <c r="AL433" s="338"/>
      <c r="AM433" s="338"/>
      <c r="AN433" s="338"/>
      <c r="AO433" s="338"/>
      <c r="AP433" s="338"/>
      <c r="AQ433" s="338"/>
      <c r="AR433" s="338"/>
      <c r="AS433" s="338"/>
      <c r="AT433" s="338"/>
      <c r="AU433" s="338"/>
      <c r="AV433" s="338"/>
      <c r="AW433" s="338"/>
      <c r="AX433" s="338"/>
      <c r="AY433" s="338"/>
      <c r="AZ433" s="338"/>
      <c r="BA433" s="338"/>
      <c r="BB433" s="338"/>
      <c r="BC433" s="338"/>
      <c r="BD433" s="338"/>
      <c r="BE433" s="338"/>
      <c r="BF433" s="338"/>
      <c r="BG433" s="338"/>
      <c r="BH433" s="338"/>
      <c r="BI433" s="338"/>
      <c r="BJ433" s="338"/>
      <c r="BK433" s="338"/>
      <c r="BL433" s="338"/>
      <c r="BM433" s="338"/>
      <c r="BN433" s="338"/>
      <c r="BO433" s="338"/>
      <c r="BP433" s="338"/>
      <c r="BQ433" s="338"/>
      <c r="BR433" s="338"/>
      <c r="BS433" s="338"/>
      <c r="BT433" s="338"/>
      <c r="BU433" s="338"/>
      <c r="BV433" s="338"/>
      <c r="BW433" s="338"/>
      <c r="BX433" s="338"/>
      <c r="BY433" s="338"/>
      <c r="BZ433" s="338"/>
      <c r="CA433" s="338"/>
      <c r="CB433" s="338"/>
      <c r="CC433" s="338"/>
      <c r="CD433" s="338"/>
      <c r="CE433" s="338"/>
      <c r="CF433" s="338"/>
      <c r="CG433" s="338"/>
      <c r="CH433" s="338"/>
      <c r="CI433" s="338"/>
      <c r="CJ433" s="338"/>
      <c r="CK433" s="338"/>
      <c r="CL433" s="338"/>
    </row>
    <row r="434" ht="14.2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40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  <c r="AI434" s="338"/>
      <c r="AJ434" s="338"/>
      <c r="AK434" s="338"/>
      <c r="AL434" s="338"/>
      <c r="AM434" s="338"/>
      <c r="AN434" s="338"/>
      <c r="AO434" s="338"/>
      <c r="AP434" s="338"/>
      <c r="AQ434" s="338"/>
      <c r="AR434" s="338"/>
      <c r="AS434" s="338"/>
      <c r="AT434" s="338"/>
      <c r="AU434" s="338"/>
      <c r="AV434" s="338"/>
      <c r="AW434" s="338"/>
      <c r="AX434" s="338"/>
      <c r="AY434" s="338"/>
      <c r="AZ434" s="338"/>
      <c r="BA434" s="338"/>
      <c r="BB434" s="338"/>
      <c r="BC434" s="338"/>
      <c r="BD434" s="338"/>
      <c r="BE434" s="338"/>
      <c r="BF434" s="338"/>
      <c r="BG434" s="338"/>
      <c r="BH434" s="338"/>
      <c r="BI434" s="338"/>
      <c r="BJ434" s="338"/>
      <c r="BK434" s="338"/>
      <c r="BL434" s="338"/>
      <c r="BM434" s="338"/>
      <c r="BN434" s="338"/>
      <c r="BO434" s="338"/>
      <c r="BP434" s="338"/>
      <c r="BQ434" s="338"/>
      <c r="BR434" s="338"/>
      <c r="BS434" s="338"/>
      <c r="BT434" s="338"/>
      <c r="BU434" s="338"/>
      <c r="BV434" s="338"/>
      <c r="BW434" s="338"/>
      <c r="BX434" s="338"/>
      <c r="BY434" s="338"/>
      <c r="BZ434" s="338"/>
      <c r="CA434" s="338"/>
      <c r="CB434" s="338"/>
      <c r="CC434" s="338"/>
      <c r="CD434" s="338"/>
      <c r="CE434" s="338"/>
      <c r="CF434" s="338"/>
      <c r="CG434" s="338"/>
      <c r="CH434" s="338"/>
      <c r="CI434" s="338"/>
      <c r="CJ434" s="338"/>
      <c r="CK434" s="338"/>
      <c r="CL434" s="338"/>
    </row>
    <row r="435" ht="14.2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40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  <c r="AI435" s="338"/>
      <c r="AJ435" s="338"/>
      <c r="AK435" s="338"/>
      <c r="AL435" s="338"/>
      <c r="AM435" s="338"/>
      <c r="AN435" s="338"/>
      <c r="AO435" s="338"/>
      <c r="AP435" s="338"/>
      <c r="AQ435" s="338"/>
      <c r="AR435" s="338"/>
      <c r="AS435" s="338"/>
      <c r="AT435" s="338"/>
      <c r="AU435" s="338"/>
      <c r="AV435" s="338"/>
      <c r="AW435" s="338"/>
      <c r="AX435" s="338"/>
      <c r="AY435" s="338"/>
      <c r="AZ435" s="338"/>
      <c r="BA435" s="338"/>
      <c r="BB435" s="338"/>
      <c r="BC435" s="338"/>
      <c r="BD435" s="338"/>
      <c r="BE435" s="338"/>
      <c r="BF435" s="338"/>
      <c r="BG435" s="338"/>
      <c r="BH435" s="338"/>
      <c r="BI435" s="338"/>
      <c r="BJ435" s="338"/>
      <c r="BK435" s="338"/>
      <c r="BL435" s="338"/>
      <c r="BM435" s="338"/>
      <c r="BN435" s="338"/>
      <c r="BO435" s="338"/>
      <c r="BP435" s="338"/>
      <c r="BQ435" s="338"/>
      <c r="BR435" s="338"/>
      <c r="BS435" s="338"/>
      <c r="BT435" s="338"/>
      <c r="BU435" s="338"/>
      <c r="BV435" s="338"/>
      <c r="BW435" s="338"/>
      <c r="BX435" s="338"/>
      <c r="BY435" s="338"/>
      <c r="BZ435" s="338"/>
      <c r="CA435" s="338"/>
      <c r="CB435" s="338"/>
      <c r="CC435" s="338"/>
      <c r="CD435" s="338"/>
      <c r="CE435" s="338"/>
      <c r="CF435" s="338"/>
      <c r="CG435" s="338"/>
      <c r="CH435" s="338"/>
      <c r="CI435" s="338"/>
      <c r="CJ435" s="338"/>
      <c r="CK435" s="338"/>
      <c r="CL435" s="338"/>
    </row>
    <row r="436" ht="14.2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40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  <c r="AI436" s="338"/>
      <c r="AJ436" s="338"/>
      <c r="AK436" s="338"/>
      <c r="AL436" s="338"/>
      <c r="AM436" s="338"/>
      <c r="AN436" s="338"/>
      <c r="AO436" s="338"/>
      <c r="AP436" s="338"/>
      <c r="AQ436" s="338"/>
      <c r="AR436" s="338"/>
      <c r="AS436" s="338"/>
      <c r="AT436" s="338"/>
      <c r="AU436" s="338"/>
      <c r="AV436" s="338"/>
      <c r="AW436" s="338"/>
      <c r="AX436" s="338"/>
      <c r="AY436" s="338"/>
      <c r="AZ436" s="338"/>
      <c r="BA436" s="338"/>
      <c r="BB436" s="338"/>
      <c r="BC436" s="338"/>
      <c r="BD436" s="338"/>
      <c r="BE436" s="338"/>
      <c r="BF436" s="338"/>
      <c r="BG436" s="338"/>
      <c r="BH436" s="338"/>
      <c r="BI436" s="338"/>
      <c r="BJ436" s="338"/>
      <c r="BK436" s="338"/>
      <c r="BL436" s="338"/>
      <c r="BM436" s="338"/>
      <c r="BN436" s="338"/>
      <c r="BO436" s="338"/>
      <c r="BP436" s="338"/>
      <c r="BQ436" s="338"/>
      <c r="BR436" s="338"/>
      <c r="BS436" s="338"/>
      <c r="BT436" s="338"/>
      <c r="BU436" s="338"/>
      <c r="BV436" s="338"/>
      <c r="BW436" s="338"/>
      <c r="BX436" s="338"/>
      <c r="BY436" s="338"/>
      <c r="BZ436" s="338"/>
      <c r="CA436" s="338"/>
      <c r="CB436" s="338"/>
      <c r="CC436" s="338"/>
      <c r="CD436" s="338"/>
      <c r="CE436" s="338"/>
      <c r="CF436" s="338"/>
      <c r="CG436" s="338"/>
      <c r="CH436" s="338"/>
      <c r="CI436" s="338"/>
      <c r="CJ436" s="338"/>
      <c r="CK436" s="338"/>
      <c r="CL436" s="338"/>
    </row>
    <row r="437" ht="14.2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40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  <c r="AI437" s="338"/>
      <c r="AJ437" s="338"/>
      <c r="AK437" s="338"/>
      <c r="AL437" s="338"/>
      <c r="AM437" s="338"/>
      <c r="AN437" s="338"/>
      <c r="AO437" s="338"/>
      <c r="AP437" s="338"/>
      <c r="AQ437" s="338"/>
      <c r="AR437" s="338"/>
      <c r="AS437" s="338"/>
      <c r="AT437" s="338"/>
      <c r="AU437" s="338"/>
      <c r="AV437" s="338"/>
      <c r="AW437" s="338"/>
      <c r="AX437" s="338"/>
      <c r="AY437" s="338"/>
      <c r="AZ437" s="338"/>
      <c r="BA437" s="338"/>
      <c r="BB437" s="338"/>
      <c r="BC437" s="338"/>
      <c r="BD437" s="338"/>
      <c r="BE437" s="338"/>
      <c r="BF437" s="338"/>
      <c r="BG437" s="338"/>
      <c r="BH437" s="338"/>
      <c r="BI437" s="338"/>
      <c r="BJ437" s="338"/>
      <c r="BK437" s="338"/>
      <c r="BL437" s="338"/>
      <c r="BM437" s="338"/>
      <c r="BN437" s="338"/>
      <c r="BO437" s="338"/>
      <c r="BP437" s="338"/>
      <c r="BQ437" s="338"/>
      <c r="BR437" s="338"/>
      <c r="BS437" s="338"/>
      <c r="BT437" s="338"/>
      <c r="BU437" s="338"/>
      <c r="BV437" s="338"/>
      <c r="BW437" s="338"/>
      <c r="BX437" s="338"/>
      <c r="BY437" s="338"/>
      <c r="BZ437" s="338"/>
      <c r="CA437" s="338"/>
      <c r="CB437" s="338"/>
      <c r="CC437" s="338"/>
      <c r="CD437" s="338"/>
      <c r="CE437" s="338"/>
      <c r="CF437" s="338"/>
      <c r="CG437" s="338"/>
      <c r="CH437" s="338"/>
      <c r="CI437" s="338"/>
      <c r="CJ437" s="338"/>
      <c r="CK437" s="338"/>
      <c r="CL437" s="338"/>
    </row>
    <row r="438" ht="14.2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40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  <c r="AI438" s="338"/>
      <c r="AJ438" s="338"/>
      <c r="AK438" s="338"/>
      <c r="AL438" s="338"/>
      <c r="AM438" s="338"/>
      <c r="AN438" s="338"/>
      <c r="AO438" s="338"/>
      <c r="AP438" s="338"/>
      <c r="AQ438" s="338"/>
      <c r="AR438" s="338"/>
      <c r="AS438" s="338"/>
      <c r="AT438" s="338"/>
      <c r="AU438" s="338"/>
      <c r="AV438" s="338"/>
      <c r="AW438" s="338"/>
      <c r="AX438" s="338"/>
      <c r="AY438" s="338"/>
      <c r="AZ438" s="338"/>
      <c r="BA438" s="338"/>
      <c r="BB438" s="338"/>
      <c r="BC438" s="338"/>
      <c r="BD438" s="338"/>
      <c r="BE438" s="338"/>
      <c r="BF438" s="338"/>
      <c r="BG438" s="338"/>
      <c r="BH438" s="338"/>
      <c r="BI438" s="338"/>
      <c r="BJ438" s="338"/>
      <c r="BK438" s="338"/>
      <c r="BL438" s="338"/>
      <c r="BM438" s="338"/>
      <c r="BN438" s="338"/>
      <c r="BO438" s="338"/>
      <c r="BP438" s="338"/>
      <c r="BQ438" s="338"/>
      <c r="BR438" s="338"/>
      <c r="BS438" s="338"/>
      <c r="BT438" s="338"/>
      <c r="BU438" s="338"/>
      <c r="BV438" s="338"/>
      <c r="BW438" s="338"/>
      <c r="BX438" s="338"/>
      <c r="BY438" s="338"/>
      <c r="BZ438" s="338"/>
      <c r="CA438" s="338"/>
      <c r="CB438" s="338"/>
      <c r="CC438" s="338"/>
      <c r="CD438" s="338"/>
      <c r="CE438" s="338"/>
      <c r="CF438" s="338"/>
      <c r="CG438" s="338"/>
      <c r="CH438" s="338"/>
      <c r="CI438" s="338"/>
      <c r="CJ438" s="338"/>
      <c r="CK438" s="338"/>
      <c r="CL438" s="338"/>
    </row>
    <row r="439" ht="14.2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40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  <c r="AI439" s="338"/>
      <c r="AJ439" s="338"/>
      <c r="AK439" s="338"/>
      <c r="AL439" s="338"/>
      <c r="AM439" s="338"/>
      <c r="AN439" s="338"/>
      <c r="AO439" s="338"/>
      <c r="AP439" s="338"/>
      <c r="AQ439" s="338"/>
      <c r="AR439" s="338"/>
      <c r="AS439" s="338"/>
      <c r="AT439" s="338"/>
      <c r="AU439" s="338"/>
      <c r="AV439" s="338"/>
      <c r="AW439" s="338"/>
      <c r="AX439" s="338"/>
      <c r="AY439" s="338"/>
      <c r="AZ439" s="338"/>
      <c r="BA439" s="338"/>
      <c r="BB439" s="338"/>
      <c r="BC439" s="338"/>
      <c r="BD439" s="338"/>
      <c r="BE439" s="338"/>
      <c r="BF439" s="338"/>
      <c r="BG439" s="338"/>
      <c r="BH439" s="338"/>
      <c r="BI439" s="338"/>
      <c r="BJ439" s="338"/>
      <c r="BK439" s="338"/>
      <c r="BL439" s="338"/>
      <c r="BM439" s="338"/>
      <c r="BN439" s="338"/>
      <c r="BO439" s="338"/>
      <c r="BP439" s="338"/>
      <c r="BQ439" s="338"/>
      <c r="BR439" s="338"/>
      <c r="BS439" s="338"/>
      <c r="BT439" s="338"/>
      <c r="BU439" s="338"/>
      <c r="BV439" s="338"/>
      <c r="BW439" s="338"/>
      <c r="BX439" s="338"/>
      <c r="BY439" s="338"/>
      <c r="BZ439" s="338"/>
      <c r="CA439" s="338"/>
      <c r="CB439" s="338"/>
      <c r="CC439" s="338"/>
      <c r="CD439" s="338"/>
      <c r="CE439" s="338"/>
      <c r="CF439" s="338"/>
      <c r="CG439" s="338"/>
      <c r="CH439" s="338"/>
      <c r="CI439" s="338"/>
      <c r="CJ439" s="338"/>
      <c r="CK439" s="338"/>
      <c r="CL439" s="338"/>
    </row>
    <row r="440" ht="14.2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40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  <c r="AI440" s="338"/>
      <c r="AJ440" s="338"/>
      <c r="AK440" s="338"/>
      <c r="AL440" s="338"/>
      <c r="AM440" s="338"/>
      <c r="AN440" s="338"/>
      <c r="AO440" s="338"/>
      <c r="AP440" s="338"/>
      <c r="AQ440" s="338"/>
      <c r="AR440" s="338"/>
      <c r="AS440" s="338"/>
      <c r="AT440" s="338"/>
      <c r="AU440" s="338"/>
      <c r="AV440" s="338"/>
      <c r="AW440" s="338"/>
      <c r="AX440" s="338"/>
      <c r="AY440" s="338"/>
      <c r="AZ440" s="338"/>
      <c r="BA440" s="338"/>
      <c r="BB440" s="338"/>
      <c r="BC440" s="338"/>
      <c r="BD440" s="338"/>
      <c r="BE440" s="338"/>
      <c r="BF440" s="338"/>
      <c r="BG440" s="338"/>
      <c r="BH440" s="338"/>
      <c r="BI440" s="338"/>
      <c r="BJ440" s="338"/>
      <c r="BK440" s="338"/>
      <c r="BL440" s="338"/>
      <c r="BM440" s="338"/>
      <c r="BN440" s="338"/>
      <c r="BO440" s="338"/>
      <c r="BP440" s="338"/>
      <c r="BQ440" s="338"/>
      <c r="BR440" s="338"/>
      <c r="BS440" s="338"/>
      <c r="BT440" s="338"/>
      <c r="BU440" s="338"/>
      <c r="BV440" s="338"/>
      <c r="BW440" s="338"/>
      <c r="BX440" s="338"/>
      <c r="BY440" s="338"/>
      <c r="BZ440" s="338"/>
      <c r="CA440" s="338"/>
      <c r="CB440" s="338"/>
      <c r="CC440" s="338"/>
      <c r="CD440" s="338"/>
      <c r="CE440" s="338"/>
      <c r="CF440" s="338"/>
      <c r="CG440" s="338"/>
      <c r="CH440" s="338"/>
      <c r="CI440" s="338"/>
      <c r="CJ440" s="338"/>
      <c r="CK440" s="338"/>
      <c r="CL440" s="338"/>
    </row>
    <row r="441" ht="14.2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40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  <c r="AI441" s="338"/>
      <c r="AJ441" s="338"/>
      <c r="AK441" s="338"/>
      <c r="AL441" s="338"/>
      <c r="AM441" s="338"/>
      <c r="AN441" s="338"/>
      <c r="AO441" s="338"/>
      <c r="AP441" s="338"/>
      <c r="AQ441" s="338"/>
      <c r="AR441" s="338"/>
      <c r="AS441" s="338"/>
      <c r="AT441" s="338"/>
      <c r="AU441" s="338"/>
      <c r="AV441" s="338"/>
      <c r="AW441" s="338"/>
      <c r="AX441" s="338"/>
      <c r="AY441" s="338"/>
      <c r="AZ441" s="338"/>
      <c r="BA441" s="338"/>
      <c r="BB441" s="338"/>
      <c r="BC441" s="338"/>
      <c r="BD441" s="338"/>
      <c r="BE441" s="338"/>
      <c r="BF441" s="338"/>
      <c r="BG441" s="338"/>
      <c r="BH441" s="338"/>
      <c r="BI441" s="338"/>
      <c r="BJ441" s="338"/>
      <c r="BK441" s="338"/>
      <c r="BL441" s="338"/>
      <c r="BM441" s="338"/>
      <c r="BN441" s="338"/>
      <c r="BO441" s="338"/>
      <c r="BP441" s="338"/>
      <c r="BQ441" s="338"/>
      <c r="BR441" s="338"/>
      <c r="BS441" s="338"/>
      <c r="BT441" s="338"/>
      <c r="BU441" s="338"/>
      <c r="BV441" s="338"/>
      <c r="BW441" s="338"/>
      <c r="BX441" s="338"/>
      <c r="BY441" s="338"/>
      <c r="BZ441" s="338"/>
      <c r="CA441" s="338"/>
      <c r="CB441" s="338"/>
      <c r="CC441" s="338"/>
      <c r="CD441" s="338"/>
      <c r="CE441" s="338"/>
      <c r="CF441" s="338"/>
      <c r="CG441" s="338"/>
      <c r="CH441" s="338"/>
      <c r="CI441" s="338"/>
      <c r="CJ441" s="338"/>
      <c r="CK441" s="338"/>
      <c r="CL441" s="338"/>
    </row>
    <row r="442" ht="14.2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40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  <c r="AI442" s="338"/>
      <c r="AJ442" s="338"/>
      <c r="AK442" s="338"/>
      <c r="AL442" s="338"/>
      <c r="AM442" s="338"/>
      <c r="AN442" s="338"/>
      <c r="AO442" s="338"/>
      <c r="AP442" s="338"/>
      <c r="AQ442" s="338"/>
      <c r="AR442" s="338"/>
      <c r="AS442" s="338"/>
      <c r="AT442" s="338"/>
      <c r="AU442" s="338"/>
      <c r="AV442" s="338"/>
      <c r="AW442" s="338"/>
      <c r="AX442" s="338"/>
      <c r="AY442" s="338"/>
      <c r="AZ442" s="338"/>
      <c r="BA442" s="338"/>
      <c r="BB442" s="338"/>
      <c r="BC442" s="338"/>
      <c r="BD442" s="338"/>
      <c r="BE442" s="338"/>
      <c r="BF442" s="338"/>
      <c r="BG442" s="338"/>
      <c r="BH442" s="338"/>
      <c r="BI442" s="338"/>
      <c r="BJ442" s="338"/>
      <c r="BK442" s="338"/>
      <c r="BL442" s="338"/>
      <c r="BM442" s="338"/>
      <c r="BN442" s="338"/>
      <c r="BO442" s="338"/>
      <c r="BP442" s="338"/>
      <c r="BQ442" s="338"/>
      <c r="BR442" s="338"/>
      <c r="BS442" s="338"/>
      <c r="BT442" s="338"/>
      <c r="BU442" s="338"/>
      <c r="BV442" s="338"/>
      <c r="BW442" s="338"/>
      <c r="BX442" s="338"/>
      <c r="BY442" s="338"/>
      <c r="BZ442" s="338"/>
      <c r="CA442" s="338"/>
      <c r="CB442" s="338"/>
      <c r="CC442" s="338"/>
      <c r="CD442" s="338"/>
      <c r="CE442" s="338"/>
      <c r="CF442" s="338"/>
      <c r="CG442" s="338"/>
      <c r="CH442" s="338"/>
      <c r="CI442" s="338"/>
      <c r="CJ442" s="338"/>
      <c r="CK442" s="338"/>
      <c r="CL442" s="338"/>
    </row>
    <row r="443" ht="14.2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40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  <c r="AI443" s="338"/>
      <c r="AJ443" s="338"/>
      <c r="AK443" s="338"/>
      <c r="AL443" s="338"/>
      <c r="AM443" s="338"/>
      <c r="AN443" s="338"/>
      <c r="AO443" s="338"/>
      <c r="AP443" s="338"/>
      <c r="AQ443" s="338"/>
      <c r="AR443" s="338"/>
      <c r="AS443" s="338"/>
      <c r="AT443" s="338"/>
      <c r="AU443" s="338"/>
      <c r="AV443" s="338"/>
      <c r="AW443" s="338"/>
      <c r="AX443" s="338"/>
      <c r="AY443" s="338"/>
      <c r="AZ443" s="338"/>
      <c r="BA443" s="338"/>
      <c r="BB443" s="338"/>
      <c r="BC443" s="338"/>
      <c r="BD443" s="338"/>
      <c r="BE443" s="338"/>
      <c r="BF443" s="338"/>
      <c r="BG443" s="338"/>
      <c r="BH443" s="338"/>
      <c r="BI443" s="338"/>
      <c r="BJ443" s="338"/>
      <c r="BK443" s="338"/>
      <c r="BL443" s="338"/>
      <c r="BM443" s="338"/>
      <c r="BN443" s="338"/>
      <c r="BO443" s="338"/>
      <c r="BP443" s="338"/>
      <c r="BQ443" s="338"/>
      <c r="BR443" s="338"/>
      <c r="BS443" s="338"/>
      <c r="BT443" s="338"/>
      <c r="BU443" s="338"/>
      <c r="BV443" s="338"/>
      <c r="BW443" s="338"/>
      <c r="BX443" s="338"/>
      <c r="BY443" s="338"/>
      <c r="BZ443" s="338"/>
      <c r="CA443" s="338"/>
      <c r="CB443" s="338"/>
      <c r="CC443" s="338"/>
      <c r="CD443" s="338"/>
      <c r="CE443" s="338"/>
      <c r="CF443" s="338"/>
      <c r="CG443" s="338"/>
      <c r="CH443" s="338"/>
      <c r="CI443" s="338"/>
      <c r="CJ443" s="338"/>
      <c r="CK443" s="338"/>
      <c r="CL443" s="338"/>
    </row>
    <row r="444" ht="14.2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40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  <c r="AI444" s="338"/>
      <c r="AJ444" s="338"/>
      <c r="AK444" s="338"/>
      <c r="AL444" s="338"/>
      <c r="AM444" s="338"/>
      <c r="AN444" s="338"/>
      <c r="AO444" s="338"/>
      <c r="AP444" s="338"/>
      <c r="AQ444" s="338"/>
      <c r="AR444" s="338"/>
      <c r="AS444" s="338"/>
      <c r="AT444" s="338"/>
      <c r="AU444" s="338"/>
      <c r="AV444" s="338"/>
      <c r="AW444" s="338"/>
      <c r="AX444" s="338"/>
      <c r="AY444" s="338"/>
      <c r="AZ444" s="338"/>
      <c r="BA444" s="338"/>
      <c r="BB444" s="338"/>
      <c r="BC444" s="338"/>
      <c r="BD444" s="338"/>
      <c r="BE444" s="338"/>
      <c r="BF444" s="338"/>
      <c r="BG444" s="338"/>
      <c r="BH444" s="338"/>
      <c r="BI444" s="338"/>
      <c r="BJ444" s="338"/>
      <c r="BK444" s="338"/>
      <c r="BL444" s="338"/>
      <c r="BM444" s="338"/>
      <c r="BN444" s="338"/>
      <c r="BO444" s="338"/>
      <c r="BP444" s="338"/>
      <c r="BQ444" s="338"/>
      <c r="BR444" s="338"/>
      <c r="BS444" s="338"/>
      <c r="BT444" s="338"/>
      <c r="BU444" s="338"/>
      <c r="BV444" s="338"/>
      <c r="BW444" s="338"/>
      <c r="BX444" s="338"/>
      <c r="BY444" s="338"/>
      <c r="BZ444" s="338"/>
      <c r="CA444" s="338"/>
      <c r="CB444" s="338"/>
      <c r="CC444" s="338"/>
      <c r="CD444" s="338"/>
      <c r="CE444" s="338"/>
      <c r="CF444" s="338"/>
      <c r="CG444" s="338"/>
      <c r="CH444" s="338"/>
      <c r="CI444" s="338"/>
      <c r="CJ444" s="338"/>
      <c r="CK444" s="338"/>
      <c r="CL444" s="338"/>
    </row>
    <row r="445" ht="14.2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40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  <c r="AI445" s="338"/>
      <c r="AJ445" s="338"/>
      <c r="AK445" s="338"/>
      <c r="AL445" s="338"/>
      <c r="AM445" s="338"/>
      <c r="AN445" s="338"/>
      <c r="AO445" s="338"/>
      <c r="AP445" s="338"/>
      <c r="AQ445" s="338"/>
      <c r="AR445" s="338"/>
      <c r="AS445" s="338"/>
      <c r="AT445" s="338"/>
      <c r="AU445" s="338"/>
      <c r="AV445" s="338"/>
      <c r="AW445" s="338"/>
      <c r="AX445" s="338"/>
      <c r="AY445" s="338"/>
      <c r="AZ445" s="338"/>
      <c r="BA445" s="338"/>
      <c r="BB445" s="338"/>
      <c r="BC445" s="338"/>
      <c r="BD445" s="338"/>
      <c r="BE445" s="338"/>
      <c r="BF445" s="338"/>
      <c r="BG445" s="338"/>
      <c r="BH445" s="338"/>
      <c r="BI445" s="338"/>
      <c r="BJ445" s="338"/>
      <c r="BK445" s="338"/>
      <c r="BL445" s="338"/>
      <c r="BM445" s="338"/>
      <c r="BN445" s="338"/>
      <c r="BO445" s="338"/>
      <c r="BP445" s="338"/>
      <c r="BQ445" s="338"/>
      <c r="BR445" s="338"/>
      <c r="BS445" s="338"/>
      <c r="BT445" s="338"/>
      <c r="BU445" s="338"/>
      <c r="BV445" s="338"/>
      <c r="BW445" s="338"/>
      <c r="BX445" s="338"/>
      <c r="BY445" s="338"/>
      <c r="BZ445" s="338"/>
      <c r="CA445" s="338"/>
      <c r="CB445" s="338"/>
      <c r="CC445" s="338"/>
      <c r="CD445" s="338"/>
      <c r="CE445" s="338"/>
      <c r="CF445" s="338"/>
      <c r="CG445" s="338"/>
      <c r="CH445" s="338"/>
      <c r="CI445" s="338"/>
      <c r="CJ445" s="338"/>
      <c r="CK445" s="338"/>
      <c r="CL445" s="338"/>
    </row>
    <row r="446" ht="14.2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40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  <c r="AI446" s="338"/>
      <c r="AJ446" s="338"/>
      <c r="AK446" s="338"/>
      <c r="AL446" s="338"/>
      <c r="AM446" s="338"/>
      <c r="AN446" s="338"/>
      <c r="AO446" s="338"/>
      <c r="AP446" s="338"/>
      <c r="AQ446" s="338"/>
      <c r="AR446" s="338"/>
      <c r="AS446" s="338"/>
      <c r="AT446" s="338"/>
      <c r="AU446" s="338"/>
      <c r="AV446" s="338"/>
      <c r="AW446" s="338"/>
      <c r="AX446" s="338"/>
      <c r="AY446" s="338"/>
      <c r="AZ446" s="338"/>
      <c r="BA446" s="338"/>
      <c r="BB446" s="338"/>
      <c r="BC446" s="338"/>
      <c r="BD446" s="338"/>
      <c r="BE446" s="338"/>
      <c r="BF446" s="338"/>
      <c r="BG446" s="338"/>
      <c r="BH446" s="338"/>
      <c r="BI446" s="338"/>
      <c r="BJ446" s="338"/>
      <c r="BK446" s="338"/>
      <c r="BL446" s="338"/>
      <c r="BM446" s="338"/>
      <c r="BN446" s="338"/>
      <c r="BO446" s="338"/>
      <c r="BP446" s="338"/>
      <c r="BQ446" s="338"/>
      <c r="BR446" s="338"/>
      <c r="BS446" s="338"/>
      <c r="BT446" s="338"/>
      <c r="BU446" s="338"/>
      <c r="BV446" s="338"/>
      <c r="BW446" s="338"/>
      <c r="BX446" s="338"/>
      <c r="BY446" s="338"/>
      <c r="BZ446" s="338"/>
      <c r="CA446" s="338"/>
      <c r="CB446" s="338"/>
      <c r="CC446" s="338"/>
      <c r="CD446" s="338"/>
      <c r="CE446" s="338"/>
      <c r="CF446" s="338"/>
      <c r="CG446" s="338"/>
      <c r="CH446" s="338"/>
      <c r="CI446" s="338"/>
      <c r="CJ446" s="338"/>
      <c r="CK446" s="338"/>
      <c r="CL446" s="338"/>
    </row>
    <row r="447" ht="14.2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40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  <c r="AI447" s="338"/>
      <c r="AJ447" s="338"/>
      <c r="AK447" s="338"/>
      <c r="AL447" s="338"/>
      <c r="AM447" s="338"/>
      <c r="AN447" s="338"/>
      <c r="AO447" s="338"/>
      <c r="AP447" s="338"/>
      <c r="AQ447" s="338"/>
      <c r="AR447" s="338"/>
      <c r="AS447" s="338"/>
      <c r="AT447" s="338"/>
      <c r="AU447" s="338"/>
      <c r="AV447" s="338"/>
      <c r="AW447" s="338"/>
      <c r="AX447" s="338"/>
      <c r="AY447" s="338"/>
      <c r="AZ447" s="338"/>
      <c r="BA447" s="338"/>
      <c r="BB447" s="338"/>
      <c r="BC447" s="338"/>
      <c r="BD447" s="338"/>
      <c r="BE447" s="338"/>
      <c r="BF447" s="338"/>
      <c r="BG447" s="338"/>
      <c r="BH447" s="338"/>
      <c r="BI447" s="338"/>
      <c r="BJ447" s="338"/>
      <c r="BK447" s="338"/>
      <c r="BL447" s="338"/>
      <c r="BM447" s="338"/>
      <c r="BN447" s="338"/>
      <c r="BO447" s="338"/>
      <c r="BP447" s="338"/>
      <c r="BQ447" s="338"/>
      <c r="BR447" s="338"/>
      <c r="BS447" s="338"/>
      <c r="BT447" s="338"/>
      <c r="BU447" s="338"/>
      <c r="BV447" s="338"/>
      <c r="BW447" s="338"/>
      <c r="BX447" s="338"/>
      <c r="BY447" s="338"/>
      <c r="BZ447" s="338"/>
      <c r="CA447" s="338"/>
      <c r="CB447" s="338"/>
      <c r="CC447" s="338"/>
      <c r="CD447" s="338"/>
      <c r="CE447" s="338"/>
      <c r="CF447" s="338"/>
      <c r="CG447" s="338"/>
      <c r="CH447" s="338"/>
      <c r="CI447" s="338"/>
      <c r="CJ447" s="338"/>
      <c r="CK447" s="338"/>
      <c r="CL447" s="338"/>
    </row>
    <row r="448" ht="14.2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40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  <c r="AI448" s="338"/>
      <c r="AJ448" s="338"/>
      <c r="AK448" s="338"/>
      <c r="AL448" s="338"/>
      <c r="AM448" s="338"/>
      <c r="AN448" s="338"/>
      <c r="AO448" s="338"/>
      <c r="AP448" s="338"/>
      <c r="AQ448" s="338"/>
      <c r="AR448" s="338"/>
      <c r="AS448" s="338"/>
      <c r="AT448" s="338"/>
      <c r="AU448" s="338"/>
      <c r="AV448" s="338"/>
      <c r="AW448" s="338"/>
      <c r="AX448" s="338"/>
      <c r="AY448" s="338"/>
      <c r="AZ448" s="338"/>
      <c r="BA448" s="338"/>
      <c r="BB448" s="338"/>
      <c r="BC448" s="338"/>
      <c r="BD448" s="338"/>
      <c r="BE448" s="338"/>
      <c r="BF448" s="338"/>
      <c r="BG448" s="338"/>
      <c r="BH448" s="338"/>
      <c r="BI448" s="338"/>
      <c r="BJ448" s="338"/>
      <c r="BK448" s="338"/>
      <c r="BL448" s="338"/>
      <c r="BM448" s="338"/>
      <c r="BN448" s="338"/>
      <c r="BO448" s="338"/>
      <c r="BP448" s="338"/>
      <c r="BQ448" s="338"/>
      <c r="BR448" s="338"/>
      <c r="BS448" s="338"/>
      <c r="BT448" s="338"/>
      <c r="BU448" s="338"/>
      <c r="BV448" s="338"/>
      <c r="BW448" s="338"/>
      <c r="BX448" s="338"/>
      <c r="BY448" s="338"/>
      <c r="BZ448" s="338"/>
      <c r="CA448" s="338"/>
      <c r="CB448" s="338"/>
      <c r="CC448" s="338"/>
      <c r="CD448" s="338"/>
      <c r="CE448" s="338"/>
      <c r="CF448" s="338"/>
      <c r="CG448" s="338"/>
      <c r="CH448" s="338"/>
      <c r="CI448" s="338"/>
      <c r="CJ448" s="338"/>
      <c r="CK448" s="338"/>
      <c r="CL448" s="338"/>
    </row>
    <row r="449" ht="14.2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40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  <c r="AI449" s="338"/>
      <c r="AJ449" s="338"/>
      <c r="AK449" s="338"/>
      <c r="AL449" s="338"/>
      <c r="AM449" s="338"/>
      <c r="AN449" s="338"/>
      <c r="AO449" s="338"/>
      <c r="AP449" s="338"/>
      <c r="AQ449" s="338"/>
      <c r="AR449" s="338"/>
      <c r="AS449" s="338"/>
      <c r="AT449" s="338"/>
      <c r="AU449" s="338"/>
      <c r="AV449" s="338"/>
      <c r="AW449" s="338"/>
      <c r="AX449" s="338"/>
      <c r="AY449" s="338"/>
      <c r="AZ449" s="338"/>
      <c r="BA449" s="338"/>
      <c r="BB449" s="338"/>
      <c r="BC449" s="338"/>
      <c r="BD449" s="338"/>
      <c r="BE449" s="338"/>
      <c r="BF449" s="338"/>
      <c r="BG449" s="338"/>
      <c r="BH449" s="338"/>
      <c r="BI449" s="338"/>
      <c r="BJ449" s="338"/>
      <c r="BK449" s="338"/>
      <c r="BL449" s="338"/>
      <c r="BM449" s="338"/>
      <c r="BN449" s="338"/>
      <c r="BO449" s="338"/>
      <c r="BP449" s="338"/>
      <c r="BQ449" s="338"/>
      <c r="BR449" s="338"/>
      <c r="BS449" s="338"/>
      <c r="BT449" s="338"/>
      <c r="BU449" s="338"/>
      <c r="BV449" s="338"/>
      <c r="BW449" s="338"/>
      <c r="BX449" s="338"/>
      <c r="BY449" s="338"/>
      <c r="BZ449" s="338"/>
      <c r="CA449" s="338"/>
      <c r="CB449" s="338"/>
      <c r="CC449" s="338"/>
      <c r="CD449" s="338"/>
      <c r="CE449" s="338"/>
      <c r="CF449" s="338"/>
      <c r="CG449" s="338"/>
      <c r="CH449" s="338"/>
      <c r="CI449" s="338"/>
      <c r="CJ449" s="338"/>
      <c r="CK449" s="338"/>
      <c r="CL449" s="338"/>
    </row>
    <row r="450" ht="14.2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40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  <c r="AI450" s="338"/>
      <c r="AJ450" s="338"/>
      <c r="AK450" s="338"/>
      <c r="AL450" s="338"/>
      <c r="AM450" s="338"/>
      <c r="AN450" s="338"/>
      <c r="AO450" s="338"/>
      <c r="AP450" s="338"/>
      <c r="AQ450" s="338"/>
      <c r="AR450" s="338"/>
      <c r="AS450" s="338"/>
      <c r="AT450" s="338"/>
      <c r="AU450" s="338"/>
      <c r="AV450" s="338"/>
      <c r="AW450" s="338"/>
      <c r="AX450" s="338"/>
      <c r="AY450" s="338"/>
      <c r="AZ450" s="338"/>
      <c r="BA450" s="338"/>
      <c r="BB450" s="338"/>
      <c r="BC450" s="338"/>
      <c r="BD450" s="338"/>
      <c r="BE450" s="338"/>
      <c r="BF450" s="338"/>
      <c r="BG450" s="338"/>
      <c r="BH450" s="338"/>
      <c r="BI450" s="338"/>
      <c r="BJ450" s="338"/>
      <c r="BK450" s="338"/>
      <c r="BL450" s="338"/>
      <c r="BM450" s="338"/>
      <c r="BN450" s="338"/>
      <c r="BO450" s="338"/>
      <c r="BP450" s="338"/>
      <c r="BQ450" s="338"/>
      <c r="BR450" s="338"/>
      <c r="BS450" s="338"/>
      <c r="BT450" s="338"/>
      <c r="BU450" s="338"/>
      <c r="BV450" s="338"/>
      <c r="BW450" s="338"/>
      <c r="BX450" s="338"/>
      <c r="BY450" s="338"/>
      <c r="BZ450" s="338"/>
      <c r="CA450" s="338"/>
      <c r="CB450" s="338"/>
      <c r="CC450" s="338"/>
      <c r="CD450" s="338"/>
      <c r="CE450" s="338"/>
      <c r="CF450" s="338"/>
      <c r="CG450" s="338"/>
      <c r="CH450" s="338"/>
      <c r="CI450" s="338"/>
      <c r="CJ450" s="338"/>
      <c r="CK450" s="338"/>
      <c r="CL450" s="338"/>
    </row>
    <row r="451" ht="14.2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40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  <c r="AI451" s="338"/>
      <c r="AJ451" s="338"/>
      <c r="AK451" s="338"/>
      <c r="AL451" s="338"/>
      <c r="AM451" s="338"/>
      <c r="AN451" s="338"/>
      <c r="AO451" s="338"/>
      <c r="AP451" s="338"/>
      <c r="AQ451" s="338"/>
      <c r="AR451" s="338"/>
      <c r="AS451" s="338"/>
      <c r="AT451" s="338"/>
      <c r="AU451" s="338"/>
      <c r="AV451" s="338"/>
      <c r="AW451" s="338"/>
      <c r="AX451" s="338"/>
      <c r="AY451" s="338"/>
      <c r="AZ451" s="338"/>
      <c r="BA451" s="338"/>
      <c r="BB451" s="338"/>
      <c r="BC451" s="338"/>
      <c r="BD451" s="338"/>
      <c r="BE451" s="338"/>
      <c r="BF451" s="338"/>
      <c r="BG451" s="338"/>
      <c r="BH451" s="338"/>
      <c r="BI451" s="338"/>
      <c r="BJ451" s="338"/>
      <c r="BK451" s="338"/>
      <c r="BL451" s="338"/>
      <c r="BM451" s="338"/>
      <c r="BN451" s="338"/>
      <c r="BO451" s="338"/>
      <c r="BP451" s="338"/>
      <c r="BQ451" s="338"/>
      <c r="BR451" s="338"/>
      <c r="BS451" s="338"/>
      <c r="BT451" s="338"/>
      <c r="BU451" s="338"/>
      <c r="BV451" s="338"/>
      <c r="BW451" s="338"/>
      <c r="BX451" s="338"/>
      <c r="BY451" s="338"/>
      <c r="BZ451" s="338"/>
      <c r="CA451" s="338"/>
      <c r="CB451" s="338"/>
      <c r="CC451" s="338"/>
      <c r="CD451" s="338"/>
      <c r="CE451" s="338"/>
      <c r="CF451" s="338"/>
      <c r="CG451" s="338"/>
      <c r="CH451" s="338"/>
      <c r="CI451" s="338"/>
      <c r="CJ451" s="338"/>
      <c r="CK451" s="338"/>
      <c r="CL451" s="338"/>
    </row>
    <row r="452" ht="14.2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40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  <c r="AI452" s="338"/>
      <c r="AJ452" s="338"/>
      <c r="AK452" s="338"/>
      <c r="AL452" s="338"/>
      <c r="AM452" s="338"/>
      <c r="AN452" s="338"/>
      <c r="AO452" s="338"/>
      <c r="AP452" s="338"/>
      <c r="AQ452" s="338"/>
      <c r="AR452" s="338"/>
      <c r="AS452" s="338"/>
      <c r="AT452" s="338"/>
      <c r="AU452" s="338"/>
      <c r="AV452" s="338"/>
      <c r="AW452" s="338"/>
      <c r="AX452" s="338"/>
      <c r="AY452" s="338"/>
      <c r="AZ452" s="338"/>
      <c r="BA452" s="338"/>
      <c r="BB452" s="338"/>
      <c r="BC452" s="338"/>
      <c r="BD452" s="338"/>
      <c r="BE452" s="338"/>
      <c r="BF452" s="338"/>
      <c r="BG452" s="338"/>
      <c r="BH452" s="338"/>
      <c r="BI452" s="338"/>
      <c r="BJ452" s="338"/>
      <c r="BK452" s="338"/>
      <c r="BL452" s="338"/>
      <c r="BM452" s="338"/>
      <c r="BN452" s="338"/>
      <c r="BO452" s="338"/>
      <c r="BP452" s="338"/>
      <c r="BQ452" s="338"/>
      <c r="BR452" s="338"/>
      <c r="BS452" s="338"/>
      <c r="BT452" s="338"/>
      <c r="BU452" s="338"/>
      <c r="BV452" s="338"/>
      <c r="BW452" s="338"/>
      <c r="BX452" s="338"/>
      <c r="BY452" s="338"/>
      <c r="BZ452" s="338"/>
      <c r="CA452" s="338"/>
      <c r="CB452" s="338"/>
      <c r="CC452" s="338"/>
      <c r="CD452" s="338"/>
      <c r="CE452" s="338"/>
      <c r="CF452" s="338"/>
      <c r="CG452" s="338"/>
      <c r="CH452" s="338"/>
      <c r="CI452" s="338"/>
      <c r="CJ452" s="338"/>
      <c r="CK452" s="338"/>
      <c r="CL452" s="338"/>
    </row>
    <row r="453" ht="14.2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40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  <c r="AI453" s="338"/>
      <c r="AJ453" s="338"/>
      <c r="AK453" s="338"/>
      <c r="AL453" s="338"/>
      <c r="AM453" s="338"/>
      <c r="AN453" s="338"/>
      <c r="AO453" s="338"/>
      <c r="AP453" s="338"/>
      <c r="AQ453" s="338"/>
      <c r="AR453" s="338"/>
      <c r="AS453" s="338"/>
      <c r="AT453" s="338"/>
      <c r="AU453" s="338"/>
      <c r="AV453" s="338"/>
      <c r="AW453" s="338"/>
      <c r="AX453" s="338"/>
      <c r="AY453" s="338"/>
      <c r="AZ453" s="338"/>
      <c r="BA453" s="338"/>
      <c r="BB453" s="338"/>
      <c r="BC453" s="338"/>
      <c r="BD453" s="338"/>
      <c r="BE453" s="338"/>
      <c r="BF453" s="338"/>
      <c r="BG453" s="338"/>
      <c r="BH453" s="338"/>
      <c r="BI453" s="338"/>
      <c r="BJ453" s="338"/>
      <c r="BK453" s="338"/>
      <c r="BL453" s="338"/>
      <c r="BM453" s="338"/>
      <c r="BN453" s="338"/>
      <c r="BO453" s="338"/>
      <c r="BP453" s="338"/>
      <c r="BQ453" s="338"/>
      <c r="BR453" s="338"/>
      <c r="BS453" s="338"/>
      <c r="BT453" s="338"/>
      <c r="BU453" s="338"/>
      <c r="BV453" s="338"/>
      <c r="BW453" s="338"/>
      <c r="BX453" s="338"/>
      <c r="BY453" s="338"/>
      <c r="BZ453" s="338"/>
      <c r="CA453" s="338"/>
      <c r="CB453" s="338"/>
      <c r="CC453" s="338"/>
      <c r="CD453" s="338"/>
      <c r="CE453" s="338"/>
      <c r="CF453" s="338"/>
      <c r="CG453" s="338"/>
      <c r="CH453" s="338"/>
      <c r="CI453" s="338"/>
      <c r="CJ453" s="338"/>
      <c r="CK453" s="338"/>
      <c r="CL453" s="338"/>
    </row>
    <row r="454" ht="14.2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40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  <c r="AI454" s="338"/>
      <c r="AJ454" s="338"/>
      <c r="AK454" s="338"/>
      <c r="AL454" s="338"/>
      <c r="AM454" s="338"/>
      <c r="AN454" s="338"/>
      <c r="AO454" s="338"/>
      <c r="AP454" s="338"/>
      <c r="AQ454" s="338"/>
      <c r="AR454" s="338"/>
      <c r="AS454" s="338"/>
      <c r="AT454" s="338"/>
      <c r="AU454" s="338"/>
      <c r="AV454" s="338"/>
      <c r="AW454" s="338"/>
      <c r="AX454" s="338"/>
      <c r="AY454" s="338"/>
      <c r="AZ454" s="338"/>
      <c r="BA454" s="338"/>
      <c r="BB454" s="338"/>
      <c r="BC454" s="338"/>
      <c r="BD454" s="338"/>
      <c r="BE454" s="338"/>
      <c r="BF454" s="338"/>
      <c r="BG454" s="338"/>
      <c r="BH454" s="338"/>
      <c r="BI454" s="338"/>
      <c r="BJ454" s="338"/>
      <c r="BK454" s="338"/>
      <c r="BL454" s="338"/>
      <c r="BM454" s="338"/>
      <c r="BN454" s="338"/>
      <c r="BO454" s="338"/>
      <c r="BP454" s="338"/>
      <c r="BQ454" s="338"/>
      <c r="BR454" s="338"/>
      <c r="BS454" s="338"/>
      <c r="BT454" s="338"/>
      <c r="BU454" s="338"/>
      <c r="BV454" s="338"/>
      <c r="BW454" s="338"/>
      <c r="BX454" s="338"/>
      <c r="BY454" s="338"/>
      <c r="BZ454" s="338"/>
      <c r="CA454" s="338"/>
      <c r="CB454" s="338"/>
      <c r="CC454" s="338"/>
      <c r="CD454" s="338"/>
      <c r="CE454" s="338"/>
      <c r="CF454" s="338"/>
      <c r="CG454" s="338"/>
      <c r="CH454" s="338"/>
      <c r="CI454" s="338"/>
      <c r="CJ454" s="338"/>
      <c r="CK454" s="338"/>
      <c r="CL454" s="338"/>
    </row>
    <row r="455" ht="14.2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40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  <c r="AI455" s="338"/>
      <c r="AJ455" s="338"/>
      <c r="AK455" s="338"/>
      <c r="AL455" s="338"/>
      <c r="AM455" s="338"/>
      <c r="AN455" s="338"/>
      <c r="AO455" s="338"/>
      <c r="AP455" s="338"/>
      <c r="AQ455" s="338"/>
      <c r="AR455" s="338"/>
      <c r="AS455" s="338"/>
      <c r="AT455" s="338"/>
      <c r="AU455" s="338"/>
      <c r="AV455" s="338"/>
      <c r="AW455" s="338"/>
      <c r="AX455" s="338"/>
      <c r="AY455" s="338"/>
      <c r="AZ455" s="338"/>
      <c r="BA455" s="338"/>
      <c r="BB455" s="338"/>
      <c r="BC455" s="338"/>
      <c r="BD455" s="338"/>
      <c r="BE455" s="338"/>
      <c r="BF455" s="338"/>
      <c r="BG455" s="338"/>
      <c r="BH455" s="338"/>
      <c r="BI455" s="338"/>
      <c r="BJ455" s="338"/>
      <c r="BK455" s="338"/>
      <c r="BL455" s="338"/>
      <c r="BM455" s="338"/>
      <c r="BN455" s="338"/>
      <c r="BO455" s="338"/>
      <c r="BP455" s="338"/>
      <c r="BQ455" s="338"/>
      <c r="BR455" s="338"/>
      <c r="BS455" s="338"/>
      <c r="BT455" s="338"/>
      <c r="BU455" s="338"/>
      <c r="BV455" s="338"/>
      <c r="BW455" s="338"/>
      <c r="BX455" s="338"/>
      <c r="BY455" s="338"/>
      <c r="BZ455" s="338"/>
      <c r="CA455" s="338"/>
      <c r="CB455" s="338"/>
      <c r="CC455" s="338"/>
      <c r="CD455" s="338"/>
      <c r="CE455" s="338"/>
      <c r="CF455" s="338"/>
      <c r="CG455" s="338"/>
      <c r="CH455" s="338"/>
      <c r="CI455" s="338"/>
      <c r="CJ455" s="338"/>
      <c r="CK455" s="338"/>
      <c r="CL455" s="338"/>
    </row>
    <row r="456" ht="14.2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40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  <c r="AI456" s="338"/>
      <c r="AJ456" s="338"/>
      <c r="AK456" s="338"/>
      <c r="AL456" s="338"/>
      <c r="AM456" s="338"/>
      <c r="AN456" s="338"/>
      <c r="AO456" s="338"/>
      <c r="AP456" s="338"/>
      <c r="AQ456" s="338"/>
      <c r="AR456" s="338"/>
      <c r="AS456" s="338"/>
      <c r="AT456" s="338"/>
      <c r="AU456" s="338"/>
      <c r="AV456" s="338"/>
      <c r="AW456" s="338"/>
      <c r="AX456" s="338"/>
      <c r="AY456" s="338"/>
      <c r="AZ456" s="338"/>
      <c r="BA456" s="338"/>
      <c r="BB456" s="338"/>
      <c r="BC456" s="338"/>
      <c r="BD456" s="338"/>
      <c r="BE456" s="338"/>
      <c r="BF456" s="338"/>
      <c r="BG456" s="338"/>
      <c r="BH456" s="338"/>
      <c r="BI456" s="338"/>
      <c r="BJ456" s="338"/>
      <c r="BK456" s="338"/>
      <c r="BL456" s="338"/>
      <c r="BM456" s="338"/>
      <c r="BN456" s="338"/>
      <c r="BO456" s="338"/>
      <c r="BP456" s="338"/>
      <c r="BQ456" s="338"/>
      <c r="BR456" s="338"/>
      <c r="BS456" s="338"/>
      <c r="BT456" s="338"/>
      <c r="BU456" s="338"/>
      <c r="BV456" s="338"/>
      <c r="BW456" s="338"/>
      <c r="BX456" s="338"/>
      <c r="BY456" s="338"/>
      <c r="BZ456" s="338"/>
      <c r="CA456" s="338"/>
      <c r="CB456" s="338"/>
      <c r="CC456" s="338"/>
      <c r="CD456" s="338"/>
      <c r="CE456" s="338"/>
      <c r="CF456" s="338"/>
      <c r="CG456" s="338"/>
      <c r="CH456" s="338"/>
      <c r="CI456" s="338"/>
      <c r="CJ456" s="338"/>
      <c r="CK456" s="338"/>
      <c r="CL456" s="338"/>
    </row>
    <row r="457" ht="14.2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40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  <c r="AI457" s="338"/>
      <c r="AJ457" s="338"/>
      <c r="AK457" s="338"/>
      <c r="AL457" s="338"/>
      <c r="AM457" s="338"/>
      <c r="AN457" s="338"/>
      <c r="AO457" s="338"/>
      <c r="AP457" s="338"/>
      <c r="AQ457" s="338"/>
      <c r="AR457" s="338"/>
      <c r="AS457" s="338"/>
      <c r="AT457" s="338"/>
      <c r="AU457" s="338"/>
      <c r="AV457" s="338"/>
      <c r="AW457" s="338"/>
      <c r="AX457" s="338"/>
      <c r="AY457" s="338"/>
      <c r="AZ457" s="338"/>
      <c r="BA457" s="338"/>
      <c r="BB457" s="338"/>
      <c r="BC457" s="338"/>
      <c r="BD457" s="338"/>
      <c r="BE457" s="338"/>
      <c r="BF457" s="338"/>
      <c r="BG457" s="338"/>
      <c r="BH457" s="338"/>
      <c r="BI457" s="338"/>
      <c r="BJ457" s="338"/>
      <c r="BK457" s="338"/>
      <c r="BL457" s="338"/>
      <c r="BM457" s="338"/>
      <c r="BN457" s="338"/>
      <c r="BO457" s="338"/>
      <c r="BP457" s="338"/>
      <c r="BQ457" s="338"/>
      <c r="BR457" s="338"/>
      <c r="BS457" s="338"/>
      <c r="BT457" s="338"/>
      <c r="BU457" s="338"/>
      <c r="BV457" s="338"/>
      <c r="BW457" s="338"/>
      <c r="BX457" s="338"/>
      <c r="BY457" s="338"/>
      <c r="BZ457" s="338"/>
      <c r="CA457" s="338"/>
      <c r="CB457" s="338"/>
      <c r="CC457" s="338"/>
      <c r="CD457" s="338"/>
      <c r="CE457" s="338"/>
      <c r="CF457" s="338"/>
      <c r="CG457" s="338"/>
      <c r="CH457" s="338"/>
      <c r="CI457" s="338"/>
      <c r="CJ457" s="338"/>
      <c r="CK457" s="338"/>
      <c r="CL457" s="338"/>
    </row>
    <row r="458" ht="14.2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40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  <c r="AI458" s="338"/>
      <c r="AJ458" s="338"/>
      <c r="AK458" s="338"/>
      <c r="AL458" s="338"/>
      <c r="AM458" s="338"/>
      <c r="AN458" s="338"/>
      <c r="AO458" s="338"/>
      <c r="AP458" s="338"/>
      <c r="AQ458" s="338"/>
      <c r="AR458" s="338"/>
      <c r="AS458" s="338"/>
      <c r="AT458" s="338"/>
      <c r="AU458" s="338"/>
      <c r="AV458" s="338"/>
      <c r="AW458" s="338"/>
      <c r="AX458" s="338"/>
      <c r="AY458" s="338"/>
      <c r="AZ458" s="338"/>
      <c r="BA458" s="338"/>
      <c r="BB458" s="338"/>
      <c r="BC458" s="338"/>
      <c r="BD458" s="338"/>
      <c r="BE458" s="338"/>
      <c r="BF458" s="338"/>
      <c r="BG458" s="338"/>
      <c r="BH458" s="338"/>
      <c r="BI458" s="338"/>
      <c r="BJ458" s="338"/>
      <c r="BK458" s="338"/>
      <c r="BL458" s="338"/>
      <c r="BM458" s="338"/>
      <c r="BN458" s="338"/>
      <c r="BO458" s="338"/>
      <c r="BP458" s="338"/>
      <c r="BQ458" s="338"/>
      <c r="BR458" s="338"/>
      <c r="BS458" s="338"/>
      <c r="BT458" s="338"/>
      <c r="BU458" s="338"/>
      <c r="BV458" s="338"/>
      <c r="BW458" s="338"/>
      <c r="BX458" s="338"/>
      <c r="BY458" s="338"/>
      <c r="BZ458" s="338"/>
      <c r="CA458" s="338"/>
      <c r="CB458" s="338"/>
      <c r="CC458" s="338"/>
      <c r="CD458" s="338"/>
      <c r="CE458" s="338"/>
      <c r="CF458" s="338"/>
      <c r="CG458" s="338"/>
      <c r="CH458" s="338"/>
      <c r="CI458" s="338"/>
      <c r="CJ458" s="338"/>
      <c r="CK458" s="338"/>
      <c r="CL458" s="338"/>
    </row>
    <row r="459" ht="14.2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40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  <c r="AI459" s="338"/>
      <c r="AJ459" s="338"/>
      <c r="AK459" s="338"/>
      <c r="AL459" s="338"/>
      <c r="AM459" s="338"/>
      <c r="AN459" s="338"/>
      <c r="AO459" s="338"/>
      <c r="AP459" s="338"/>
      <c r="AQ459" s="338"/>
      <c r="AR459" s="338"/>
      <c r="AS459" s="338"/>
      <c r="AT459" s="338"/>
      <c r="AU459" s="338"/>
      <c r="AV459" s="338"/>
      <c r="AW459" s="338"/>
      <c r="AX459" s="338"/>
      <c r="AY459" s="338"/>
      <c r="AZ459" s="338"/>
      <c r="BA459" s="338"/>
      <c r="BB459" s="338"/>
      <c r="BC459" s="338"/>
      <c r="BD459" s="338"/>
      <c r="BE459" s="338"/>
      <c r="BF459" s="338"/>
      <c r="BG459" s="338"/>
      <c r="BH459" s="338"/>
      <c r="BI459" s="338"/>
      <c r="BJ459" s="338"/>
      <c r="BK459" s="338"/>
      <c r="BL459" s="338"/>
      <c r="BM459" s="338"/>
      <c r="BN459" s="338"/>
      <c r="BO459" s="338"/>
      <c r="BP459" s="338"/>
      <c r="BQ459" s="338"/>
      <c r="BR459" s="338"/>
      <c r="BS459" s="338"/>
      <c r="BT459" s="338"/>
      <c r="BU459" s="338"/>
      <c r="BV459" s="338"/>
      <c r="BW459" s="338"/>
      <c r="BX459" s="338"/>
      <c r="BY459" s="338"/>
      <c r="BZ459" s="338"/>
      <c r="CA459" s="338"/>
      <c r="CB459" s="338"/>
      <c r="CC459" s="338"/>
      <c r="CD459" s="338"/>
      <c r="CE459" s="338"/>
      <c r="CF459" s="338"/>
      <c r="CG459" s="338"/>
      <c r="CH459" s="338"/>
      <c r="CI459" s="338"/>
      <c r="CJ459" s="338"/>
      <c r="CK459" s="338"/>
      <c r="CL459" s="338"/>
    </row>
    <row r="460" ht="14.2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40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  <c r="AI460" s="338"/>
      <c r="AJ460" s="338"/>
      <c r="AK460" s="338"/>
      <c r="AL460" s="338"/>
      <c r="AM460" s="338"/>
      <c r="AN460" s="338"/>
      <c r="AO460" s="338"/>
      <c r="AP460" s="338"/>
      <c r="AQ460" s="338"/>
      <c r="AR460" s="338"/>
      <c r="AS460" s="338"/>
      <c r="AT460" s="338"/>
      <c r="AU460" s="338"/>
      <c r="AV460" s="338"/>
      <c r="AW460" s="338"/>
      <c r="AX460" s="338"/>
      <c r="AY460" s="338"/>
      <c r="AZ460" s="338"/>
      <c r="BA460" s="338"/>
      <c r="BB460" s="338"/>
      <c r="BC460" s="338"/>
      <c r="BD460" s="338"/>
      <c r="BE460" s="338"/>
      <c r="BF460" s="338"/>
      <c r="BG460" s="338"/>
      <c r="BH460" s="338"/>
      <c r="BI460" s="338"/>
      <c r="BJ460" s="338"/>
      <c r="BK460" s="338"/>
      <c r="BL460" s="338"/>
      <c r="BM460" s="338"/>
      <c r="BN460" s="338"/>
      <c r="BO460" s="338"/>
      <c r="BP460" s="338"/>
      <c r="BQ460" s="338"/>
      <c r="BR460" s="338"/>
      <c r="BS460" s="338"/>
      <c r="BT460" s="338"/>
      <c r="BU460" s="338"/>
      <c r="BV460" s="338"/>
      <c r="BW460" s="338"/>
      <c r="BX460" s="338"/>
      <c r="BY460" s="338"/>
      <c r="BZ460" s="338"/>
      <c r="CA460" s="338"/>
      <c r="CB460" s="338"/>
      <c r="CC460" s="338"/>
      <c r="CD460" s="338"/>
      <c r="CE460" s="338"/>
      <c r="CF460" s="338"/>
      <c r="CG460" s="338"/>
      <c r="CH460" s="338"/>
      <c r="CI460" s="338"/>
      <c r="CJ460" s="338"/>
      <c r="CK460" s="338"/>
      <c r="CL460" s="338"/>
    </row>
    <row r="461" ht="14.2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40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  <c r="AI461" s="338"/>
      <c r="AJ461" s="338"/>
      <c r="AK461" s="338"/>
      <c r="AL461" s="338"/>
      <c r="AM461" s="338"/>
      <c r="AN461" s="338"/>
      <c r="AO461" s="338"/>
      <c r="AP461" s="338"/>
      <c r="AQ461" s="338"/>
      <c r="AR461" s="338"/>
      <c r="AS461" s="338"/>
      <c r="AT461" s="338"/>
      <c r="AU461" s="338"/>
      <c r="AV461" s="338"/>
      <c r="AW461" s="338"/>
      <c r="AX461" s="338"/>
      <c r="AY461" s="338"/>
      <c r="AZ461" s="338"/>
      <c r="BA461" s="338"/>
      <c r="BB461" s="338"/>
      <c r="BC461" s="338"/>
      <c r="BD461" s="338"/>
      <c r="BE461" s="338"/>
      <c r="BF461" s="338"/>
      <c r="BG461" s="338"/>
      <c r="BH461" s="338"/>
      <c r="BI461" s="338"/>
      <c r="BJ461" s="338"/>
      <c r="BK461" s="338"/>
      <c r="BL461" s="338"/>
      <c r="BM461" s="338"/>
      <c r="BN461" s="338"/>
      <c r="BO461" s="338"/>
      <c r="BP461" s="338"/>
      <c r="BQ461" s="338"/>
      <c r="BR461" s="338"/>
      <c r="BS461" s="338"/>
      <c r="BT461" s="338"/>
      <c r="BU461" s="338"/>
      <c r="BV461" s="338"/>
      <c r="BW461" s="338"/>
      <c r="BX461" s="338"/>
      <c r="BY461" s="338"/>
      <c r="BZ461" s="338"/>
      <c r="CA461" s="338"/>
      <c r="CB461" s="338"/>
      <c r="CC461" s="338"/>
      <c r="CD461" s="338"/>
      <c r="CE461" s="338"/>
      <c r="CF461" s="338"/>
      <c r="CG461" s="338"/>
      <c r="CH461" s="338"/>
      <c r="CI461" s="338"/>
      <c r="CJ461" s="338"/>
      <c r="CK461" s="338"/>
      <c r="CL461" s="338"/>
    </row>
    <row r="462" ht="14.2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40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  <c r="AI462" s="338"/>
      <c r="AJ462" s="338"/>
      <c r="AK462" s="338"/>
      <c r="AL462" s="338"/>
      <c r="AM462" s="338"/>
      <c r="AN462" s="338"/>
      <c r="AO462" s="338"/>
      <c r="AP462" s="338"/>
      <c r="AQ462" s="338"/>
      <c r="AR462" s="338"/>
      <c r="AS462" s="338"/>
      <c r="AT462" s="338"/>
      <c r="AU462" s="338"/>
      <c r="AV462" s="338"/>
      <c r="AW462" s="338"/>
      <c r="AX462" s="338"/>
      <c r="AY462" s="338"/>
      <c r="AZ462" s="338"/>
      <c r="BA462" s="338"/>
      <c r="BB462" s="338"/>
      <c r="BC462" s="338"/>
      <c r="BD462" s="338"/>
      <c r="BE462" s="338"/>
      <c r="BF462" s="338"/>
      <c r="BG462" s="338"/>
      <c r="BH462" s="338"/>
      <c r="BI462" s="338"/>
      <c r="BJ462" s="338"/>
      <c r="BK462" s="338"/>
      <c r="BL462" s="338"/>
      <c r="BM462" s="338"/>
      <c r="BN462" s="338"/>
      <c r="BO462" s="338"/>
      <c r="BP462" s="338"/>
      <c r="BQ462" s="338"/>
      <c r="BR462" s="338"/>
      <c r="BS462" s="338"/>
      <c r="BT462" s="338"/>
      <c r="BU462" s="338"/>
      <c r="BV462" s="338"/>
      <c r="BW462" s="338"/>
      <c r="BX462" s="338"/>
      <c r="BY462" s="338"/>
      <c r="BZ462" s="338"/>
      <c r="CA462" s="338"/>
      <c r="CB462" s="338"/>
      <c r="CC462" s="338"/>
      <c r="CD462" s="338"/>
      <c r="CE462" s="338"/>
      <c r="CF462" s="338"/>
      <c r="CG462" s="338"/>
      <c r="CH462" s="338"/>
      <c r="CI462" s="338"/>
      <c r="CJ462" s="338"/>
      <c r="CK462" s="338"/>
      <c r="CL462" s="338"/>
    </row>
    <row r="463" ht="14.2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40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  <c r="AI463" s="338"/>
      <c r="AJ463" s="338"/>
      <c r="AK463" s="338"/>
      <c r="AL463" s="338"/>
      <c r="AM463" s="338"/>
      <c r="AN463" s="338"/>
      <c r="AO463" s="338"/>
      <c r="AP463" s="338"/>
      <c r="AQ463" s="338"/>
      <c r="AR463" s="338"/>
      <c r="AS463" s="338"/>
      <c r="AT463" s="338"/>
      <c r="AU463" s="338"/>
      <c r="AV463" s="338"/>
      <c r="AW463" s="338"/>
      <c r="AX463" s="338"/>
      <c r="AY463" s="338"/>
      <c r="AZ463" s="338"/>
      <c r="BA463" s="338"/>
      <c r="BB463" s="338"/>
      <c r="BC463" s="338"/>
      <c r="BD463" s="338"/>
      <c r="BE463" s="338"/>
      <c r="BF463" s="338"/>
      <c r="BG463" s="338"/>
      <c r="BH463" s="338"/>
      <c r="BI463" s="338"/>
      <c r="BJ463" s="338"/>
      <c r="BK463" s="338"/>
      <c r="BL463" s="338"/>
      <c r="BM463" s="338"/>
      <c r="BN463" s="338"/>
      <c r="BO463" s="338"/>
      <c r="BP463" s="338"/>
      <c r="BQ463" s="338"/>
      <c r="BR463" s="338"/>
      <c r="BS463" s="338"/>
      <c r="BT463" s="338"/>
      <c r="BU463" s="338"/>
      <c r="BV463" s="338"/>
      <c r="BW463" s="338"/>
      <c r="BX463" s="338"/>
      <c r="BY463" s="338"/>
      <c r="BZ463" s="338"/>
      <c r="CA463" s="338"/>
      <c r="CB463" s="338"/>
      <c r="CC463" s="338"/>
      <c r="CD463" s="338"/>
      <c r="CE463" s="338"/>
      <c r="CF463" s="338"/>
      <c r="CG463" s="338"/>
      <c r="CH463" s="338"/>
      <c r="CI463" s="338"/>
      <c r="CJ463" s="338"/>
      <c r="CK463" s="338"/>
      <c r="CL463" s="338"/>
    </row>
    <row r="464" ht="14.2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40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  <c r="AI464" s="338"/>
      <c r="AJ464" s="338"/>
      <c r="AK464" s="338"/>
      <c r="AL464" s="338"/>
      <c r="AM464" s="338"/>
      <c r="AN464" s="338"/>
      <c r="AO464" s="338"/>
      <c r="AP464" s="338"/>
      <c r="AQ464" s="338"/>
      <c r="AR464" s="338"/>
      <c r="AS464" s="338"/>
      <c r="AT464" s="338"/>
      <c r="AU464" s="338"/>
      <c r="AV464" s="338"/>
      <c r="AW464" s="338"/>
      <c r="AX464" s="338"/>
      <c r="AY464" s="338"/>
      <c r="AZ464" s="338"/>
      <c r="BA464" s="338"/>
      <c r="BB464" s="338"/>
      <c r="BC464" s="338"/>
      <c r="BD464" s="338"/>
      <c r="BE464" s="338"/>
      <c r="BF464" s="338"/>
      <c r="BG464" s="338"/>
      <c r="BH464" s="338"/>
      <c r="BI464" s="338"/>
      <c r="BJ464" s="338"/>
      <c r="BK464" s="338"/>
      <c r="BL464" s="338"/>
      <c r="BM464" s="338"/>
      <c r="BN464" s="338"/>
      <c r="BO464" s="338"/>
      <c r="BP464" s="338"/>
      <c r="BQ464" s="338"/>
      <c r="BR464" s="338"/>
      <c r="BS464" s="338"/>
      <c r="BT464" s="338"/>
      <c r="BU464" s="338"/>
      <c r="BV464" s="338"/>
      <c r="BW464" s="338"/>
      <c r="BX464" s="338"/>
      <c r="BY464" s="338"/>
      <c r="BZ464" s="338"/>
      <c r="CA464" s="338"/>
      <c r="CB464" s="338"/>
      <c r="CC464" s="338"/>
      <c r="CD464" s="338"/>
      <c r="CE464" s="338"/>
      <c r="CF464" s="338"/>
      <c r="CG464" s="338"/>
      <c r="CH464" s="338"/>
      <c r="CI464" s="338"/>
      <c r="CJ464" s="338"/>
      <c r="CK464" s="338"/>
      <c r="CL464" s="338"/>
    </row>
    <row r="465" ht="14.2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40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  <c r="AI465" s="338"/>
      <c r="AJ465" s="338"/>
      <c r="AK465" s="338"/>
      <c r="AL465" s="338"/>
      <c r="AM465" s="338"/>
      <c r="AN465" s="338"/>
      <c r="AO465" s="338"/>
      <c r="AP465" s="338"/>
      <c r="AQ465" s="338"/>
      <c r="AR465" s="338"/>
      <c r="AS465" s="338"/>
      <c r="AT465" s="338"/>
      <c r="AU465" s="338"/>
      <c r="AV465" s="338"/>
      <c r="AW465" s="338"/>
      <c r="AX465" s="338"/>
      <c r="AY465" s="338"/>
      <c r="AZ465" s="338"/>
      <c r="BA465" s="338"/>
      <c r="BB465" s="338"/>
      <c r="BC465" s="338"/>
      <c r="BD465" s="338"/>
      <c r="BE465" s="338"/>
      <c r="BF465" s="338"/>
      <c r="BG465" s="338"/>
      <c r="BH465" s="338"/>
      <c r="BI465" s="338"/>
      <c r="BJ465" s="338"/>
      <c r="BK465" s="338"/>
      <c r="BL465" s="338"/>
      <c r="BM465" s="338"/>
      <c r="BN465" s="338"/>
      <c r="BO465" s="338"/>
      <c r="BP465" s="338"/>
      <c r="BQ465" s="338"/>
      <c r="BR465" s="338"/>
      <c r="BS465" s="338"/>
      <c r="BT465" s="338"/>
      <c r="BU465" s="338"/>
      <c r="BV465" s="338"/>
      <c r="BW465" s="338"/>
      <c r="BX465" s="338"/>
      <c r="BY465" s="338"/>
      <c r="BZ465" s="338"/>
      <c r="CA465" s="338"/>
      <c r="CB465" s="338"/>
      <c r="CC465" s="338"/>
      <c r="CD465" s="338"/>
      <c r="CE465" s="338"/>
      <c r="CF465" s="338"/>
      <c r="CG465" s="338"/>
      <c r="CH465" s="338"/>
      <c r="CI465" s="338"/>
      <c r="CJ465" s="338"/>
      <c r="CK465" s="338"/>
      <c r="CL465" s="338"/>
    </row>
    <row r="466" ht="14.2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40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  <c r="AI466" s="338"/>
      <c r="AJ466" s="338"/>
      <c r="AK466" s="338"/>
      <c r="AL466" s="338"/>
      <c r="AM466" s="338"/>
      <c r="AN466" s="338"/>
      <c r="AO466" s="338"/>
      <c r="AP466" s="338"/>
      <c r="AQ466" s="338"/>
      <c r="AR466" s="338"/>
      <c r="AS466" s="338"/>
      <c r="AT466" s="338"/>
      <c r="AU466" s="338"/>
      <c r="AV466" s="338"/>
      <c r="AW466" s="338"/>
      <c r="AX466" s="338"/>
      <c r="AY466" s="338"/>
      <c r="AZ466" s="338"/>
      <c r="BA466" s="338"/>
      <c r="BB466" s="338"/>
      <c r="BC466" s="338"/>
      <c r="BD466" s="338"/>
      <c r="BE466" s="338"/>
      <c r="BF466" s="338"/>
      <c r="BG466" s="338"/>
      <c r="BH466" s="338"/>
      <c r="BI466" s="338"/>
      <c r="BJ466" s="338"/>
      <c r="BK466" s="338"/>
      <c r="BL466" s="338"/>
      <c r="BM466" s="338"/>
      <c r="BN466" s="338"/>
      <c r="BO466" s="338"/>
      <c r="BP466" s="338"/>
      <c r="BQ466" s="338"/>
      <c r="BR466" s="338"/>
      <c r="BS466" s="338"/>
      <c r="BT466" s="338"/>
      <c r="BU466" s="338"/>
      <c r="BV466" s="338"/>
      <c r="BW466" s="338"/>
      <c r="BX466" s="338"/>
      <c r="BY466" s="338"/>
      <c r="BZ466" s="338"/>
      <c r="CA466" s="338"/>
      <c r="CB466" s="338"/>
      <c r="CC466" s="338"/>
      <c r="CD466" s="338"/>
      <c r="CE466" s="338"/>
      <c r="CF466" s="338"/>
      <c r="CG466" s="338"/>
      <c r="CH466" s="338"/>
      <c r="CI466" s="338"/>
      <c r="CJ466" s="338"/>
      <c r="CK466" s="338"/>
      <c r="CL466" s="338"/>
    </row>
    <row r="467" ht="14.2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40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  <c r="AI467" s="338"/>
      <c r="AJ467" s="338"/>
      <c r="AK467" s="338"/>
      <c r="AL467" s="338"/>
      <c r="AM467" s="338"/>
      <c r="AN467" s="338"/>
      <c r="AO467" s="338"/>
      <c r="AP467" s="338"/>
      <c r="AQ467" s="338"/>
      <c r="AR467" s="338"/>
      <c r="AS467" s="338"/>
      <c r="AT467" s="338"/>
      <c r="AU467" s="338"/>
      <c r="AV467" s="338"/>
      <c r="AW467" s="338"/>
      <c r="AX467" s="338"/>
      <c r="AY467" s="338"/>
      <c r="AZ467" s="338"/>
      <c r="BA467" s="338"/>
      <c r="BB467" s="338"/>
      <c r="BC467" s="338"/>
      <c r="BD467" s="338"/>
      <c r="BE467" s="338"/>
      <c r="BF467" s="338"/>
      <c r="BG467" s="338"/>
      <c r="BH467" s="338"/>
      <c r="BI467" s="338"/>
      <c r="BJ467" s="338"/>
      <c r="BK467" s="338"/>
      <c r="BL467" s="338"/>
      <c r="BM467" s="338"/>
      <c r="BN467" s="338"/>
      <c r="BO467" s="338"/>
      <c r="BP467" s="338"/>
      <c r="BQ467" s="338"/>
      <c r="BR467" s="338"/>
      <c r="BS467" s="338"/>
      <c r="BT467" s="338"/>
      <c r="BU467" s="338"/>
      <c r="BV467" s="338"/>
      <c r="BW467" s="338"/>
      <c r="BX467" s="338"/>
      <c r="BY467" s="338"/>
      <c r="BZ467" s="338"/>
      <c r="CA467" s="338"/>
      <c r="CB467" s="338"/>
      <c r="CC467" s="338"/>
      <c r="CD467" s="338"/>
      <c r="CE467" s="338"/>
      <c r="CF467" s="338"/>
      <c r="CG467" s="338"/>
      <c r="CH467" s="338"/>
      <c r="CI467" s="338"/>
      <c r="CJ467" s="338"/>
      <c r="CK467" s="338"/>
      <c r="CL467" s="338"/>
    </row>
    <row r="468" ht="14.2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40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  <c r="AI468" s="338"/>
      <c r="AJ468" s="338"/>
      <c r="AK468" s="338"/>
      <c r="AL468" s="338"/>
      <c r="AM468" s="338"/>
      <c r="AN468" s="338"/>
      <c r="AO468" s="338"/>
      <c r="AP468" s="338"/>
      <c r="AQ468" s="338"/>
      <c r="AR468" s="338"/>
      <c r="AS468" s="338"/>
      <c r="AT468" s="338"/>
      <c r="AU468" s="338"/>
      <c r="AV468" s="338"/>
      <c r="AW468" s="338"/>
      <c r="AX468" s="338"/>
      <c r="AY468" s="338"/>
      <c r="AZ468" s="338"/>
      <c r="BA468" s="338"/>
      <c r="BB468" s="338"/>
      <c r="BC468" s="338"/>
      <c r="BD468" s="338"/>
      <c r="BE468" s="338"/>
      <c r="BF468" s="338"/>
      <c r="BG468" s="338"/>
      <c r="BH468" s="338"/>
      <c r="BI468" s="338"/>
      <c r="BJ468" s="338"/>
      <c r="BK468" s="338"/>
      <c r="BL468" s="338"/>
      <c r="BM468" s="338"/>
      <c r="BN468" s="338"/>
      <c r="BO468" s="338"/>
      <c r="BP468" s="338"/>
      <c r="BQ468" s="338"/>
      <c r="BR468" s="338"/>
      <c r="BS468" s="338"/>
      <c r="BT468" s="338"/>
      <c r="BU468" s="338"/>
      <c r="BV468" s="338"/>
      <c r="BW468" s="338"/>
      <c r="BX468" s="338"/>
      <c r="BY468" s="338"/>
      <c r="BZ468" s="338"/>
      <c r="CA468" s="338"/>
      <c r="CB468" s="338"/>
      <c r="CC468" s="338"/>
      <c r="CD468" s="338"/>
      <c r="CE468" s="338"/>
      <c r="CF468" s="338"/>
      <c r="CG468" s="338"/>
      <c r="CH468" s="338"/>
      <c r="CI468" s="338"/>
      <c r="CJ468" s="338"/>
      <c r="CK468" s="338"/>
      <c r="CL468" s="338"/>
    </row>
    <row r="469" ht="14.2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40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  <c r="AI469" s="338"/>
      <c r="AJ469" s="338"/>
      <c r="AK469" s="338"/>
      <c r="AL469" s="338"/>
      <c r="AM469" s="338"/>
      <c r="AN469" s="338"/>
      <c r="AO469" s="338"/>
      <c r="AP469" s="338"/>
      <c r="AQ469" s="338"/>
      <c r="AR469" s="338"/>
      <c r="AS469" s="338"/>
      <c r="AT469" s="338"/>
      <c r="AU469" s="338"/>
      <c r="AV469" s="338"/>
      <c r="AW469" s="338"/>
      <c r="AX469" s="338"/>
      <c r="AY469" s="338"/>
      <c r="AZ469" s="338"/>
      <c r="BA469" s="338"/>
      <c r="BB469" s="338"/>
      <c r="BC469" s="338"/>
      <c r="BD469" s="338"/>
      <c r="BE469" s="338"/>
      <c r="BF469" s="338"/>
      <c r="BG469" s="338"/>
      <c r="BH469" s="338"/>
      <c r="BI469" s="338"/>
      <c r="BJ469" s="338"/>
      <c r="BK469" s="338"/>
      <c r="BL469" s="338"/>
      <c r="BM469" s="338"/>
      <c r="BN469" s="338"/>
      <c r="BO469" s="338"/>
      <c r="BP469" s="338"/>
      <c r="BQ469" s="338"/>
      <c r="BR469" s="338"/>
      <c r="BS469" s="338"/>
      <c r="BT469" s="338"/>
      <c r="BU469" s="338"/>
      <c r="BV469" s="338"/>
      <c r="BW469" s="338"/>
      <c r="BX469" s="338"/>
      <c r="BY469" s="338"/>
      <c r="BZ469" s="338"/>
      <c r="CA469" s="338"/>
      <c r="CB469" s="338"/>
      <c r="CC469" s="338"/>
      <c r="CD469" s="338"/>
      <c r="CE469" s="338"/>
      <c r="CF469" s="338"/>
      <c r="CG469" s="338"/>
      <c r="CH469" s="338"/>
      <c r="CI469" s="338"/>
      <c r="CJ469" s="338"/>
      <c r="CK469" s="338"/>
      <c r="CL469" s="338"/>
    </row>
    <row r="470" ht="14.2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40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  <c r="AI470" s="338"/>
      <c r="AJ470" s="338"/>
      <c r="AK470" s="338"/>
      <c r="AL470" s="338"/>
      <c r="AM470" s="338"/>
      <c r="AN470" s="338"/>
      <c r="AO470" s="338"/>
      <c r="AP470" s="338"/>
      <c r="AQ470" s="338"/>
      <c r="AR470" s="338"/>
      <c r="AS470" s="338"/>
      <c r="AT470" s="338"/>
      <c r="AU470" s="338"/>
      <c r="AV470" s="338"/>
      <c r="AW470" s="338"/>
      <c r="AX470" s="338"/>
      <c r="AY470" s="338"/>
      <c r="AZ470" s="338"/>
      <c r="BA470" s="338"/>
      <c r="BB470" s="338"/>
      <c r="BC470" s="338"/>
      <c r="BD470" s="338"/>
      <c r="BE470" s="338"/>
      <c r="BF470" s="338"/>
      <c r="BG470" s="338"/>
      <c r="BH470" s="338"/>
      <c r="BI470" s="338"/>
      <c r="BJ470" s="338"/>
      <c r="BK470" s="338"/>
      <c r="BL470" s="338"/>
      <c r="BM470" s="338"/>
      <c r="BN470" s="338"/>
      <c r="BO470" s="338"/>
      <c r="BP470" s="338"/>
      <c r="BQ470" s="338"/>
      <c r="BR470" s="338"/>
      <c r="BS470" s="338"/>
      <c r="BT470" s="338"/>
      <c r="BU470" s="338"/>
      <c r="BV470" s="338"/>
      <c r="BW470" s="338"/>
      <c r="BX470" s="338"/>
      <c r="BY470" s="338"/>
      <c r="BZ470" s="338"/>
      <c r="CA470" s="338"/>
      <c r="CB470" s="338"/>
      <c r="CC470" s="338"/>
      <c r="CD470" s="338"/>
      <c r="CE470" s="338"/>
      <c r="CF470" s="338"/>
      <c r="CG470" s="338"/>
      <c r="CH470" s="338"/>
      <c r="CI470" s="338"/>
      <c r="CJ470" s="338"/>
      <c r="CK470" s="338"/>
      <c r="CL470" s="338"/>
    </row>
    <row r="471" ht="14.2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40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  <c r="AI471" s="338"/>
      <c r="AJ471" s="338"/>
      <c r="AK471" s="338"/>
      <c r="AL471" s="338"/>
      <c r="AM471" s="338"/>
      <c r="AN471" s="338"/>
      <c r="AO471" s="338"/>
      <c r="AP471" s="338"/>
      <c r="AQ471" s="338"/>
      <c r="AR471" s="338"/>
      <c r="AS471" s="338"/>
      <c r="AT471" s="338"/>
      <c r="AU471" s="338"/>
      <c r="AV471" s="338"/>
      <c r="AW471" s="338"/>
      <c r="AX471" s="338"/>
      <c r="AY471" s="338"/>
      <c r="AZ471" s="338"/>
      <c r="BA471" s="338"/>
      <c r="BB471" s="338"/>
      <c r="BC471" s="338"/>
      <c r="BD471" s="338"/>
      <c r="BE471" s="338"/>
      <c r="BF471" s="338"/>
      <c r="BG471" s="338"/>
      <c r="BH471" s="338"/>
      <c r="BI471" s="338"/>
      <c r="BJ471" s="338"/>
      <c r="BK471" s="338"/>
      <c r="BL471" s="338"/>
      <c r="BM471" s="338"/>
      <c r="BN471" s="338"/>
      <c r="BO471" s="338"/>
      <c r="BP471" s="338"/>
      <c r="BQ471" s="338"/>
      <c r="BR471" s="338"/>
      <c r="BS471" s="338"/>
      <c r="BT471" s="338"/>
      <c r="BU471" s="338"/>
      <c r="BV471" s="338"/>
      <c r="BW471" s="338"/>
      <c r="BX471" s="338"/>
      <c r="BY471" s="338"/>
      <c r="BZ471" s="338"/>
      <c r="CA471" s="338"/>
      <c r="CB471" s="338"/>
      <c r="CC471" s="338"/>
      <c r="CD471" s="338"/>
      <c r="CE471" s="338"/>
      <c r="CF471" s="338"/>
      <c r="CG471" s="338"/>
      <c r="CH471" s="338"/>
      <c r="CI471" s="338"/>
      <c r="CJ471" s="338"/>
      <c r="CK471" s="338"/>
      <c r="CL471" s="338"/>
    </row>
    <row r="472" ht="14.2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40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  <c r="AI472" s="338"/>
      <c r="AJ472" s="338"/>
      <c r="AK472" s="338"/>
      <c r="AL472" s="338"/>
      <c r="AM472" s="338"/>
      <c r="AN472" s="338"/>
      <c r="AO472" s="338"/>
      <c r="AP472" s="338"/>
      <c r="AQ472" s="338"/>
      <c r="AR472" s="338"/>
      <c r="AS472" s="338"/>
      <c r="AT472" s="338"/>
      <c r="AU472" s="338"/>
      <c r="AV472" s="338"/>
      <c r="AW472" s="338"/>
      <c r="AX472" s="338"/>
      <c r="AY472" s="338"/>
      <c r="AZ472" s="338"/>
      <c r="BA472" s="338"/>
      <c r="BB472" s="338"/>
      <c r="BC472" s="338"/>
      <c r="BD472" s="338"/>
      <c r="BE472" s="338"/>
      <c r="BF472" s="338"/>
      <c r="BG472" s="338"/>
      <c r="BH472" s="338"/>
      <c r="BI472" s="338"/>
      <c r="BJ472" s="338"/>
      <c r="BK472" s="338"/>
      <c r="BL472" s="338"/>
      <c r="BM472" s="338"/>
      <c r="BN472" s="338"/>
      <c r="BO472" s="338"/>
      <c r="BP472" s="338"/>
      <c r="BQ472" s="338"/>
      <c r="BR472" s="338"/>
      <c r="BS472" s="338"/>
      <c r="BT472" s="338"/>
      <c r="BU472" s="338"/>
      <c r="BV472" s="338"/>
      <c r="BW472" s="338"/>
      <c r="BX472" s="338"/>
      <c r="BY472" s="338"/>
      <c r="BZ472" s="338"/>
      <c r="CA472" s="338"/>
      <c r="CB472" s="338"/>
      <c r="CC472" s="338"/>
      <c r="CD472" s="338"/>
      <c r="CE472" s="338"/>
      <c r="CF472" s="338"/>
      <c r="CG472" s="338"/>
      <c r="CH472" s="338"/>
      <c r="CI472" s="338"/>
      <c r="CJ472" s="338"/>
      <c r="CK472" s="338"/>
      <c r="CL472" s="338"/>
    </row>
    <row r="473" ht="14.2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40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  <c r="AI473" s="338"/>
      <c r="AJ473" s="338"/>
      <c r="AK473" s="338"/>
      <c r="AL473" s="338"/>
      <c r="AM473" s="338"/>
      <c r="AN473" s="338"/>
      <c r="AO473" s="338"/>
      <c r="AP473" s="338"/>
      <c r="AQ473" s="338"/>
      <c r="AR473" s="338"/>
      <c r="AS473" s="338"/>
      <c r="AT473" s="338"/>
      <c r="AU473" s="338"/>
      <c r="AV473" s="338"/>
      <c r="AW473" s="338"/>
      <c r="AX473" s="338"/>
      <c r="AY473" s="338"/>
      <c r="AZ473" s="338"/>
      <c r="BA473" s="338"/>
      <c r="BB473" s="338"/>
      <c r="BC473" s="338"/>
      <c r="BD473" s="338"/>
      <c r="BE473" s="338"/>
      <c r="BF473" s="338"/>
      <c r="BG473" s="338"/>
      <c r="BH473" s="338"/>
      <c r="BI473" s="338"/>
      <c r="BJ473" s="338"/>
      <c r="BK473" s="338"/>
      <c r="BL473" s="338"/>
      <c r="BM473" s="338"/>
      <c r="BN473" s="338"/>
      <c r="BO473" s="338"/>
      <c r="BP473" s="338"/>
      <c r="BQ473" s="338"/>
      <c r="BR473" s="338"/>
      <c r="BS473" s="338"/>
      <c r="BT473" s="338"/>
      <c r="BU473" s="338"/>
      <c r="BV473" s="338"/>
      <c r="BW473" s="338"/>
      <c r="BX473" s="338"/>
      <c r="BY473" s="338"/>
      <c r="BZ473" s="338"/>
      <c r="CA473" s="338"/>
      <c r="CB473" s="338"/>
      <c r="CC473" s="338"/>
      <c r="CD473" s="338"/>
      <c r="CE473" s="338"/>
      <c r="CF473" s="338"/>
      <c r="CG473" s="338"/>
      <c r="CH473" s="338"/>
      <c r="CI473" s="338"/>
      <c r="CJ473" s="338"/>
      <c r="CK473" s="338"/>
      <c r="CL473" s="338"/>
    </row>
    <row r="474" ht="14.2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40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  <c r="AI474" s="338"/>
      <c r="AJ474" s="338"/>
      <c r="AK474" s="338"/>
      <c r="AL474" s="338"/>
      <c r="AM474" s="338"/>
      <c r="AN474" s="338"/>
      <c r="AO474" s="338"/>
      <c r="AP474" s="338"/>
      <c r="AQ474" s="338"/>
      <c r="AR474" s="338"/>
      <c r="AS474" s="338"/>
      <c r="AT474" s="338"/>
      <c r="AU474" s="338"/>
      <c r="AV474" s="338"/>
      <c r="AW474" s="338"/>
      <c r="AX474" s="338"/>
      <c r="AY474" s="338"/>
      <c r="AZ474" s="338"/>
      <c r="BA474" s="338"/>
      <c r="BB474" s="338"/>
      <c r="BC474" s="338"/>
      <c r="BD474" s="338"/>
      <c r="BE474" s="338"/>
      <c r="BF474" s="338"/>
      <c r="BG474" s="338"/>
      <c r="BH474" s="338"/>
      <c r="BI474" s="338"/>
      <c r="BJ474" s="338"/>
      <c r="BK474" s="338"/>
      <c r="BL474" s="338"/>
      <c r="BM474" s="338"/>
      <c r="BN474" s="338"/>
      <c r="BO474" s="338"/>
      <c r="BP474" s="338"/>
      <c r="BQ474" s="338"/>
      <c r="BR474" s="338"/>
      <c r="BS474" s="338"/>
      <c r="BT474" s="338"/>
      <c r="BU474" s="338"/>
      <c r="BV474" s="338"/>
      <c r="BW474" s="338"/>
      <c r="BX474" s="338"/>
      <c r="BY474" s="338"/>
      <c r="BZ474" s="338"/>
      <c r="CA474" s="338"/>
      <c r="CB474" s="338"/>
      <c r="CC474" s="338"/>
      <c r="CD474" s="338"/>
      <c r="CE474" s="338"/>
      <c r="CF474" s="338"/>
      <c r="CG474" s="338"/>
      <c r="CH474" s="338"/>
      <c r="CI474" s="338"/>
      <c r="CJ474" s="338"/>
      <c r="CK474" s="338"/>
      <c r="CL474" s="338"/>
    </row>
    <row r="475" ht="14.2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40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  <c r="AI475" s="338"/>
      <c r="AJ475" s="338"/>
      <c r="AK475" s="338"/>
      <c r="AL475" s="338"/>
      <c r="AM475" s="338"/>
      <c r="AN475" s="338"/>
      <c r="AO475" s="338"/>
      <c r="AP475" s="338"/>
      <c r="AQ475" s="338"/>
      <c r="AR475" s="338"/>
      <c r="AS475" s="338"/>
      <c r="AT475" s="338"/>
      <c r="AU475" s="338"/>
      <c r="AV475" s="338"/>
      <c r="AW475" s="338"/>
      <c r="AX475" s="338"/>
      <c r="AY475" s="338"/>
      <c r="AZ475" s="338"/>
      <c r="BA475" s="338"/>
      <c r="BB475" s="338"/>
      <c r="BC475" s="338"/>
      <c r="BD475" s="338"/>
      <c r="BE475" s="338"/>
      <c r="BF475" s="338"/>
      <c r="BG475" s="338"/>
      <c r="BH475" s="338"/>
      <c r="BI475" s="338"/>
      <c r="BJ475" s="338"/>
      <c r="BK475" s="338"/>
      <c r="BL475" s="338"/>
      <c r="BM475" s="338"/>
      <c r="BN475" s="338"/>
      <c r="BO475" s="338"/>
      <c r="BP475" s="338"/>
      <c r="BQ475" s="338"/>
      <c r="BR475" s="338"/>
      <c r="BS475" s="338"/>
      <c r="BT475" s="338"/>
      <c r="BU475" s="338"/>
      <c r="BV475" s="338"/>
      <c r="BW475" s="338"/>
      <c r="BX475" s="338"/>
      <c r="BY475" s="338"/>
      <c r="BZ475" s="338"/>
      <c r="CA475" s="338"/>
      <c r="CB475" s="338"/>
      <c r="CC475" s="338"/>
      <c r="CD475" s="338"/>
      <c r="CE475" s="338"/>
      <c r="CF475" s="338"/>
      <c r="CG475" s="338"/>
      <c r="CH475" s="338"/>
      <c r="CI475" s="338"/>
      <c r="CJ475" s="338"/>
      <c r="CK475" s="338"/>
      <c r="CL475" s="338"/>
    </row>
    <row r="476" ht="14.2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40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  <c r="AI476" s="338"/>
      <c r="AJ476" s="338"/>
      <c r="AK476" s="338"/>
      <c r="AL476" s="338"/>
      <c r="AM476" s="338"/>
      <c r="AN476" s="338"/>
      <c r="AO476" s="338"/>
      <c r="AP476" s="338"/>
      <c r="AQ476" s="338"/>
      <c r="AR476" s="338"/>
      <c r="AS476" s="338"/>
      <c r="AT476" s="338"/>
      <c r="AU476" s="338"/>
      <c r="AV476" s="338"/>
      <c r="AW476" s="338"/>
      <c r="AX476" s="338"/>
      <c r="AY476" s="338"/>
      <c r="AZ476" s="338"/>
      <c r="BA476" s="338"/>
      <c r="BB476" s="338"/>
      <c r="BC476" s="338"/>
      <c r="BD476" s="338"/>
      <c r="BE476" s="338"/>
      <c r="BF476" s="338"/>
      <c r="BG476" s="338"/>
      <c r="BH476" s="338"/>
      <c r="BI476" s="338"/>
      <c r="BJ476" s="338"/>
      <c r="BK476" s="338"/>
      <c r="BL476" s="338"/>
      <c r="BM476" s="338"/>
      <c r="BN476" s="338"/>
      <c r="BO476" s="338"/>
      <c r="BP476" s="338"/>
      <c r="BQ476" s="338"/>
      <c r="BR476" s="338"/>
      <c r="BS476" s="338"/>
      <c r="BT476" s="338"/>
      <c r="BU476" s="338"/>
      <c r="BV476" s="338"/>
      <c r="BW476" s="338"/>
      <c r="BX476" s="338"/>
      <c r="BY476" s="338"/>
      <c r="BZ476" s="338"/>
      <c r="CA476" s="338"/>
      <c r="CB476" s="338"/>
      <c r="CC476" s="338"/>
      <c r="CD476" s="338"/>
      <c r="CE476" s="338"/>
      <c r="CF476" s="338"/>
      <c r="CG476" s="338"/>
      <c r="CH476" s="338"/>
      <c r="CI476" s="338"/>
      <c r="CJ476" s="338"/>
      <c r="CK476" s="338"/>
      <c r="CL476" s="338"/>
    </row>
    <row r="477" ht="14.2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40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  <c r="AI477" s="338"/>
      <c r="AJ477" s="338"/>
      <c r="AK477" s="338"/>
      <c r="AL477" s="338"/>
      <c r="AM477" s="338"/>
      <c r="AN477" s="338"/>
      <c r="AO477" s="338"/>
      <c r="AP477" s="338"/>
      <c r="AQ477" s="338"/>
      <c r="AR477" s="338"/>
      <c r="AS477" s="338"/>
      <c r="AT477" s="338"/>
      <c r="AU477" s="338"/>
      <c r="AV477" s="338"/>
      <c r="AW477" s="338"/>
      <c r="AX477" s="338"/>
      <c r="AY477" s="338"/>
      <c r="AZ477" s="338"/>
      <c r="BA477" s="338"/>
      <c r="BB477" s="338"/>
      <c r="BC477" s="338"/>
      <c r="BD477" s="338"/>
      <c r="BE477" s="338"/>
      <c r="BF477" s="338"/>
      <c r="BG477" s="338"/>
      <c r="BH477" s="338"/>
      <c r="BI477" s="338"/>
      <c r="BJ477" s="338"/>
      <c r="BK477" s="338"/>
      <c r="BL477" s="338"/>
      <c r="BM477" s="338"/>
      <c r="BN477" s="338"/>
      <c r="BO477" s="338"/>
      <c r="BP477" s="338"/>
      <c r="BQ477" s="338"/>
      <c r="BR477" s="338"/>
      <c r="BS477" s="338"/>
      <c r="BT477" s="338"/>
      <c r="BU477" s="338"/>
      <c r="BV477" s="338"/>
      <c r="BW477" s="338"/>
      <c r="BX477" s="338"/>
      <c r="BY477" s="338"/>
      <c r="BZ477" s="338"/>
      <c r="CA477" s="338"/>
      <c r="CB477" s="338"/>
      <c r="CC477" s="338"/>
      <c r="CD477" s="338"/>
      <c r="CE477" s="338"/>
      <c r="CF477" s="338"/>
      <c r="CG477" s="338"/>
      <c r="CH477" s="338"/>
      <c r="CI477" s="338"/>
      <c r="CJ477" s="338"/>
      <c r="CK477" s="338"/>
      <c r="CL477" s="338"/>
    </row>
    <row r="478" ht="14.2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40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  <c r="AI478" s="338"/>
      <c r="AJ478" s="338"/>
      <c r="AK478" s="338"/>
      <c r="AL478" s="338"/>
      <c r="AM478" s="338"/>
      <c r="AN478" s="338"/>
      <c r="AO478" s="338"/>
      <c r="AP478" s="338"/>
      <c r="AQ478" s="338"/>
      <c r="AR478" s="338"/>
      <c r="AS478" s="338"/>
      <c r="AT478" s="338"/>
      <c r="AU478" s="338"/>
      <c r="AV478" s="338"/>
      <c r="AW478" s="338"/>
      <c r="AX478" s="338"/>
      <c r="AY478" s="338"/>
      <c r="AZ478" s="338"/>
      <c r="BA478" s="338"/>
      <c r="BB478" s="338"/>
      <c r="BC478" s="338"/>
      <c r="BD478" s="338"/>
      <c r="BE478" s="338"/>
      <c r="BF478" s="338"/>
      <c r="BG478" s="338"/>
      <c r="BH478" s="338"/>
      <c r="BI478" s="338"/>
      <c r="BJ478" s="338"/>
      <c r="BK478" s="338"/>
      <c r="BL478" s="338"/>
      <c r="BM478" s="338"/>
      <c r="BN478" s="338"/>
      <c r="BO478" s="338"/>
      <c r="BP478" s="338"/>
      <c r="BQ478" s="338"/>
      <c r="BR478" s="338"/>
      <c r="BS478" s="338"/>
      <c r="BT478" s="338"/>
      <c r="BU478" s="338"/>
      <c r="BV478" s="338"/>
      <c r="BW478" s="338"/>
      <c r="BX478" s="338"/>
      <c r="BY478" s="338"/>
      <c r="BZ478" s="338"/>
      <c r="CA478" s="338"/>
      <c r="CB478" s="338"/>
      <c r="CC478" s="338"/>
      <c r="CD478" s="338"/>
      <c r="CE478" s="338"/>
      <c r="CF478" s="338"/>
      <c r="CG478" s="338"/>
      <c r="CH478" s="338"/>
      <c r="CI478" s="338"/>
      <c r="CJ478" s="338"/>
      <c r="CK478" s="338"/>
      <c r="CL478" s="338"/>
    </row>
    <row r="479" ht="14.2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40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  <c r="AI479" s="338"/>
      <c r="AJ479" s="338"/>
      <c r="AK479" s="338"/>
      <c r="AL479" s="338"/>
      <c r="AM479" s="338"/>
      <c r="AN479" s="338"/>
      <c r="AO479" s="338"/>
      <c r="AP479" s="338"/>
      <c r="AQ479" s="338"/>
      <c r="AR479" s="338"/>
      <c r="AS479" s="338"/>
      <c r="AT479" s="338"/>
      <c r="AU479" s="338"/>
      <c r="AV479" s="338"/>
      <c r="AW479" s="338"/>
      <c r="AX479" s="338"/>
      <c r="AY479" s="338"/>
      <c r="AZ479" s="338"/>
      <c r="BA479" s="338"/>
      <c r="BB479" s="338"/>
      <c r="BC479" s="338"/>
      <c r="BD479" s="338"/>
      <c r="BE479" s="338"/>
      <c r="BF479" s="338"/>
      <c r="BG479" s="338"/>
      <c r="BH479" s="338"/>
      <c r="BI479" s="338"/>
      <c r="BJ479" s="338"/>
      <c r="BK479" s="338"/>
      <c r="BL479" s="338"/>
      <c r="BM479" s="338"/>
      <c r="BN479" s="338"/>
      <c r="BO479" s="338"/>
      <c r="BP479" s="338"/>
      <c r="BQ479" s="338"/>
      <c r="BR479" s="338"/>
      <c r="BS479" s="338"/>
      <c r="BT479" s="338"/>
      <c r="BU479" s="338"/>
      <c r="BV479" s="338"/>
      <c r="BW479" s="338"/>
      <c r="BX479" s="338"/>
      <c r="BY479" s="338"/>
      <c r="BZ479" s="338"/>
      <c r="CA479" s="338"/>
      <c r="CB479" s="338"/>
      <c r="CC479" s="338"/>
      <c r="CD479" s="338"/>
      <c r="CE479" s="338"/>
      <c r="CF479" s="338"/>
      <c r="CG479" s="338"/>
      <c r="CH479" s="338"/>
      <c r="CI479" s="338"/>
      <c r="CJ479" s="338"/>
      <c r="CK479" s="338"/>
      <c r="CL479" s="338"/>
    </row>
    <row r="480" ht="14.2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40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  <c r="AI480" s="338"/>
      <c r="AJ480" s="338"/>
      <c r="AK480" s="338"/>
      <c r="AL480" s="338"/>
      <c r="AM480" s="338"/>
      <c r="AN480" s="338"/>
      <c r="AO480" s="338"/>
      <c r="AP480" s="338"/>
      <c r="AQ480" s="338"/>
      <c r="AR480" s="338"/>
      <c r="AS480" s="338"/>
      <c r="AT480" s="338"/>
      <c r="AU480" s="338"/>
      <c r="AV480" s="338"/>
      <c r="AW480" s="338"/>
      <c r="AX480" s="338"/>
      <c r="AY480" s="338"/>
      <c r="AZ480" s="338"/>
      <c r="BA480" s="338"/>
      <c r="BB480" s="338"/>
      <c r="BC480" s="338"/>
      <c r="BD480" s="338"/>
      <c r="BE480" s="338"/>
      <c r="BF480" s="338"/>
      <c r="BG480" s="338"/>
      <c r="BH480" s="338"/>
      <c r="BI480" s="338"/>
      <c r="BJ480" s="338"/>
      <c r="BK480" s="338"/>
      <c r="BL480" s="338"/>
      <c r="BM480" s="338"/>
      <c r="BN480" s="338"/>
      <c r="BO480" s="338"/>
      <c r="BP480" s="338"/>
      <c r="BQ480" s="338"/>
      <c r="BR480" s="338"/>
      <c r="BS480" s="338"/>
      <c r="BT480" s="338"/>
      <c r="BU480" s="338"/>
      <c r="BV480" s="338"/>
      <c r="BW480" s="338"/>
      <c r="BX480" s="338"/>
      <c r="BY480" s="338"/>
      <c r="BZ480" s="338"/>
      <c r="CA480" s="338"/>
      <c r="CB480" s="338"/>
      <c r="CC480" s="338"/>
      <c r="CD480" s="338"/>
      <c r="CE480" s="338"/>
      <c r="CF480" s="338"/>
      <c r="CG480" s="338"/>
      <c r="CH480" s="338"/>
      <c r="CI480" s="338"/>
      <c r="CJ480" s="338"/>
      <c r="CK480" s="338"/>
      <c r="CL480" s="338"/>
    </row>
    <row r="481" ht="14.2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40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  <c r="AI481" s="338"/>
      <c r="AJ481" s="338"/>
      <c r="AK481" s="338"/>
      <c r="AL481" s="338"/>
      <c r="AM481" s="338"/>
      <c r="AN481" s="338"/>
      <c r="AO481" s="338"/>
      <c r="AP481" s="338"/>
      <c r="AQ481" s="338"/>
      <c r="AR481" s="338"/>
      <c r="AS481" s="338"/>
      <c r="AT481" s="338"/>
      <c r="AU481" s="338"/>
      <c r="AV481" s="338"/>
      <c r="AW481" s="338"/>
      <c r="AX481" s="338"/>
      <c r="AY481" s="338"/>
      <c r="AZ481" s="338"/>
      <c r="BA481" s="338"/>
      <c r="BB481" s="338"/>
      <c r="BC481" s="338"/>
      <c r="BD481" s="338"/>
      <c r="BE481" s="338"/>
      <c r="BF481" s="338"/>
      <c r="BG481" s="338"/>
      <c r="BH481" s="338"/>
      <c r="BI481" s="338"/>
      <c r="BJ481" s="338"/>
      <c r="BK481" s="338"/>
      <c r="BL481" s="338"/>
      <c r="BM481" s="338"/>
      <c r="BN481" s="338"/>
      <c r="BO481" s="338"/>
      <c r="BP481" s="338"/>
      <c r="BQ481" s="338"/>
      <c r="BR481" s="338"/>
      <c r="BS481" s="338"/>
      <c r="BT481" s="338"/>
      <c r="BU481" s="338"/>
      <c r="BV481" s="338"/>
      <c r="BW481" s="338"/>
      <c r="BX481" s="338"/>
      <c r="BY481" s="338"/>
      <c r="BZ481" s="338"/>
      <c r="CA481" s="338"/>
      <c r="CB481" s="338"/>
      <c r="CC481" s="338"/>
      <c r="CD481" s="338"/>
      <c r="CE481" s="338"/>
      <c r="CF481" s="338"/>
      <c r="CG481" s="338"/>
      <c r="CH481" s="338"/>
      <c r="CI481" s="338"/>
      <c r="CJ481" s="338"/>
      <c r="CK481" s="338"/>
      <c r="CL481" s="338"/>
    </row>
    <row r="482" ht="14.2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40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  <c r="AI482" s="338"/>
      <c r="AJ482" s="338"/>
      <c r="AK482" s="338"/>
      <c r="AL482" s="338"/>
      <c r="AM482" s="338"/>
      <c r="AN482" s="338"/>
      <c r="AO482" s="338"/>
      <c r="AP482" s="338"/>
      <c r="AQ482" s="338"/>
      <c r="AR482" s="338"/>
      <c r="AS482" s="338"/>
      <c r="AT482" s="338"/>
      <c r="AU482" s="338"/>
      <c r="AV482" s="338"/>
      <c r="AW482" s="338"/>
      <c r="AX482" s="338"/>
      <c r="AY482" s="338"/>
      <c r="AZ482" s="338"/>
      <c r="BA482" s="338"/>
      <c r="BB482" s="338"/>
      <c r="BC482" s="338"/>
      <c r="BD482" s="338"/>
      <c r="BE482" s="338"/>
      <c r="BF482" s="338"/>
      <c r="BG482" s="338"/>
      <c r="BH482" s="338"/>
      <c r="BI482" s="338"/>
      <c r="BJ482" s="338"/>
      <c r="BK482" s="338"/>
      <c r="BL482" s="338"/>
      <c r="BM482" s="338"/>
      <c r="BN482" s="338"/>
      <c r="BO482" s="338"/>
      <c r="BP482" s="338"/>
      <c r="BQ482" s="338"/>
      <c r="BR482" s="338"/>
      <c r="BS482" s="338"/>
      <c r="BT482" s="338"/>
      <c r="BU482" s="338"/>
      <c r="BV482" s="338"/>
      <c r="BW482" s="338"/>
      <c r="BX482" s="338"/>
      <c r="BY482" s="338"/>
      <c r="BZ482" s="338"/>
      <c r="CA482" s="338"/>
      <c r="CB482" s="338"/>
      <c r="CC482" s="338"/>
      <c r="CD482" s="338"/>
      <c r="CE482" s="338"/>
      <c r="CF482" s="338"/>
      <c r="CG482" s="338"/>
      <c r="CH482" s="338"/>
      <c r="CI482" s="338"/>
      <c r="CJ482" s="338"/>
      <c r="CK482" s="338"/>
      <c r="CL482" s="338"/>
    </row>
    <row r="483" ht="14.2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40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  <c r="AI483" s="338"/>
      <c r="AJ483" s="338"/>
      <c r="AK483" s="338"/>
      <c r="AL483" s="338"/>
      <c r="AM483" s="338"/>
      <c r="AN483" s="338"/>
      <c r="AO483" s="338"/>
      <c r="AP483" s="338"/>
      <c r="AQ483" s="338"/>
      <c r="AR483" s="338"/>
      <c r="AS483" s="338"/>
      <c r="AT483" s="338"/>
      <c r="AU483" s="338"/>
      <c r="AV483" s="338"/>
      <c r="AW483" s="338"/>
      <c r="AX483" s="338"/>
      <c r="AY483" s="338"/>
      <c r="AZ483" s="338"/>
      <c r="BA483" s="338"/>
      <c r="BB483" s="338"/>
      <c r="BC483" s="338"/>
      <c r="BD483" s="338"/>
      <c r="BE483" s="338"/>
      <c r="BF483" s="338"/>
      <c r="BG483" s="338"/>
      <c r="BH483" s="338"/>
      <c r="BI483" s="338"/>
      <c r="BJ483" s="338"/>
      <c r="BK483" s="338"/>
      <c r="BL483" s="338"/>
      <c r="BM483" s="338"/>
      <c r="BN483" s="338"/>
      <c r="BO483" s="338"/>
      <c r="BP483" s="338"/>
      <c r="BQ483" s="338"/>
      <c r="BR483" s="338"/>
      <c r="BS483" s="338"/>
      <c r="BT483" s="338"/>
      <c r="BU483" s="338"/>
      <c r="BV483" s="338"/>
      <c r="BW483" s="338"/>
      <c r="BX483" s="338"/>
      <c r="BY483" s="338"/>
      <c r="BZ483" s="338"/>
      <c r="CA483" s="338"/>
      <c r="CB483" s="338"/>
      <c r="CC483" s="338"/>
      <c r="CD483" s="338"/>
      <c r="CE483" s="338"/>
      <c r="CF483" s="338"/>
      <c r="CG483" s="338"/>
      <c r="CH483" s="338"/>
      <c r="CI483" s="338"/>
      <c r="CJ483" s="338"/>
      <c r="CK483" s="338"/>
      <c r="CL483" s="338"/>
    </row>
    <row r="484" ht="14.2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40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  <c r="AI484" s="338"/>
      <c r="AJ484" s="338"/>
      <c r="AK484" s="338"/>
      <c r="AL484" s="338"/>
      <c r="AM484" s="338"/>
      <c r="AN484" s="338"/>
      <c r="AO484" s="338"/>
      <c r="AP484" s="338"/>
      <c r="AQ484" s="338"/>
      <c r="AR484" s="338"/>
      <c r="AS484" s="338"/>
      <c r="AT484" s="338"/>
      <c r="AU484" s="338"/>
      <c r="AV484" s="338"/>
      <c r="AW484" s="338"/>
      <c r="AX484" s="338"/>
      <c r="AY484" s="338"/>
      <c r="AZ484" s="338"/>
      <c r="BA484" s="338"/>
      <c r="BB484" s="338"/>
      <c r="BC484" s="338"/>
      <c r="BD484" s="338"/>
      <c r="BE484" s="338"/>
      <c r="BF484" s="338"/>
      <c r="BG484" s="338"/>
      <c r="BH484" s="338"/>
      <c r="BI484" s="338"/>
      <c r="BJ484" s="338"/>
      <c r="BK484" s="338"/>
      <c r="BL484" s="338"/>
      <c r="BM484" s="338"/>
      <c r="BN484" s="338"/>
      <c r="BO484" s="338"/>
      <c r="BP484" s="338"/>
      <c r="BQ484" s="338"/>
      <c r="BR484" s="338"/>
      <c r="BS484" s="338"/>
      <c r="BT484" s="338"/>
      <c r="BU484" s="338"/>
      <c r="BV484" s="338"/>
      <c r="BW484" s="338"/>
      <c r="BX484" s="338"/>
      <c r="BY484" s="338"/>
      <c r="BZ484" s="338"/>
      <c r="CA484" s="338"/>
      <c r="CB484" s="338"/>
      <c r="CC484" s="338"/>
      <c r="CD484" s="338"/>
      <c r="CE484" s="338"/>
      <c r="CF484" s="338"/>
      <c r="CG484" s="338"/>
      <c r="CH484" s="338"/>
      <c r="CI484" s="338"/>
      <c r="CJ484" s="338"/>
      <c r="CK484" s="338"/>
      <c r="CL484" s="338"/>
    </row>
    <row r="485" ht="14.2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40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  <c r="AI485" s="338"/>
      <c r="AJ485" s="338"/>
      <c r="AK485" s="338"/>
      <c r="AL485" s="338"/>
      <c r="AM485" s="338"/>
      <c r="AN485" s="338"/>
      <c r="AO485" s="338"/>
      <c r="AP485" s="338"/>
      <c r="AQ485" s="338"/>
      <c r="AR485" s="338"/>
      <c r="AS485" s="338"/>
      <c r="AT485" s="338"/>
      <c r="AU485" s="338"/>
      <c r="AV485" s="338"/>
      <c r="AW485" s="338"/>
      <c r="AX485" s="338"/>
      <c r="AY485" s="338"/>
      <c r="AZ485" s="338"/>
      <c r="BA485" s="338"/>
      <c r="BB485" s="338"/>
      <c r="BC485" s="338"/>
      <c r="BD485" s="338"/>
      <c r="BE485" s="338"/>
      <c r="BF485" s="338"/>
      <c r="BG485" s="338"/>
      <c r="BH485" s="338"/>
      <c r="BI485" s="338"/>
      <c r="BJ485" s="338"/>
      <c r="BK485" s="338"/>
      <c r="BL485" s="338"/>
      <c r="BM485" s="338"/>
      <c r="BN485" s="338"/>
      <c r="BO485" s="338"/>
      <c r="BP485" s="338"/>
      <c r="BQ485" s="338"/>
      <c r="BR485" s="338"/>
      <c r="BS485" s="338"/>
      <c r="BT485" s="338"/>
      <c r="BU485" s="338"/>
      <c r="BV485" s="338"/>
      <c r="BW485" s="338"/>
      <c r="BX485" s="338"/>
      <c r="BY485" s="338"/>
      <c r="BZ485" s="338"/>
      <c r="CA485" s="338"/>
      <c r="CB485" s="338"/>
      <c r="CC485" s="338"/>
      <c r="CD485" s="338"/>
      <c r="CE485" s="338"/>
      <c r="CF485" s="338"/>
      <c r="CG485" s="338"/>
      <c r="CH485" s="338"/>
      <c r="CI485" s="338"/>
      <c r="CJ485" s="338"/>
      <c r="CK485" s="338"/>
      <c r="CL485" s="338"/>
    </row>
    <row r="486" ht="14.2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40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  <c r="AI486" s="338"/>
      <c r="AJ486" s="338"/>
      <c r="AK486" s="338"/>
      <c r="AL486" s="338"/>
      <c r="AM486" s="338"/>
      <c r="AN486" s="338"/>
      <c r="AO486" s="338"/>
      <c r="AP486" s="338"/>
      <c r="AQ486" s="338"/>
      <c r="AR486" s="338"/>
      <c r="AS486" s="338"/>
      <c r="AT486" s="338"/>
      <c r="AU486" s="338"/>
      <c r="AV486" s="338"/>
      <c r="AW486" s="338"/>
      <c r="AX486" s="338"/>
      <c r="AY486" s="338"/>
      <c r="AZ486" s="338"/>
      <c r="BA486" s="338"/>
      <c r="BB486" s="338"/>
      <c r="BC486" s="338"/>
      <c r="BD486" s="338"/>
      <c r="BE486" s="338"/>
      <c r="BF486" s="338"/>
      <c r="BG486" s="338"/>
      <c r="BH486" s="338"/>
      <c r="BI486" s="338"/>
      <c r="BJ486" s="338"/>
      <c r="BK486" s="338"/>
      <c r="BL486" s="338"/>
      <c r="BM486" s="338"/>
      <c r="BN486" s="338"/>
      <c r="BO486" s="338"/>
      <c r="BP486" s="338"/>
      <c r="BQ486" s="338"/>
      <c r="BR486" s="338"/>
      <c r="BS486" s="338"/>
      <c r="BT486" s="338"/>
      <c r="BU486" s="338"/>
      <c r="BV486" s="338"/>
      <c r="BW486" s="338"/>
      <c r="BX486" s="338"/>
      <c r="BY486" s="338"/>
      <c r="BZ486" s="338"/>
      <c r="CA486" s="338"/>
      <c r="CB486" s="338"/>
      <c r="CC486" s="338"/>
      <c r="CD486" s="338"/>
      <c r="CE486" s="338"/>
      <c r="CF486" s="338"/>
      <c r="CG486" s="338"/>
      <c r="CH486" s="338"/>
      <c r="CI486" s="338"/>
      <c r="CJ486" s="338"/>
      <c r="CK486" s="338"/>
      <c r="CL486" s="338"/>
    </row>
    <row r="487" ht="14.2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40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  <c r="AI487" s="338"/>
      <c r="AJ487" s="338"/>
      <c r="AK487" s="338"/>
      <c r="AL487" s="338"/>
      <c r="AM487" s="338"/>
      <c r="AN487" s="338"/>
      <c r="AO487" s="338"/>
      <c r="AP487" s="338"/>
      <c r="AQ487" s="338"/>
      <c r="AR487" s="338"/>
      <c r="AS487" s="338"/>
      <c r="AT487" s="338"/>
      <c r="AU487" s="338"/>
      <c r="AV487" s="338"/>
      <c r="AW487" s="338"/>
      <c r="AX487" s="338"/>
      <c r="AY487" s="338"/>
      <c r="AZ487" s="338"/>
      <c r="BA487" s="338"/>
      <c r="BB487" s="338"/>
      <c r="BC487" s="338"/>
      <c r="BD487" s="338"/>
      <c r="BE487" s="338"/>
      <c r="BF487" s="338"/>
      <c r="BG487" s="338"/>
      <c r="BH487" s="338"/>
      <c r="BI487" s="338"/>
      <c r="BJ487" s="338"/>
      <c r="BK487" s="338"/>
      <c r="BL487" s="338"/>
      <c r="BM487" s="338"/>
      <c r="BN487" s="338"/>
      <c r="BO487" s="338"/>
      <c r="BP487" s="338"/>
      <c r="BQ487" s="338"/>
      <c r="BR487" s="338"/>
      <c r="BS487" s="338"/>
      <c r="BT487" s="338"/>
      <c r="BU487" s="338"/>
      <c r="BV487" s="338"/>
      <c r="BW487" s="338"/>
      <c r="BX487" s="338"/>
      <c r="BY487" s="338"/>
      <c r="BZ487" s="338"/>
      <c r="CA487" s="338"/>
      <c r="CB487" s="338"/>
      <c r="CC487" s="338"/>
      <c r="CD487" s="338"/>
      <c r="CE487" s="338"/>
      <c r="CF487" s="338"/>
      <c r="CG487" s="338"/>
      <c r="CH487" s="338"/>
      <c r="CI487" s="338"/>
      <c r="CJ487" s="338"/>
      <c r="CK487" s="338"/>
      <c r="CL487" s="338"/>
    </row>
    <row r="488" ht="14.2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40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  <c r="AI488" s="338"/>
      <c r="AJ488" s="338"/>
      <c r="AK488" s="338"/>
      <c r="AL488" s="338"/>
      <c r="AM488" s="338"/>
      <c r="AN488" s="338"/>
      <c r="AO488" s="338"/>
      <c r="AP488" s="338"/>
      <c r="AQ488" s="338"/>
      <c r="AR488" s="338"/>
      <c r="AS488" s="338"/>
      <c r="AT488" s="338"/>
      <c r="AU488" s="338"/>
      <c r="AV488" s="338"/>
      <c r="AW488" s="338"/>
      <c r="AX488" s="338"/>
      <c r="AY488" s="338"/>
      <c r="AZ488" s="338"/>
      <c r="BA488" s="338"/>
      <c r="BB488" s="338"/>
      <c r="BC488" s="338"/>
      <c r="BD488" s="338"/>
      <c r="BE488" s="338"/>
      <c r="BF488" s="338"/>
      <c r="BG488" s="338"/>
      <c r="BH488" s="338"/>
      <c r="BI488" s="338"/>
      <c r="BJ488" s="338"/>
      <c r="BK488" s="338"/>
      <c r="BL488" s="338"/>
      <c r="BM488" s="338"/>
      <c r="BN488" s="338"/>
      <c r="BO488" s="338"/>
      <c r="BP488" s="338"/>
      <c r="BQ488" s="338"/>
      <c r="BR488" s="338"/>
      <c r="BS488" s="338"/>
      <c r="BT488" s="338"/>
      <c r="BU488" s="338"/>
      <c r="BV488" s="338"/>
      <c r="BW488" s="338"/>
      <c r="BX488" s="338"/>
      <c r="BY488" s="338"/>
      <c r="BZ488" s="338"/>
      <c r="CA488" s="338"/>
      <c r="CB488" s="338"/>
      <c r="CC488" s="338"/>
      <c r="CD488" s="338"/>
      <c r="CE488" s="338"/>
      <c r="CF488" s="338"/>
      <c r="CG488" s="338"/>
      <c r="CH488" s="338"/>
      <c r="CI488" s="338"/>
      <c r="CJ488" s="338"/>
      <c r="CK488" s="338"/>
      <c r="CL488" s="338"/>
    </row>
    <row r="489" ht="14.2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40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  <c r="AI489" s="338"/>
      <c r="AJ489" s="338"/>
      <c r="AK489" s="338"/>
      <c r="AL489" s="338"/>
      <c r="AM489" s="338"/>
      <c r="AN489" s="338"/>
      <c r="AO489" s="338"/>
      <c r="AP489" s="338"/>
      <c r="AQ489" s="338"/>
      <c r="AR489" s="338"/>
      <c r="AS489" s="338"/>
      <c r="AT489" s="338"/>
      <c r="AU489" s="338"/>
      <c r="AV489" s="338"/>
      <c r="AW489" s="338"/>
      <c r="AX489" s="338"/>
      <c r="AY489" s="338"/>
      <c r="AZ489" s="338"/>
      <c r="BA489" s="338"/>
      <c r="BB489" s="338"/>
      <c r="BC489" s="338"/>
      <c r="BD489" s="338"/>
      <c r="BE489" s="338"/>
      <c r="BF489" s="338"/>
      <c r="BG489" s="338"/>
      <c r="BH489" s="338"/>
      <c r="BI489" s="338"/>
      <c r="BJ489" s="338"/>
      <c r="BK489" s="338"/>
      <c r="BL489" s="338"/>
      <c r="BM489" s="338"/>
      <c r="BN489" s="338"/>
      <c r="BO489" s="338"/>
      <c r="BP489" s="338"/>
      <c r="BQ489" s="338"/>
      <c r="BR489" s="338"/>
      <c r="BS489" s="338"/>
      <c r="BT489" s="338"/>
      <c r="BU489" s="338"/>
      <c r="BV489" s="338"/>
      <c r="BW489" s="338"/>
      <c r="BX489" s="338"/>
      <c r="BY489" s="338"/>
      <c r="BZ489" s="338"/>
      <c r="CA489" s="338"/>
      <c r="CB489" s="338"/>
      <c r="CC489" s="338"/>
      <c r="CD489" s="338"/>
      <c r="CE489" s="338"/>
      <c r="CF489" s="338"/>
      <c r="CG489" s="338"/>
      <c r="CH489" s="338"/>
      <c r="CI489" s="338"/>
      <c r="CJ489" s="338"/>
      <c r="CK489" s="338"/>
      <c r="CL489" s="338"/>
    </row>
    <row r="490" ht="14.2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40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  <c r="AI490" s="338"/>
      <c r="AJ490" s="338"/>
      <c r="AK490" s="338"/>
      <c r="AL490" s="338"/>
      <c r="AM490" s="338"/>
      <c r="AN490" s="338"/>
      <c r="AO490" s="338"/>
      <c r="AP490" s="338"/>
      <c r="AQ490" s="338"/>
      <c r="AR490" s="338"/>
      <c r="AS490" s="338"/>
      <c r="AT490" s="338"/>
      <c r="AU490" s="338"/>
      <c r="AV490" s="338"/>
      <c r="AW490" s="338"/>
      <c r="AX490" s="338"/>
      <c r="AY490" s="338"/>
      <c r="AZ490" s="338"/>
      <c r="BA490" s="338"/>
      <c r="BB490" s="338"/>
      <c r="BC490" s="338"/>
      <c r="BD490" s="338"/>
      <c r="BE490" s="338"/>
      <c r="BF490" s="338"/>
      <c r="BG490" s="338"/>
      <c r="BH490" s="338"/>
      <c r="BI490" s="338"/>
      <c r="BJ490" s="338"/>
      <c r="BK490" s="338"/>
      <c r="BL490" s="338"/>
      <c r="BM490" s="338"/>
      <c r="BN490" s="338"/>
      <c r="BO490" s="338"/>
      <c r="BP490" s="338"/>
      <c r="BQ490" s="338"/>
      <c r="BR490" s="338"/>
      <c r="BS490" s="338"/>
      <c r="BT490" s="338"/>
      <c r="BU490" s="338"/>
      <c r="BV490" s="338"/>
      <c r="BW490" s="338"/>
      <c r="BX490" s="338"/>
      <c r="BY490" s="338"/>
      <c r="BZ490" s="338"/>
      <c r="CA490" s="338"/>
      <c r="CB490" s="338"/>
      <c r="CC490" s="338"/>
      <c r="CD490" s="338"/>
      <c r="CE490" s="338"/>
      <c r="CF490" s="338"/>
      <c r="CG490" s="338"/>
      <c r="CH490" s="338"/>
      <c r="CI490" s="338"/>
      <c r="CJ490" s="338"/>
      <c r="CK490" s="338"/>
      <c r="CL490" s="338"/>
    </row>
    <row r="491" ht="14.2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40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  <c r="AI491" s="338"/>
      <c r="AJ491" s="338"/>
      <c r="AK491" s="338"/>
      <c r="AL491" s="338"/>
      <c r="AM491" s="338"/>
      <c r="AN491" s="338"/>
      <c r="AO491" s="338"/>
      <c r="AP491" s="338"/>
      <c r="AQ491" s="338"/>
      <c r="AR491" s="338"/>
      <c r="AS491" s="338"/>
      <c r="AT491" s="338"/>
      <c r="AU491" s="338"/>
      <c r="AV491" s="338"/>
      <c r="AW491" s="338"/>
      <c r="AX491" s="338"/>
      <c r="AY491" s="338"/>
      <c r="AZ491" s="338"/>
      <c r="BA491" s="338"/>
      <c r="BB491" s="338"/>
      <c r="BC491" s="338"/>
      <c r="BD491" s="338"/>
      <c r="BE491" s="338"/>
      <c r="BF491" s="338"/>
      <c r="BG491" s="338"/>
      <c r="BH491" s="338"/>
      <c r="BI491" s="338"/>
      <c r="BJ491" s="338"/>
      <c r="BK491" s="338"/>
      <c r="BL491" s="338"/>
      <c r="BM491" s="338"/>
      <c r="BN491" s="338"/>
      <c r="BO491" s="338"/>
      <c r="BP491" s="338"/>
      <c r="BQ491" s="338"/>
      <c r="BR491" s="338"/>
      <c r="BS491" s="338"/>
      <c r="BT491" s="338"/>
      <c r="BU491" s="338"/>
      <c r="BV491" s="338"/>
      <c r="BW491" s="338"/>
      <c r="BX491" s="338"/>
      <c r="BY491" s="338"/>
      <c r="BZ491" s="338"/>
      <c r="CA491" s="338"/>
      <c r="CB491" s="338"/>
      <c r="CC491" s="338"/>
      <c r="CD491" s="338"/>
      <c r="CE491" s="338"/>
      <c r="CF491" s="338"/>
      <c r="CG491" s="338"/>
      <c r="CH491" s="338"/>
      <c r="CI491" s="338"/>
      <c r="CJ491" s="338"/>
      <c r="CK491" s="338"/>
      <c r="CL491" s="338"/>
    </row>
    <row r="492" ht="14.2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40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  <c r="AV492" s="338"/>
      <c r="AW492" s="338"/>
      <c r="AX492" s="338"/>
      <c r="AY492" s="338"/>
      <c r="AZ492" s="338"/>
      <c r="BA492" s="338"/>
      <c r="BB492" s="338"/>
      <c r="BC492" s="338"/>
      <c r="BD492" s="338"/>
      <c r="BE492" s="338"/>
      <c r="BF492" s="338"/>
      <c r="BG492" s="338"/>
      <c r="BH492" s="338"/>
      <c r="BI492" s="338"/>
      <c r="BJ492" s="338"/>
      <c r="BK492" s="338"/>
      <c r="BL492" s="338"/>
      <c r="BM492" s="338"/>
      <c r="BN492" s="338"/>
      <c r="BO492" s="338"/>
      <c r="BP492" s="338"/>
      <c r="BQ492" s="338"/>
      <c r="BR492" s="338"/>
      <c r="BS492" s="338"/>
      <c r="BT492" s="338"/>
      <c r="BU492" s="338"/>
      <c r="BV492" s="338"/>
      <c r="BW492" s="338"/>
      <c r="BX492" s="338"/>
      <c r="BY492" s="338"/>
      <c r="BZ492" s="338"/>
      <c r="CA492" s="338"/>
      <c r="CB492" s="338"/>
      <c r="CC492" s="338"/>
      <c r="CD492" s="338"/>
      <c r="CE492" s="338"/>
      <c r="CF492" s="338"/>
      <c r="CG492" s="338"/>
      <c r="CH492" s="338"/>
      <c r="CI492" s="338"/>
      <c r="CJ492" s="338"/>
      <c r="CK492" s="338"/>
      <c r="CL492" s="338"/>
    </row>
    <row r="493" ht="14.2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40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  <c r="AV493" s="338"/>
      <c r="AW493" s="338"/>
      <c r="AX493" s="338"/>
      <c r="AY493" s="338"/>
      <c r="AZ493" s="338"/>
      <c r="BA493" s="338"/>
      <c r="BB493" s="338"/>
      <c r="BC493" s="338"/>
      <c r="BD493" s="338"/>
      <c r="BE493" s="338"/>
      <c r="BF493" s="338"/>
      <c r="BG493" s="338"/>
      <c r="BH493" s="338"/>
      <c r="BI493" s="338"/>
      <c r="BJ493" s="338"/>
      <c r="BK493" s="338"/>
      <c r="BL493" s="338"/>
      <c r="BM493" s="338"/>
      <c r="BN493" s="338"/>
      <c r="BO493" s="338"/>
      <c r="BP493" s="338"/>
      <c r="BQ493" s="338"/>
      <c r="BR493" s="338"/>
      <c r="BS493" s="338"/>
      <c r="BT493" s="338"/>
      <c r="BU493" s="338"/>
      <c r="BV493" s="338"/>
      <c r="BW493" s="338"/>
      <c r="BX493" s="338"/>
      <c r="BY493" s="338"/>
      <c r="BZ493" s="338"/>
      <c r="CA493" s="338"/>
      <c r="CB493" s="338"/>
      <c r="CC493" s="338"/>
      <c r="CD493" s="338"/>
      <c r="CE493" s="338"/>
      <c r="CF493" s="338"/>
      <c r="CG493" s="338"/>
      <c r="CH493" s="338"/>
      <c r="CI493" s="338"/>
      <c r="CJ493" s="338"/>
      <c r="CK493" s="338"/>
      <c r="CL493" s="338"/>
    </row>
    <row r="494" ht="14.2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40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  <c r="AV494" s="338"/>
      <c r="AW494" s="338"/>
      <c r="AX494" s="338"/>
      <c r="AY494" s="338"/>
      <c r="AZ494" s="338"/>
      <c r="BA494" s="338"/>
      <c r="BB494" s="338"/>
      <c r="BC494" s="338"/>
      <c r="BD494" s="338"/>
      <c r="BE494" s="338"/>
      <c r="BF494" s="338"/>
      <c r="BG494" s="338"/>
      <c r="BH494" s="338"/>
      <c r="BI494" s="338"/>
      <c r="BJ494" s="338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338"/>
      <c r="BV494" s="338"/>
      <c r="BW494" s="338"/>
      <c r="BX494" s="338"/>
      <c r="BY494" s="338"/>
      <c r="BZ494" s="338"/>
      <c r="CA494" s="338"/>
      <c r="CB494" s="338"/>
      <c r="CC494" s="338"/>
      <c r="CD494" s="338"/>
      <c r="CE494" s="338"/>
      <c r="CF494" s="338"/>
      <c r="CG494" s="338"/>
      <c r="CH494" s="338"/>
      <c r="CI494" s="338"/>
      <c r="CJ494" s="338"/>
      <c r="CK494" s="338"/>
      <c r="CL494" s="338"/>
    </row>
    <row r="495" ht="14.2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40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  <c r="AV495" s="338"/>
      <c r="AW495" s="338"/>
      <c r="AX495" s="338"/>
      <c r="AY495" s="338"/>
      <c r="AZ495" s="338"/>
      <c r="BA495" s="338"/>
      <c r="BB495" s="338"/>
      <c r="BC495" s="338"/>
      <c r="BD495" s="338"/>
      <c r="BE495" s="338"/>
      <c r="BF495" s="338"/>
      <c r="BG495" s="338"/>
      <c r="BH495" s="338"/>
      <c r="BI495" s="338"/>
      <c r="BJ495" s="338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338"/>
      <c r="BV495" s="338"/>
      <c r="BW495" s="338"/>
      <c r="BX495" s="338"/>
      <c r="BY495" s="338"/>
      <c r="BZ495" s="338"/>
      <c r="CA495" s="338"/>
      <c r="CB495" s="338"/>
      <c r="CC495" s="338"/>
      <c r="CD495" s="338"/>
      <c r="CE495" s="338"/>
      <c r="CF495" s="338"/>
      <c r="CG495" s="338"/>
      <c r="CH495" s="338"/>
      <c r="CI495" s="338"/>
      <c r="CJ495" s="338"/>
      <c r="CK495" s="338"/>
      <c r="CL495" s="338"/>
    </row>
    <row r="496" ht="14.2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40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  <c r="AV496" s="338"/>
      <c r="AW496" s="338"/>
      <c r="AX496" s="338"/>
      <c r="AY496" s="338"/>
      <c r="AZ496" s="338"/>
      <c r="BA496" s="338"/>
      <c r="BB496" s="338"/>
      <c r="BC496" s="338"/>
      <c r="BD496" s="338"/>
      <c r="BE496" s="338"/>
      <c r="BF496" s="338"/>
      <c r="BG496" s="338"/>
      <c r="BH496" s="338"/>
      <c r="BI496" s="338"/>
      <c r="BJ496" s="338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338"/>
      <c r="BV496" s="338"/>
      <c r="BW496" s="338"/>
      <c r="BX496" s="338"/>
      <c r="BY496" s="338"/>
      <c r="BZ496" s="338"/>
      <c r="CA496" s="338"/>
      <c r="CB496" s="338"/>
      <c r="CC496" s="338"/>
      <c r="CD496" s="338"/>
      <c r="CE496" s="338"/>
      <c r="CF496" s="338"/>
      <c r="CG496" s="338"/>
      <c r="CH496" s="338"/>
      <c r="CI496" s="338"/>
      <c r="CJ496" s="338"/>
      <c r="CK496" s="338"/>
      <c r="CL496" s="338"/>
    </row>
    <row r="497" ht="14.2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40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  <c r="AV497" s="338"/>
      <c r="AW497" s="338"/>
      <c r="AX497" s="338"/>
      <c r="AY497" s="338"/>
      <c r="AZ497" s="338"/>
      <c r="BA497" s="338"/>
      <c r="BB497" s="338"/>
      <c r="BC497" s="338"/>
      <c r="BD497" s="338"/>
      <c r="BE497" s="338"/>
      <c r="BF497" s="338"/>
      <c r="BG497" s="338"/>
      <c r="BH497" s="338"/>
      <c r="BI497" s="338"/>
      <c r="BJ497" s="338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338"/>
      <c r="BV497" s="338"/>
      <c r="BW497" s="338"/>
      <c r="BX497" s="338"/>
      <c r="BY497" s="338"/>
      <c r="BZ497" s="338"/>
      <c r="CA497" s="338"/>
      <c r="CB497" s="338"/>
      <c r="CC497" s="338"/>
      <c r="CD497" s="338"/>
      <c r="CE497" s="338"/>
      <c r="CF497" s="338"/>
      <c r="CG497" s="338"/>
      <c r="CH497" s="338"/>
      <c r="CI497" s="338"/>
      <c r="CJ497" s="338"/>
      <c r="CK497" s="338"/>
      <c r="CL497" s="338"/>
    </row>
    <row r="498" ht="14.2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40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  <c r="AV498" s="338"/>
      <c r="AW498" s="338"/>
      <c r="AX498" s="338"/>
      <c r="AY498" s="338"/>
      <c r="AZ498" s="338"/>
      <c r="BA498" s="338"/>
      <c r="BB498" s="338"/>
      <c r="BC498" s="338"/>
      <c r="BD498" s="338"/>
      <c r="BE498" s="338"/>
      <c r="BF498" s="338"/>
      <c r="BG498" s="338"/>
      <c r="BH498" s="338"/>
      <c r="BI498" s="338"/>
      <c r="BJ498" s="33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338"/>
      <c r="BV498" s="338"/>
      <c r="BW498" s="338"/>
      <c r="BX498" s="338"/>
      <c r="BY498" s="338"/>
      <c r="BZ498" s="338"/>
      <c r="CA498" s="338"/>
      <c r="CB498" s="338"/>
      <c r="CC498" s="338"/>
      <c r="CD498" s="338"/>
      <c r="CE498" s="338"/>
      <c r="CF498" s="338"/>
      <c r="CG498" s="338"/>
      <c r="CH498" s="338"/>
      <c r="CI498" s="338"/>
      <c r="CJ498" s="338"/>
      <c r="CK498" s="338"/>
      <c r="CL498" s="338"/>
    </row>
    <row r="499" ht="14.2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40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  <c r="AV499" s="338"/>
      <c r="AW499" s="338"/>
      <c r="AX499" s="338"/>
      <c r="AY499" s="338"/>
      <c r="AZ499" s="338"/>
      <c r="BA499" s="338"/>
      <c r="BB499" s="338"/>
      <c r="BC499" s="338"/>
      <c r="BD499" s="338"/>
      <c r="BE499" s="338"/>
      <c r="BF499" s="338"/>
      <c r="BG499" s="338"/>
      <c r="BH499" s="338"/>
      <c r="BI499" s="338"/>
      <c r="BJ499" s="338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338"/>
      <c r="BV499" s="338"/>
      <c r="BW499" s="338"/>
      <c r="BX499" s="338"/>
      <c r="BY499" s="338"/>
      <c r="BZ499" s="338"/>
      <c r="CA499" s="338"/>
      <c r="CB499" s="338"/>
      <c r="CC499" s="338"/>
      <c r="CD499" s="338"/>
      <c r="CE499" s="338"/>
      <c r="CF499" s="338"/>
      <c r="CG499" s="338"/>
      <c r="CH499" s="338"/>
      <c r="CI499" s="338"/>
      <c r="CJ499" s="338"/>
      <c r="CK499" s="338"/>
      <c r="CL499" s="338"/>
    </row>
    <row r="500" ht="14.2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40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  <c r="AV500" s="338"/>
      <c r="AW500" s="338"/>
      <c r="AX500" s="338"/>
      <c r="AY500" s="338"/>
      <c r="AZ500" s="338"/>
      <c r="BA500" s="338"/>
      <c r="BB500" s="338"/>
      <c r="BC500" s="338"/>
      <c r="BD500" s="338"/>
      <c r="BE500" s="338"/>
      <c r="BF500" s="338"/>
      <c r="BG500" s="338"/>
      <c r="BH500" s="338"/>
      <c r="BI500" s="338"/>
      <c r="BJ500" s="338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338"/>
      <c r="BV500" s="338"/>
      <c r="BW500" s="338"/>
      <c r="BX500" s="338"/>
      <c r="BY500" s="338"/>
      <c r="BZ500" s="338"/>
      <c r="CA500" s="338"/>
      <c r="CB500" s="338"/>
      <c r="CC500" s="338"/>
      <c r="CD500" s="338"/>
      <c r="CE500" s="338"/>
      <c r="CF500" s="338"/>
      <c r="CG500" s="338"/>
      <c r="CH500" s="338"/>
      <c r="CI500" s="338"/>
      <c r="CJ500" s="338"/>
      <c r="CK500" s="338"/>
      <c r="CL500" s="338"/>
    </row>
    <row r="501" ht="14.2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40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  <c r="AV501" s="338"/>
      <c r="AW501" s="338"/>
      <c r="AX501" s="338"/>
      <c r="AY501" s="338"/>
      <c r="AZ501" s="338"/>
      <c r="BA501" s="338"/>
      <c r="BB501" s="338"/>
      <c r="BC501" s="338"/>
      <c r="BD501" s="338"/>
      <c r="BE501" s="338"/>
      <c r="BF501" s="338"/>
      <c r="BG501" s="338"/>
      <c r="BH501" s="338"/>
      <c r="BI501" s="338"/>
      <c r="BJ501" s="338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338"/>
      <c r="BV501" s="338"/>
      <c r="BW501" s="338"/>
      <c r="BX501" s="338"/>
      <c r="BY501" s="338"/>
      <c r="BZ501" s="338"/>
      <c r="CA501" s="338"/>
      <c r="CB501" s="338"/>
      <c r="CC501" s="338"/>
      <c r="CD501" s="338"/>
      <c r="CE501" s="338"/>
      <c r="CF501" s="338"/>
      <c r="CG501" s="338"/>
      <c r="CH501" s="338"/>
      <c r="CI501" s="338"/>
      <c r="CJ501" s="338"/>
      <c r="CK501" s="338"/>
      <c r="CL501" s="338"/>
    </row>
    <row r="502" ht="14.2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40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  <c r="AV502" s="338"/>
      <c r="AW502" s="338"/>
      <c r="AX502" s="338"/>
      <c r="AY502" s="338"/>
      <c r="AZ502" s="338"/>
      <c r="BA502" s="338"/>
      <c r="BB502" s="338"/>
      <c r="BC502" s="338"/>
      <c r="BD502" s="338"/>
      <c r="BE502" s="338"/>
      <c r="BF502" s="338"/>
      <c r="BG502" s="338"/>
      <c r="BH502" s="338"/>
      <c r="BI502" s="338"/>
      <c r="BJ502" s="338"/>
      <c r="BK502" s="338"/>
      <c r="BL502" s="338"/>
      <c r="BM502" s="338"/>
      <c r="BN502" s="338"/>
      <c r="BO502" s="338"/>
      <c r="BP502" s="338"/>
      <c r="BQ502" s="338"/>
      <c r="BR502" s="338"/>
      <c r="BS502" s="338"/>
      <c r="BT502" s="338"/>
      <c r="BU502" s="338"/>
      <c r="BV502" s="338"/>
      <c r="BW502" s="338"/>
      <c r="BX502" s="338"/>
      <c r="BY502" s="338"/>
      <c r="BZ502" s="338"/>
      <c r="CA502" s="338"/>
      <c r="CB502" s="338"/>
      <c r="CC502" s="338"/>
      <c r="CD502" s="338"/>
      <c r="CE502" s="338"/>
      <c r="CF502" s="338"/>
      <c r="CG502" s="338"/>
      <c r="CH502" s="338"/>
      <c r="CI502" s="338"/>
      <c r="CJ502" s="338"/>
      <c r="CK502" s="338"/>
      <c r="CL502" s="338"/>
    </row>
    <row r="503" ht="14.2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40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  <c r="AV503" s="338"/>
      <c r="AW503" s="338"/>
      <c r="AX503" s="338"/>
      <c r="AY503" s="338"/>
      <c r="AZ503" s="338"/>
      <c r="BA503" s="338"/>
      <c r="BB503" s="338"/>
      <c r="BC503" s="338"/>
      <c r="BD503" s="338"/>
      <c r="BE503" s="338"/>
      <c r="BF503" s="338"/>
      <c r="BG503" s="338"/>
      <c r="BH503" s="338"/>
      <c r="BI503" s="338"/>
      <c r="BJ503" s="338"/>
      <c r="BK503" s="338"/>
      <c r="BL503" s="338"/>
      <c r="BM503" s="338"/>
      <c r="BN503" s="338"/>
      <c r="BO503" s="338"/>
      <c r="BP503" s="338"/>
      <c r="BQ503" s="338"/>
      <c r="BR503" s="338"/>
      <c r="BS503" s="338"/>
      <c r="BT503" s="338"/>
      <c r="BU503" s="338"/>
      <c r="BV503" s="338"/>
      <c r="BW503" s="338"/>
      <c r="BX503" s="338"/>
      <c r="BY503" s="338"/>
      <c r="BZ503" s="338"/>
      <c r="CA503" s="338"/>
      <c r="CB503" s="338"/>
      <c r="CC503" s="338"/>
      <c r="CD503" s="338"/>
      <c r="CE503" s="338"/>
      <c r="CF503" s="338"/>
      <c r="CG503" s="338"/>
      <c r="CH503" s="338"/>
      <c r="CI503" s="338"/>
      <c r="CJ503" s="338"/>
      <c r="CK503" s="338"/>
      <c r="CL503" s="338"/>
    </row>
    <row r="504" ht="14.2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40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  <c r="AV504" s="338"/>
      <c r="AW504" s="338"/>
      <c r="AX504" s="338"/>
      <c r="AY504" s="338"/>
      <c r="AZ504" s="338"/>
      <c r="BA504" s="338"/>
      <c r="BB504" s="338"/>
      <c r="BC504" s="338"/>
      <c r="BD504" s="338"/>
      <c r="BE504" s="338"/>
      <c r="BF504" s="338"/>
      <c r="BG504" s="338"/>
      <c r="BH504" s="338"/>
      <c r="BI504" s="338"/>
      <c r="BJ504" s="338"/>
      <c r="BK504" s="338"/>
      <c r="BL504" s="338"/>
      <c r="BM504" s="338"/>
      <c r="BN504" s="338"/>
      <c r="BO504" s="338"/>
      <c r="BP504" s="338"/>
      <c r="BQ504" s="338"/>
      <c r="BR504" s="338"/>
      <c r="BS504" s="338"/>
      <c r="BT504" s="338"/>
      <c r="BU504" s="338"/>
      <c r="BV504" s="338"/>
      <c r="BW504" s="338"/>
      <c r="BX504" s="338"/>
      <c r="BY504" s="338"/>
      <c r="BZ504" s="338"/>
      <c r="CA504" s="338"/>
      <c r="CB504" s="338"/>
      <c r="CC504" s="338"/>
      <c r="CD504" s="338"/>
      <c r="CE504" s="338"/>
      <c r="CF504" s="338"/>
      <c r="CG504" s="338"/>
      <c r="CH504" s="338"/>
      <c r="CI504" s="338"/>
      <c r="CJ504" s="338"/>
      <c r="CK504" s="338"/>
      <c r="CL504" s="338"/>
    </row>
    <row r="505" ht="14.2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40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  <c r="AV505" s="338"/>
      <c r="AW505" s="338"/>
      <c r="AX505" s="338"/>
      <c r="AY505" s="338"/>
      <c r="AZ505" s="338"/>
      <c r="BA505" s="338"/>
      <c r="BB505" s="338"/>
      <c r="BC505" s="338"/>
      <c r="BD505" s="338"/>
      <c r="BE505" s="338"/>
      <c r="BF505" s="338"/>
      <c r="BG505" s="338"/>
      <c r="BH505" s="338"/>
      <c r="BI505" s="338"/>
      <c r="BJ505" s="338"/>
      <c r="BK505" s="338"/>
      <c r="BL505" s="338"/>
      <c r="BM505" s="338"/>
      <c r="BN505" s="338"/>
      <c r="BO505" s="338"/>
      <c r="BP505" s="338"/>
      <c r="BQ505" s="338"/>
      <c r="BR505" s="338"/>
      <c r="BS505" s="338"/>
      <c r="BT505" s="338"/>
      <c r="BU505" s="338"/>
      <c r="BV505" s="338"/>
      <c r="BW505" s="338"/>
      <c r="BX505" s="338"/>
      <c r="BY505" s="338"/>
      <c r="BZ505" s="338"/>
      <c r="CA505" s="338"/>
      <c r="CB505" s="338"/>
      <c r="CC505" s="338"/>
      <c r="CD505" s="338"/>
      <c r="CE505" s="338"/>
      <c r="CF505" s="338"/>
      <c r="CG505" s="338"/>
      <c r="CH505" s="338"/>
      <c r="CI505" s="338"/>
      <c r="CJ505" s="338"/>
      <c r="CK505" s="338"/>
      <c r="CL505" s="338"/>
    </row>
    <row r="506" ht="14.2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40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  <c r="AV506" s="338"/>
      <c r="AW506" s="338"/>
      <c r="AX506" s="338"/>
      <c r="AY506" s="338"/>
      <c r="AZ506" s="338"/>
      <c r="BA506" s="338"/>
      <c r="BB506" s="338"/>
      <c r="BC506" s="338"/>
      <c r="BD506" s="338"/>
      <c r="BE506" s="338"/>
      <c r="BF506" s="338"/>
      <c r="BG506" s="338"/>
      <c r="BH506" s="338"/>
      <c r="BI506" s="338"/>
      <c r="BJ506" s="338"/>
      <c r="BK506" s="338"/>
      <c r="BL506" s="338"/>
      <c r="BM506" s="338"/>
      <c r="BN506" s="338"/>
      <c r="BO506" s="338"/>
      <c r="BP506" s="338"/>
      <c r="BQ506" s="338"/>
      <c r="BR506" s="338"/>
      <c r="BS506" s="338"/>
      <c r="BT506" s="338"/>
      <c r="BU506" s="338"/>
      <c r="BV506" s="338"/>
      <c r="BW506" s="338"/>
      <c r="BX506" s="338"/>
      <c r="BY506" s="338"/>
      <c r="BZ506" s="338"/>
      <c r="CA506" s="338"/>
      <c r="CB506" s="338"/>
      <c r="CC506" s="338"/>
      <c r="CD506" s="338"/>
      <c r="CE506" s="338"/>
      <c r="CF506" s="338"/>
      <c r="CG506" s="338"/>
      <c r="CH506" s="338"/>
      <c r="CI506" s="338"/>
      <c r="CJ506" s="338"/>
      <c r="CK506" s="338"/>
      <c r="CL506" s="338"/>
    </row>
    <row r="507" ht="14.2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40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  <c r="AV507" s="338"/>
      <c r="AW507" s="338"/>
      <c r="AX507" s="338"/>
      <c r="AY507" s="338"/>
      <c r="AZ507" s="338"/>
      <c r="BA507" s="338"/>
      <c r="BB507" s="338"/>
      <c r="BC507" s="338"/>
      <c r="BD507" s="338"/>
      <c r="BE507" s="338"/>
      <c r="BF507" s="338"/>
      <c r="BG507" s="338"/>
      <c r="BH507" s="338"/>
      <c r="BI507" s="338"/>
      <c r="BJ507" s="338"/>
      <c r="BK507" s="338"/>
      <c r="BL507" s="338"/>
      <c r="BM507" s="338"/>
      <c r="BN507" s="338"/>
      <c r="BO507" s="338"/>
      <c r="BP507" s="338"/>
      <c r="BQ507" s="338"/>
      <c r="BR507" s="338"/>
      <c r="BS507" s="338"/>
      <c r="BT507" s="338"/>
      <c r="BU507" s="338"/>
      <c r="BV507" s="338"/>
      <c r="BW507" s="338"/>
      <c r="BX507" s="338"/>
      <c r="BY507" s="338"/>
      <c r="BZ507" s="338"/>
      <c r="CA507" s="338"/>
      <c r="CB507" s="338"/>
      <c r="CC507" s="338"/>
      <c r="CD507" s="338"/>
      <c r="CE507" s="338"/>
      <c r="CF507" s="338"/>
      <c r="CG507" s="338"/>
      <c r="CH507" s="338"/>
      <c r="CI507" s="338"/>
      <c r="CJ507" s="338"/>
      <c r="CK507" s="338"/>
      <c r="CL507" s="338"/>
    </row>
    <row r="508" ht="14.2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40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  <c r="AV508" s="338"/>
      <c r="AW508" s="338"/>
      <c r="AX508" s="338"/>
      <c r="AY508" s="338"/>
      <c r="AZ508" s="338"/>
      <c r="BA508" s="338"/>
      <c r="BB508" s="338"/>
      <c r="BC508" s="338"/>
      <c r="BD508" s="338"/>
      <c r="BE508" s="338"/>
      <c r="BF508" s="338"/>
      <c r="BG508" s="338"/>
      <c r="BH508" s="338"/>
      <c r="BI508" s="338"/>
      <c r="BJ508" s="338"/>
      <c r="BK508" s="338"/>
      <c r="BL508" s="338"/>
      <c r="BM508" s="338"/>
      <c r="BN508" s="338"/>
      <c r="BO508" s="338"/>
      <c r="BP508" s="338"/>
      <c r="BQ508" s="338"/>
      <c r="BR508" s="338"/>
      <c r="BS508" s="338"/>
      <c r="BT508" s="338"/>
      <c r="BU508" s="338"/>
      <c r="BV508" s="338"/>
      <c r="BW508" s="338"/>
      <c r="BX508" s="338"/>
      <c r="BY508" s="338"/>
      <c r="BZ508" s="338"/>
      <c r="CA508" s="338"/>
      <c r="CB508" s="338"/>
      <c r="CC508" s="338"/>
      <c r="CD508" s="338"/>
      <c r="CE508" s="338"/>
      <c r="CF508" s="338"/>
      <c r="CG508" s="338"/>
      <c r="CH508" s="338"/>
      <c r="CI508" s="338"/>
      <c r="CJ508" s="338"/>
      <c r="CK508" s="338"/>
      <c r="CL508" s="338"/>
    </row>
    <row r="509" ht="14.2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40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  <c r="AV509" s="338"/>
      <c r="AW509" s="338"/>
      <c r="AX509" s="338"/>
      <c r="AY509" s="338"/>
      <c r="AZ509" s="338"/>
      <c r="BA509" s="338"/>
      <c r="BB509" s="338"/>
      <c r="BC509" s="338"/>
      <c r="BD509" s="338"/>
      <c r="BE509" s="338"/>
      <c r="BF509" s="338"/>
      <c r="BG509" s="338"/>
      <c r="BH509" s="338"/>
      <c r="BI509" s="338"/>
      <c r="BJ509" s="338"/>
      <c r="BK509" s="338"/>
      <c r="BL509" s="338"/>
      <c r="BM509" s="338"/>
      <c r="BN509" s="338"/>
      <c r="BO509" s="338"/>
      <c r="BP509" s="338"/>
      <c r="BQ509" s="338"/>
      <c r="BR509" s="338"/>
      <c r="BS509" s="338"/>
      <c r="BT509" s="338"/>
      <c r="BU509" s="338"/>
      <c r="BV509" s="338"/>
      <c r="BW509" s="338"/>
      <c r="BX509" s="338"/>
      <c r="BY509" s="338"/>
      <c r="BZ509" s="338"/>
      <c r="CA509" s="338"/>
      <c r="CB509" s="338"/>
      <c r="CC509" s="338"/>
      <c r="CD509" s="338"/>
      <c r="CE509" s="338"/>
      <c r="CF509" s="338"/>
      <c r="CG509" s="338"/>
      <c r="CH509" s="338"/>
      <c r="CI509" s="338"/>
      <c r="CJ509" s="338"/>
      <c r="CK509" s="338"/>
      <c r="CL509" s="338"/>
    </row>
    <row r="510" ht="14.2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40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  <c r="AV510" s="338"/>
      <c r="AW510" s="338"/>
      <c r="AX510" s="338"/>
      <c r="AY510" s="338"/>
      <c r="AZ510" s="338"/>
      <c r="BA510" s="338"/>
      <c r="BB510" s="338"/>
      <c r="BC510" s="338"/>
      <c r="BD510" s="338"/>
      <c r="BE510" s="338"/>
      <c r="BF510" s="338"/>
      <c r="BG510" s="338"/>
      <c r="BH510" s="338"/>
      <c r="BI510" s="338"/>
      <c r="BJ510" s="338"/>
      <c r="BK510" s="338"/>
      <c r="BL510" s="338"/>
      <c r="BM510" s="338"/>
      <c r="BN510" s="338"/>
      <c r="BO510" s="338"/>
      <c r="BP510" s="338"/>
      <c r="BQ510" s="338"/>
      <c r="BR510" s="338"/>
      <c r="BS510" s="338"/>
      <c r="BT510" s="338"/>
      <c r="BU510" s="338"/>
      <c r="BV510" s="338"/>
      <c r="BW510" s="338"/>
      <c r="BX510" s="338"/>
      <c r="BY510" s="338"/>
      <c r="BZ510" s="338"/>
      <c r="CA510" s="338"/>
      <c r="CB510" s="338"/>
      <c r="CC510" s="338"/>
      <c r="CD510" s="338"/>
      <c r="CE510" s="338"/>
      <c r="CF510" s="338"/>
      <c r="CG510" s="338"/>
      <c r="CH510" s="338"/>
      <c r="CI510" s="338"/>
      <c r="CJ510" s="338"/>
      <c r="CK510" s="338"/>
      <c r="CL510" s="338"/>
    </row>
    <row r="511" ht="14.2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40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338"/>
      <c r="BV511" s="338"/>
      <c r="BW511" s="338"/>
      <c r="BX511" s="338"/>
      <c r="BY511" s="338"/>
      <c r="BZ511" s="338"/>
      <c r="CA511" s="338"/>
      <c r="CB511" s="338"/>
      <c r="CC511" s="338"/>
      <c r="CD511" s="338"/>
      <c r="CE511" s="338"/>
      <c r="CF511" s="338"/>
      <c r="CG511" s="338"/>
      <c r="CH511" s="338"/>
      <c r="CI511" s="338"/>
      <c r="CJ511" s="338"/>
      <c r="CK511" s="338"/>
      <c r="CL511" s="338"/>
    </row>
    <row r="512" ht="14.2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40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338"/>
      <c r="BV512" s="338"/>
      <c r="BW512" s="338"/>
      <c r="BX512" s="338"/>
      <c r="BY512" s="338"/>
      <c r="BZ512" s="338"/>
      <c r="CA512" s="338"/>
      <c r="CB512" s="338"/>
      <c r="CC512" s="338"/>
      <c r="CD512" s="338"/>
      <c r="CE512" s="338"/>
      <c r="CF512" s="338"/>
      <c r="CG512" s="338"/>
      <c r="CH512" s="338"/>
      <c r="CI512" s="338"/>
      <c r="CJ512" s="338"/>
      <c r="CK512" s="338"/>
      <c r="CL512" s="338"/>
    </row>
    <row r="513" ht="14.2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40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  <c r="AV513" s="338"/>
      <c r="AW513" s="338"/>
      <c r="AX513" s="338"/>
      <c r="AY513" s="338"/>
      <c r="AZ513" s="338"/>
      <c r="BA513" s="338"/>
      <c r="BB513" s="338"/>
      <c r="BC513" s="338"/>
      <c r="BD513" s="338"/>
      <c r="BE513" s="338"/>
      <c r="BF513" s="338"/>
      <c r="BG513" s="338"/>
      <c r="BH513" s="338"/>
      <c r="BI513" s="338"/>
      <c r="BJ513" s="338"/>
      <c r="BK513" s="338"/>
      <c r="BL513" s="338"/>
      <c r="BM513" s="338"/>
      <c r="BN513" s="338"/>
      <c r="BO513" s="338"/>
      <c r="BP513" s="338"/>
      <c r="BQ513" s="338"/>
      <c r="BR513" s="338"/>
      <c r="BS513" s="338"/>
      <c r="BT513" s="338"/>
      <c r="BU513" s="338"/>
      <c r="BV513" s="338"/>
      <c r="BW513" s="338"/>
      <c r="BX513" s="338"/>
      <c r="BY513" s="338"/>
      <c r="BZ513" s="338"/>
      <c r="CA513" s="338"/>
      <c r="CB513" s="338"/>
      <c r="CC513" s="338"/>
      <c r="CD513" s="338"/>
      <c r="CE513" s="338"/>
      <c r="CF513" s="338"/>
      <c r="CG513" s="338"/>
      <c r="CH513" s="338"/>
      <c r="CI513" s="338"/>
      <c r="CJ513" s="338"/>
      <c r="CK513" s="338"/>
      <c r="CL513" s="338"/>
    </row>
    <row r="514" ht="14.2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40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  <c r="AV514" s="338"/>
      <c r="AW514" s="338"/>
      <c r="AX514" s="338"/>
      <c r="AY514" s="338"/>
      <c r="AZ514" s="338"/>
      <c r="BA514" s="338"/>
      <c r="BB514" s="338"/>
      <c r="BC514" s="338"/>
      <c r="BD514" s="338"/>
      <c r="BE514" s="338"/>
      <c r="BF514" s="338"/>
      <c r="BG514" s="338"/>
      <c r="BH514" s="338"/>
      <c r="BI514" s="338"/>
      <c r="BJ514" s="338"/>
      <c r="BK514" s="338"/>
      <c r="BL514" s="338"/>
      <c r="BM514" s="338"/>
      <c r="BN514" s="338"/>
      <c r="BO514" s="338"/>
      <c r="BP514" s="338"/>
      <c r="BQ514" s="338"/>
      <c r="BR514" s="338"/>
      <c r="BS514" s="338"/>
      <c r="BT514" s="338"/>
      <c r="BU514" s="338"/>
      <c r="BV514" s="338"/>
      <c r="BW514" s="338"/>
      <c r="BX514" s="338"/>
      <c r="BY514" s="338"/>
      <c r="BZ514" s="338"/>
      <c r="CA514" s="338"/>
      <c r="CB514" s="338"/>
      <c r="CC514" s="338"/>
      <c r="CD514" s="338"/>
      <c r="CE514" s="338"/>
      <c r="CF514" s="338"/>
      <c r="CG514" s="338"/>
      <c r="CH514" s="338"/>
      <c r="CI514" s="338"/>
      <c r="CJ514" s="338"/>
      <c r="CK514" s="338"/>
      <c r="CL514" s="338"/>
    </row>
    <row r="515" ht="14.2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40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  <c r="AV515" s="338"/>
      <c r="AW515" s="338"/>
      <c r="AX515" s="338"/>
      <c r="AY515" s="338"/>
      <c r="AZ515" s="338"/>
      <c r="BA515" s="338"/>
      <c r="BB515" s="338"/>
      <c r="BC515" s="338"/>
      <c r="BD515" s="338"/>
      <c r="BE515" s="338"/>
      <c r="BF515" s="338"/>
      <c r="BG515" s="338"/>
      <c r="BH515" s="338"/>
      <c r="BI515" s="338"/>
      <c r="BJ515" s="338"/>
      <c r="BK515" s="338"/>
      <c r="BL515" s="338"/>
      <c r="BM515" s="338"/>
      <c r="BN515" s="338"/>
      <c r="BO515" s="338"/>
      <c r="BP515" s="338"/>
      <c r="BQ515" s="338"/>
      <c r="BR515" s="338"/>
      <c r="BS515" s="338"/>
      <c r="BT515" s="338"/>
      <c r="BU515" s="338"/>
      <c r="BV515" s="338"/>
      <c r="BW515" s="338"/>
      <c r="BX515" s="338"/>
      <c r="BY515" s="338"/>
      <c r="BZ515" s="338"/>
      <c r="CA515" s="338"/>
      <c r="CB515" s="338"/>
      <c r="CC515" s="338"/>
      <c r="CD515" s="338"/>
      <c r="CE515" s="338"/>
      <c r="CF515" s="338"/>
      <c r="CG515" s="338"/>
      <c r="CH515" s="338"/>
      <c r="CI515" s="338"/>
      <c r="CJ515" s="338"/>
      <c r="CK515" s="338"/>
      <c r="CL515" s="338"/>
    </row>
    <row r="516" ht="14.2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40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  <c r="AV516" s="338"/>
      <c r="AW516" s="338"/>
      <c r="AX516" s="338"/>
      <c r="AY516" s="338"/>
      <c r="AZ516" s="338"/>
      <c r="BA516" s="338"/>
      <c r="BB516" s="338"/>
      <c r="BC516" s="338"/>
      <c r="BD516" s="338"/>
      <c r="BE516" s="338"/>
      <c r="BF516" s="338"/>
      <c r="BG516" s="338"/>
      <c r="BH516" s="338"/>
      <c r="BI516" s="338"/>
      <c r="BJ516" s="338"/>
      <c r="BK516" s="338"/>
      <c r="BL516" s="338"/>
      <c r="BM516" s="338"/>
      <c r="BN516" s="338"/>
      <c r="BO516" s="338"/>
      <c r="BP516" s="338"/>
      <c r="BQ516" s="338"/>
      <c r="BR516" s="338"/>
      <c r="BS516" s="338"/>
      <c r="BT516" s="338"/>
      <c r="BU516" s="338"/>
      <c r="BV516" s="338"/>
      <c r="BW516" s="338"/>
      <c r="BX516" s="338"/>
      <c r="BY516" s="338"/>
      <c r="BZ516" s="338"/>
      <c r="CA516" s="338"/>
      <c r="CB516" s="338"/>
      <c r="CC516" s="338"/>
      <c r="CD516" s="338"/>
      <c r="CE516" s="338"/>
      <c r="CF516" s="338"/>
      <c r="CG516" s="338"/>
      <c r="CH516" s="338"/>
      <c r="CI516" s="338"/>
      <c r="CJ516" s="338"/>
      <c r="CK516" s="338"/>
      <c r="CL516" s="338"/>
    </row>
    <row r="517" ht="14.2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40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  <c r="AV517" s="338"/>
      <c r="AW517" s="338"/>
      <c r="AX517" s="338"/>
      <c r="AY517" s="338"/>
      <c r="AZ517" s="338"/>
      <c r="BA517" s="338"/>
      <c r="BB517" s="338"/>
      <c r="BC517" s="338"/>
      <c r="BD517" s="338"/>
      <c r="BE517" s="338"/>
      <c r="BF517" s="338"/>
      <c r="BG517" s="338"/>
      <c r="BH517" s="338"/>
      <c r="BI517" s="338"/>
      <c r="BJ517" s="338"/>
      <c r="BK517" s="338"/>
      <c r="BL517" s="338"/>
      <c r="BM517" s="338"/>
      <c r="BN517" s="338"/>
      <c r="BO517" s="338"/>
      <c r="BP517" s="338"/>
      <c r="BQ517" s="338"/>
      <c r="BR517" s="338"/>
      <c r="BS517" s="338"/>
      <c r="BT517" s="338"/>
      <c r="BU517" s="338"/>
      <c r="BV517" s="338"/>
      <c r="BW517" s="338"/>
      <c r="BX517" s="338"/>
      <c r="BY517" s="338"/>
      <c r="BZ517" s="338"/>
      <c r="CA517" s="338"/>
      <c r="CB517" s="338"/>
      <c r="CC517" s="338"/>
      <c r="CD517" s="338"/>
      <c r="CE517" s="338"/>
      <c r="CF517" s="338"/>
      <c r="CG517" s="338"/>
      <c r="CH517" s="338"/>
      <c r="CI517" s="338"/>
      <c r="CJ517" s="338"/>
      <c r="CK517" s="338"/>
      <c r="CL517" s="338"/>
    </row>
    <row r="518" ht="14.2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40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  <c r="AV518" s="338"/>
      <c r="AW518" s="338"/>
      <c r="AX518" s="338"/>
      <c r="AY518" s="338"/>
      <c r="AZ518" s="338"/>
      <c r="BA518" s="338"/>
      <c r="BB518" s="338"/>
      <c r="BC518" s="338"/>
      <c r="BD518" s="338"/>
      <c r="BE518" s="338"/>
      <c r="BF518" s="338"/>
      <c r="BG518" s="338"/>
      <c r="BH518" s="338"/>
      <c r="BI518" s="338"/>
      <c r="BJ518" s="338"/>
      <c r="BK518" s="338"/>
      <c r="BL518" s="338"/>
      <c r="BM518" s="338"/>
      <c r="BN518" s="338"/>
      <c r="BO518" s="338"/>
      <c r="BP518" s="338"/>
      <c r="BQ518" s="338"/>
      <c r="BR518" s="338"/>
      <c r="BS518" s="338"/>
      <c r="BT518" s="338"/>
      <c r="BU518" s="338"/>
      <c r="BV518" s="338"/>
      <c r="BW518" s="338"/>
      <c r="BX518" s="338"/>
      <c r="BY518" s="338"/>
      <c r="BZ518" s="338"/>
      <c r="CA518" s="338"/>
      <c r="CB518" s="338"/>
      <c r="CC518" s="338"/>
      <c r="CD518" s="338"/>
      <c r="CE518" s="338"/>
      <c r="CF518" s="338"/>
      <c r="CG518" s="338"/>
      <c r="CH518" s="338"/>
      <c r="CI518" s="338"/>
      <c r="CJ518" s="338"/>
      <c r="CK518" s="338"/>
      <c r="CL518" s="338"/>
    </row>
    <row r="519" ht="14.2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40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  <c r="AV519" s="338"/>
      <c r="AW519" s="338"/>
      <c r="AX519" s="338"/>
      <c r="AY519" s="338"/>
      <c r="AZ519" s="338"/>
      <c r="BA519" s="338"/>
      <c r="BB519" s="338"/>
      <c r="BC519" s="338"/>
      <c r="BD519" s="338"/>
      <c r="BE519" s="338"/>
      <c r="BF519" s="338"/>
      <c r="BG519" s="338"/>
      <c r="BH519" s="338"/>
      <c r="BI519" s="338"/>
      <c r="BJ519" s="338"/>
      <c r="BK519" s="338"/>
      <c r="BL519" s="338"/>
      <c r="BM519" s="338"/>
      <c r="BN519" s="338"/>
      <c r="BO519" s="338"/>
      <c r="BP519" s="338"/>
      <c r="BQ519" s="338"/>
      <c r="BR519" s="338"/>
      <c r="BS519" s="338"/>
      <c r="BT519" s="338"/>
      <c r="BU519" s="338"/>
      <c r="BV519" s="338"/>
      <c r="BW519" s="338"/>
      <c r="BX519" s="338"/>
      <c r="BY519" s="338"/>
      <c r="BZ519" s="338"/>
      <c r="CA519" s="338"/>
      <c r="CB519" s="338"/>
      <c r="CC519" s="338"/>
      <c r="CD519" s="338"/>
      <c r="CE519" s="338"/>
      <c r="CF519" s="338"/>
      <c r="CG519" s="338"/>
      <c r="CH519" s="338"/>
      <c r="CI519" s="338"/>
      <c r="CJ519" s="338"/>
      <c r="CK519" s="338"/>
      <c r="CL519" s="338"/>
    </row>
    <row r="520" ht="14.2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40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  <c r="AV520" s="338"/>
      <c r="AW520" s="338"/>
      <c r="AX520" s="338"/>
      <c r="AY520" s="338"/>
      <c r="AZ520" s="338"/>
      <c r="BA520" s="338"/>
      <c r="BB520" s="338"/>
      <c r="BC520" s="338"/>
      <c r="BD520" s="338"/>
      <c r="BE520" s="338"/>
      <c r="BF520" s="338"/>
      <c r="BG520" s="338"/>
      <c r="BH520" s="338"/>
      <c r="BI520" s="338"/>
      <c r="BJ520" s="338"/>
      <c r="BK520" s="338"/>
      <c r="BL520" s="338"/>
      <c r="BM520" s="338"/>
      <c r="BN520" s="338"/>
      <c r="BO520" s="338"/>
      <c r="BP520" s="338"/>
      <c r="BQ520" s="338"/>
      <c r="BR520" s="338"/>
      <c r="BS520" s="338"/>
      <c r="BT520" s="338"/>
      <c r="BU520" s="338"/>
      <c r="BV520" s="338"/>
      <c r="BW520" s="338"/>
      <c r="BX520" s="338"/>
      <c r="BY520" s="338"/>
      <c r="BZ520" s="338"/>
      <c r="CA520" s="338"/>
      <c r="CB520" s="338"/>
      <c r="CC520" s="338"/>
      <c r="CD520" s="338"/>
      <c r="CE520" s="338"/>
      <c r="CF520" s="338"/>
      <c r="CG520" s="338"/>
      <c r="CH520" s="338"/>
      <c r="CI520" s="338"/>
      <c r="CJ520" s="338"/>
      <c r="CK520" s="338"/>
      <c r="CL520" s="338"/>
    </row>
    <row r="521" ht="14.2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40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338"/>
      <c r="BV521" s="338"/>
      <c r="BW521" s="338"/>
      <c r="BX521" s="338"/>
      <c r="BY521" s="338"/>
      <c r="BZ521" s="338"/>
      <c r="CA521" s="338"/>
      <c r="CB521" s="338"/>
      <c r="CC521" s="338"/>
      <c r="CD521" s="338"/>
      <c r="CE521" s="338"/>
      <c r="CF521" s="338"/>
      <c r="CG521" s="338"/>
      <c r="CH521" s="338"/>
      <c r="CI521" s="338"/>
      <c r="CJ521" s="338"/>
      <c r="CK521" s="338"/>
      <c r="CL521" s="338"/>
    </row>
    <row r="522" ht="14.2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40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338"/>
      <c r="BV522" s="338"/>
      <c r="BW522" s="338"/>
      <c r="BX522" s="338"/>
      <c r="BY522" s="338"/>
      <c r="BZ522" s="338"/>
      <c r="CA522" s="338"/>
      <c r="CB522" s="338"/>
      <c r="CC522" s="338"/>
      <c r="CD522" s="338"/>
      <c r="CE522" s="338"/>
      <c r="CF522" s="338"/>
      <c r="CG522" s="338"/>
      <c r="CH522" s="338"/>
      <c r="CI522" s="338"/>
      <c r="CJ522" s="338"/>
      <c r="CK522" s="338"/>
      <c r="CL522" s="338"/>
    </row>
    <row r="523" ht="14.2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40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338"/>
      <c r="BV523" s="338"/>
      <c r="BW523" s="338"/>
      <c r="BX523" s="338"/>
      <c r="BY523" s="338"/>
      <c r="BZ523" s="338"/>
      <c r="CA523" s="338"/>
      <c r="CB523" s="338"/>
      <c r="CC523" s="338"/>
      <c r="CD523" s="338"/>
      <c r="CE523" s="338"/>
      <c r="CF523" s="338"/>
      <c r="CG523" s="338"/>
      <c r="CH523" s="338"/>
      <c r="CI523" s="338"/>
      <c r="CJ523" s="338"/>
      <c r="CK523" s="338"/>
      <c r="CL523" s="338"/>
    </row>
    <row r="524" ht="14.2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40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338"/>
      <c r="BV524" s="338"/>
      <c r="BW524" s="338"/>
      <c r="BX524" s="338"/>
      <c r="BY524" s="338"/>
      <c r="BZ524" s="338"/>
      <c r="CA524" s="338"/>
      <c r="CB524" s="338"/>
      <c r="CC524" s="338"/>
      <c r="CD524" s="338"/>
      <c r="CE524" s="338"/>
      <c r="CF524" s="338"/>
      <c r="CG524" s="338"/>
      <c r="CH524" s="338"/>
      <c r="CI524" s="338"/>
      <c r="CJ524" s="338"/>
      <c r="CK524" s="338"/>
      <c r="CL524" s="338"/>
    </row>
    <row r="525" ht="14.2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40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338"/>
      <c r="BV525" s="338"/>
      <c r="BW525" s="338"/>
      <c r="BX525" s="338"/>
      <c r="BY525" s="338"/>
      <c r="BZ525" s="338"/>
      <c r="CA525" s="338"/>
      <c r="CB525" s="338"/>
      <c r="CC525" s="338"/>
      <c r="CD525" s="338"/>
      <c r="CE525" s="338"/>
      <c r="CF525" s="338"/>
      <c r="CG525" s="338"/>
      <c r="CH525" s="338"/>
      <c r="CI525" s="338"/>
      <c r="CJ525" s="338"/>
      <c r="CK525" s="338"/>
      <c r="CL525" s="338"/>
    </row>
    <row r="526" ht="14.2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40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338"/>
      <c r="BV526" s="338"/>
      <c r="BW526" s="338"/>
      <c r="BX526" s="338"/>
      <c r="BY526" s="338"/>
      <c r="BZ526" s="338"/>
      <c r="CA526" s="338"/>
      <c r="CB526" s="338"/>
      <c r="CC526" s="338"/>
      <c r="CD526" s="338"/>
      <c r="CE526" s="338"/>
      <c r="CF526" s="338"/>
      <c r="CG526" s="338"/>
      <c r="CH526" s="338"/>
      <c r="CI526" s="338"/>
      <c r="CJ526" s="338"/>
      <c r="CK526" s="338"/>
      <c r="CL526" s="338"/>
    </row>
    <row r="527" ht="14.2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40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338"/>
      <c r="BV527" s="338"/>
      <c r="BW527" s="338"/>
      <c r="BX527" s="338"/>
      <c r="BY527" s="338"/>
      <c r="BZ527" s="338"/>
      <c r="CA527" s="338"/>
      <c r="CB527" s="338"/>
      <c r="CC527" s="338"/>
      <c r="CD527" s="338"/>
      <c r="CE527" s="338"/>
      <c r="CF527" s="338"/>
      <c r="CG527" s="338"/>
      <c r="CH527" s="338"/>
      <c r="CI527" s="338"/>
      <c r="CJ527" s="338"/>
      <c r="CK527" s="338"/>
      <c r="CL527" s="338"/>
    </row>
    <row r="528" ht="14.2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40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338"/>
      <c r="BV528" s="338"/>
      <c r="BW528" s="338"/>
      <c r="BX528" s="338"/>
      <c r="BY528" s="338"/>
      <c r="BZ528" s="338"/>
      <c r="CA528" s="338"/>
      <c r="CB528" s="338"/>
      <c r="CC528" s="338"/>
      <c r="CD528" s="338"/>
      <c r="CE528" s="338"/>
      <c r="CF528" s="338"/>
      <c r="CG528" s="338"/>
      <c r="CH528" s="338"/>
      <c r="CI528" s="338"/>
      <c r="CJ528" s="338"/>
      <c r="CK528" s="338"/>
      <c r="CL528" s="338"/>
    </row>
    <row r="529" ht="14.2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40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338"/>
      <c r="BV529" s="338"/>
      <c r="BW529" s="338"/>
      <c r="BX529" s="338"/>
      <c r="BY529" s="338"/>
      <c r="BZ529" s="338"/>
      <c r="CA529" s="338"/>
      <c r="CB529" s="338"/>
      <c r="CC529" s="338"/>
      <c r="CD529" s="338"/>
      <c r="CE529" s="338"/>
      <c r="CF529" s="338"/>
      <c r="CG529" s="338"/>
      <c r="CH529" s="338"/>
      <c r="CI529" s="338"/>
      <c r="CJ529" s="338"/>
      <c r="CK529" s="338"/>
      <c r="CL529" s="338"/>
    </row>
    <row r="530" ht="14.2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40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338"/>
      <c r="BV530" s="338"/>
      <c r="BW530" s="338"/>
      <c r="BX530" s="338"/>
      <c r="BY530" s="338"/>
      <c r="BZ530" s="338"/>
      <c r="CA530" s="338"/>
      <c r="CB530" s="338"/>
      <c r="CC530" s="338"/>
      <c r="CD530" s="338"/>
      <c r="CE530" s="338"/>
      <c r="CF530" s="338"/>
      <c r="CG530" s="338"/>
      <c r="CH530" s="338"/>
      <c r="CI530" s="338"/>
      <c r="CJ530" s="338"/>
      <c r="CK530" s="338"/>
      <c r="CL530" s="338"/>
    </row>
    <row r="531" ht="14.2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40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338"/>
      <c r="BV531" s="338"/>
      <c r="BW531" s="338"/>
      <c r="BX531" s="338"/>
      <c r="BY531" s="338"/>
      <c r="BZ531" s="338"/>
      <c r="CA531" s="338"/>
      <c r="CB531" s="338"/>
      <c r="CC531" s="338"/>
      <c r="CD531" s="338"/>
      <c r="CE531" s="338"/>
      <c r="CF531" s="338"/>
      <c r="CG531" s="338"/>
      <c r="CH531" s="338"/>
      <c r="CI531" s="338"/>
      <c r="CJ531" s="338"/>
      <c r="CK531" s="338"/>
      <c r="CL531" s="338"/>
    </row>
    <row r="532" ht="14.2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40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338"/>
      <c r="BV532" s="338"/>
      <c r="BW532" s="338"/>
      <c r="BX532" s="338"/>
      <c r="BY532" s="338"/>
      <c r="BZ532" s="338"/>
      <c r="CA532" s="338"/>
      <c r="CB532" s="338"/>
      <c r="CC532" s="338"/>
      <c r="CD532" s="338"/>
      <c r="CE532" s="338"/>
      <c r="CF532" s="338"/>
      <c r="CG532" s="338"/>
      <c r="CH532" s="338"/>
      <c r="CI532" s="338"/>
      <c r="CJ532" s="338"/>
      <c r="CK532" s="338"/>
      <c r="CL532" s="338"/>
    </row>
    <row r="533" ht="14.2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40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338"/>
      <c r="BV533" s="338"/>
      <c r="BW533" s="338"/>
      <c r="BX533" s="338"/>
      <c r="BY533" s="338"/>
      <c r="BZ533" s="338"/>
      <c r="CA533" s="338"/>
      <c r="CB533" s="338"/>
      <c r="CC533" s="338"/>
      <c r="CD533" s="338"/>
      <c r="CE533" s="338"/>
      <c r="CF533" s="338"/>
      <c r="CG533" s="338"/>
      <c r="CH533" s="338"/>
      <c r="CI533" s="338"/>
      <c r="CJ533" s="338"/>
      <c r="CK533" s="338"/>
      <c r="CL533" s="338"/>
    </row>
    <row r="534" ht="14.2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40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338"/>
      <c r="BV534" s="338"/>
      <c r="BW534" s="338"/>
      <c r="BX534" s="338"/>
      <c r="BY534" s="338"/>
      <c r="BZ534" s="338"/>
      <c r="CA534" s="338"/>
      <c r="CB534" s="338"/>
      <c r="CC534" s="338"/>
      <c r="CD534" s="338"/>
      <c r="CE534" s="338"/>
      <c r="CF534" s="338"/>
      <c r="CG534" s="338"/>
      <c r="CH534" s="338"/>
      <c r="CI534" s="338"/>
      <c r="CJ534" s="338"/>
      <c r="CK534" s="338"/>
      <c r="CL534" s="338"/>
    </row>
    <row r="535" ht="14.2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40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338"/>
      <c r="BV535" s="338"/>
      <c r="BW535" s="338"/>
      <c r="BX535" s="338"/>
      <c r="BY535" s="338"/>
      <c r="BZ535" s="338"/>
      <c r="CA535" s="338"/>
      <c r="CB535" s="338"/>
      <c r="CC535" s="338"/>
      <c r="CD535" s="338"/>
      <c r="CE535" s="338"/>
      <c r="CF535" s="338"/>
      <c r="CG535" s="338"/>
      <c r="CH535" s="338"/>
      <c r="CI535" s="338"/>
      <c r="CJ535" s="338"/>
      <c r="CK535" s="338"/>
      <c r="CL535" s="338"/>
    </row>
    <row r="536" ht="14.2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40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338"/>
      <c r="BV536" s="338"/>
      <c r="BW536" s="338"/>
      <c r="BX536" s="338"/>
      <c r="BY536" s="338"/>
      <c r="BZ536" s="338"/>
      <c r="CA536" s="338"/>
      <c r="CB536" s="338"/>
      <c r="CC536" s="338"/>
      <c r="CD536" s="338"/>
      <c r="CE536" s="338"/>
      <c r="CF536" s="338"/>
      <c r="CG536" s="338"/>
      <c r="CH536" s="338"/>
      <c r="CI536" s="338"/>
      <c r="CJ536" s="338"/>
      <c r="CK536" s="338"/>
      <c r="CL536" s="338"/>
    </row>
    <row r="537" ht="14.2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40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338"/>
      <c r="BV537" s="338"/>
      <c r="BW537" s="338"/>
      <c r="BX537" s="338"/>
      <c r="BY537" s="338"/>
      <c r="BZ537" s="338"/>
      <c r="CA537" s="338"/>
      <c r="CB537" s="338"/>
      <c r="CC537" s="338"/>
      <c r="CD537" s="338"/>
      <c r="CE537" s="338"/>
      <c r="CF537" s="338"/>
      <c r="CG537" s="338"/>
      <c r="CH537" s="338"/>
      <c r="CI537" s="338"/>
      <c r="CJ537" s="338"/>
      <c r="CK537" s="338"/>
      <c r="CL537" s="338"/>
    </row>
    <row r="538" ht="14.2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40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338"/>
      <c r="BV538" s="338"/>
      <c r="BW538" s="338"/>
      <c r="BX538" s="338"/>
      <c r="BY538" s="338"/>
      <c r="BZ538" s="338"/>
      <c r="CA538" s="338"/>
      <c r="CB538" s="338"/>
      <c r="CC538" s="338"/>
      <c r="CD538" s="338"/>
      <c r="CE538" s="338"/>
      <c r="CF538" s="338"/>
      <c r="CG538" s="338"/>
      <c r="CH538" s="338"/>
      <c r="CI538" s="338"/>
      <c r="CJ538" s="338"/>
      <c r="CK538" s="338"/>
      <c r="CL538" s="338"/>
    </row>
    <row r="539" ht="14.2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40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338"/>
      <c r="BV539" s="338"/>
      <c r="BW539" s="338"/>
      <c r="BX539" s="338"/>
      <c r="BY539" s="338"/>
      <c r="BZ539" s="338"/>
      <c r="CA539" s="338"/>
      <c r="CB539" s="338"/>
      <c r="CC539" s="338"/>
      <c r="CD539" s="338"/>
      <c r="CE539" s="338"/>
      <c r="CF539" s="338"/>
      <c r="CG539" s="338"/>
      <c r="CH539" s="338"/>
      <c r="CI539" s="338"/>
      <c r="CJ539" s="338"/>
      <c r="CK539" s="338"/>
      <c r="CL539" s="338"/>
    </row>
    <row r="540" ht="14.2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40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338"/>
      <c r="BV540" s="338"/>
      <c r="BW540" s="338"/>
      <c r="BX540" s="338"/>
      <c r="BY540" s="338"/>
      <c r="BZ540" s="338"/>
      <c r="CA540" s="338"/>
      <c r="CB540" s="338"/>
      <c r="CC540" s="338"/>
      <c r="CD540" s="338"/>
      <c r="CE540" s="338"/>
      <c r="CF540" s="338"/>
      <c r="CG540" s="338"/>
      <c r="CH540" s="338"/>
      <c r="CI540" s="338"/>
      <c r="CJ540" s="338"/>
      <c r="CK540" s="338"/>
      <c r="CL540" s="338"/>
    </row>
    <row r="541" ht="14.2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40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338"/>
      <c r="BV541" s="338"/>
      <c r="BW541" s="338"/>
      <c r="BX541" s="338"/>
      <c r="BY541" s="338"/>
      <c r="BZ541" s="338"/>
      <c r="CA541" s="338"/>
      <c r="CB541" s="338"/>
      <c r="CC541" s="338"/>
      <c r="CD541" s="338"/>
      <c r="CE541" s="338"/>
      <c r="CF541" s="338"/>
      <c r="CG541" s="338"/>
      <c r="CH541" s="338"/>
      <c r="CI541" s="338"/>
      <c r="CJ541" s="338"/>
      <c r="CK541" s="338"/>
      <c r="CL541" s="338"/>
    </row>
    <row r="542" ht="14.2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40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338"/>
      <c r="BV542" s="338"/>
      <c r="BW542" s="338"/>
      <c r="BX542" s="338"/>
      <c r="BY542" s="338"/>
      <c r="BZ542" s="338"/>
      <c r="CA542" s="338"/>
      <c r="CB542" s="338"/>
      <c r="CC542" s="338"/>
      <c r="CD542" s="338"/>
      <c r="CE542" s="338"/>
      <c r="CF542" s="338"/>
      <c r="CG542" s="338"/>
      <c r="CH542" s="338"/>
      <c r="CI542" s="338"/>
      <c r="CJ542" s="338"/>
      <c r="CK542" s="338"/>
      <c r="CL542" s="338"/>
    </row>
    <row r="543" ht="14.2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40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338"/>
      <c r="BV543" s="338"/>
      <c r="BW543" s="338"/>
      <c r="BX543" s="338"/>
      <c r="BY543" s="338"/>
      <c r="BZ543" s="338"/>
      <c r="CA543" s="338"/>
      <c r="CB543" s="338"/>
      <c r="CC543" s="338"/>
      <c r="CD543" s="338"/>
      <c r="CE543" s="338"/>
      <c r="CF543" s="338"/>
      <c r="CG543" s="338"/>
      <c r="CH543" s="338"/>
      <c r="CI543" s="338"/>
      <c r="CJ543" s="338"/>
      <c r="CK543" s="338"/>
      <c r="CL543" s="338"/>
    </row>
    <row r="544" ht="14.2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40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338"/>
      <c r="BV544" s="338"/>
      <c r="BW544" s="338"/>
      <c r="BX544" s="338"/>
      <c r="BY544" s="338"/>
      <c r="BZ544" s="338"/>
      <c r="CA544" s="338"/>
      <c r="CB544" s="338"/>
      <c r="CC544" s="338"/>
      <c r="CD544" s="338"/>
      <c r="CE544" s="338"/>
      <c r="CF544" s="338"/>
      <c r="CG544" s="338"/>
      <c r="CH544" s="338"/>
      <c r="CI544" s="338"/>
      <c r="CJ544" s="338"/>
      <c r="CK544" s="338"/>
      <c r="CL544" s="338"/>
    </row>
    <row r="545" ht="14.2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40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338"/>
      <c r="BV545" s="338"/>
      <c r="BW545" s="338"/>
      <c r="BX545" s="338"/>
      <c r="BY545" s="338"/>
      <c r="BZ545" s="338"/>
      <c r="CA545" s="338"/>
      <c r="CB545" s="338"/>
      <c r="CC545" s="338"/>
      <c r="CD545" s="338"/>
      <c r="CE545" s="338"/>
      <c r="CF545" s="338"/>
      <c r="CG545" s="338"/>
      <c r="CH545" s="338"/>
      <c r="CI545" s="338"/>
      <c r="CJ545" s="338"/>
      <c r="CK545" s="338"/>
      <c r="CL545" s="338"/>
    </row>
    <row r="546" ht="14.2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40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338"/>
      <c r="BV546" s="338"/>
      <c r="BW546" s="338"/>
      <c r="BX546" s="338"/>
      <c r="BY546" s="338"/>
      <c r="BZ546" s="338"/>
      <c r="CA546" s="338"/>
      <c r="CB546" s="338"/>
      <c r="CC546" s="338"/>
      <c r="CD546" s="338"/>
      <c r="CE546" s="338"/>
      <c r="CF546" s="338"/>
      <c r="CG546" s="338"/>
      <c r="CH546" s="338"/>
      <c r="CI546" s="338"/>
      <c r="CJ546" s="338"/>
      <c r="CK546" s="338"/>
      <c r="CL546" s="338"/>
    </row>
    <row r="547" ht="14.2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40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338"/>
      <c r="BV547" s="338"/>
      <c r="BW547" s="338"/>
      <c r="BX547" s="338"/>
      <c r="BY547" s="338"/>
      <c r="BZ547" s="338"/>
      <c r="CA547" s="338"/>
      <c r="CB547" s="338"/>
      <c r="CC547" s="338"/>
      <c r="CD547" s="338"/>
      <c r="CE547" s="338"/>
      <c r="CF547" s="338"/>
      <c r="CG547" s="338"/>
      <c r="CH547" s="338"/>
      <c r="CI547" s="338"/>
      <c r="CJ547" s="338"/>
      <c r="CK547" s="338"/>
      <c r="CL547" s="338"/>
    </row>
    <row r="548" ht="14.2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40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338"/>
      <c r="BV548" s="338"/>
      <c r="BW548" s="338"/>
      <c r="BX548" s="338"/>
      <c r="BY548" s="338"/>
      <c r="BZ548" s="338"/>
      <c r="CA548" s="338"/>
      <c r="CB548" s="338"/>
      <c r="CC548" s="338"/>
      <c r="CD548" s="338"/>
      <c r="CE548" s="338"/>
      <c r="CF548" s="338"/>
      <c r="CG548" s="338"/>
      <c r="CH548" s="338"/>
      <c r="CI548" s="338"/>
      <c r="CJ548" s="338"/>
      <c r="CK548" s="338"/>
      <c r="CL548" s="338"/>
    </row>
    <row r="549" ht="14.2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40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338"/>
      <c r="BV549" s="338"/>
      <c r="BW549" s="338"/>
      <c r="BX549" s="338"/>
      <c r="BY549" s="338"/>
      <c r="BZ549" s="338"/>
      <c r="CA549" s="338"/>
      <c r="CB549" s="338"/>
      <c r="CC549" s="338"/>
      <c r="CD549" s="338"/>
      <c r="CE549" s="338"/>
      <c r="CF549" s="338"/>
      <c r="CG549" s="338"/>
      <c r="CH549" s="338"/>
      <c r="CI549" s="338"/>
      <c r="CJ549" s="338"/>
      <c r="CK549" s="338"/>
      <c r="CL549" s="338"/>
    </row>
    <row r="550" ht="14.2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40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338"/>
      <c r="BV550" s="338"/>
      <c r="BW550" s="338"/>
      <c r="BX550" s="338"/>
      <c r="BY550" s="338"/>
      <c r="BZ550" s="338"/>
      <c r="CA550" s="338"/>
      <c r="CB550" s="338"/>
      <c r="CC550" s="338"/>
      <c r="CD550" s="338"/>
      <c r="CE550" s="338"/>
      <c r="CF550" s="338"/>
      <c r="CG550" s="338"/>
      <c r="CH550" s="338"/>
      <c r="CI550" s="338"/>
      <c r="CJ550" s="338"/>
      <c r="CK550" s="338"/>
      <c r="CL550" s="338"/>
    </row>
    <row r="551" ht="14.2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40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338"/>
      <c r="BV551" s="338"/>
      <c r="BW551" s="338"/>
      <c r="BX551" s="338"/>
      <c r="BY551" s="338"/>
      <c r="BZ551" s="338"/>
      <c r="CA551" s="338"/>
      <c r="CB551" s="338"/>
      <c r="CC551" s="338"/>
      <c r="CD551" s="338"/>
      <c r="CE551" s="338"/>
      <c r="CF551" s="338"/>
      <c r="CG551" s="338"/>
      <c r="CH551" s="338"/>
      <c r="CI551" s="338"/>
      <c r="CJ551" s="338"/>
      <c r="CK551" s="338"/>
      <c r="CL551" s="338"/>
    </row>
    <row r="552" ht="14.2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40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338"/>
      <c r="BV552" s="338"/>
      <c r="BW552" s="338"/>
      <c r="BX552" s="338"/>
      <c r="BY552" s="338"/>
      <c r="BZ552" s="338"/>
      <c r="CA552" s="338"/>
      <c r="CB552" s="338"/>
      <c r="CC552" s="338"/>
      <c r="CD552" s="338"/>
      <c r="CE552" s="338"/>
      <c r="CF552" s="338"/>
      <c r="CG552" s="338"/>
      <c r="CH552" s="338"/>
      <c r="CI552" s="338"/>
      <c r="CJ552" s="338"/>
      <c r="CK552" s="338"/>
      <c r="CL552" s="338"/>
    </row>
    <row r="553" ht="14.2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40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338"/>
      <c r="BV553" s="338"/>
      <c r="BW553" s="338"/>
      <c r="BX553" s="338"/>
      <c r="BY553" s="338"/>
      <c r="BZ553" s="338"/>
      <c r="CA553" s="338"/>
      <c r="CB553" s="338"/>
      <c r="CC553" s="338"/>
      <c r="CD553" s="338"/>
      <c r="CE553" s="338"/>
      <c r="CF553" s="338"/>
      <c r="CG553" s="338"/>
      <c r="CH553" s="338"/>
      <c r="CI553" s="338"/>
      <c r="CJ553" s="338"/>
      <c r="CK553" s="338"/>
      <c r="CL553" s="338"/>
    </row>
    <row r="554" ht="14.2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40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338"/>
      <c r="BV554" s="338"/>
      <c r="BW554" s="338"/>
      <c r="BX554" s="338"/>
      <c r="BY554" s="338"/>
      <c r="BZ554" s="338"/>
      <c r="CA554" s="338"/>
      <c r="CB554" s="338"/>
      <c r="CC554" s="338"/>
      <c r="CD554" s="338"/>
      <c r="CE554" s="338"/>
      <c r="CF554" s="338"/>
      <c r="CG554" s="338"/>
      <c r="CH554" s="338"/>
      <c r="CI554" s="338"/>
      <c r="CJ554" s="338"/>
      <c r="CK554" s="338"/>
      <c r="CL554" s="338"/>
    </row>
    <row r="555" ht="14.2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40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338"/>
      <c r="BV555" s="338"/>
      <c r="BW555" s="338"/>
      <c r="BX555" s="338"/>
      <c r="BY555" s="338"/>
      <c r="BZ555" s="338"/>
      <c r="CA555" s="338"/>
      <c r="CB555" s="338"/>
      <c r="CC555" s="338"/>
      <c r="CD555" s="338"/>
      <c r="CE555" s="338"/>
      <c r="CF555" s="338"/>
      <c r="CG555" s="338"/>
      <c r="CH555" s="338"/>
      <c r="CI555" s="338"/>
      <c r="CJ555" s="338"/>
      <c r="CK555" s="338"/>
      <c r="CL555" s="338"/>
    </row>
    <row r="556" ht="14.2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40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338"/>
      <c r="BV556" s="338"/>
      <c r="BW556" s="338"/>
      <c r="BX556" s="338"/>
      <c r="BY556" s="338"/>
      <c r="BZ556" s="338"/>
      <c r="CA556" s="338"/>
      <c r="CB556" s="338"/>
      <c r="CC556" s="338"/>
      <c r="CD556" s="338"/>
      <c r="CE556" s="338"/>
      <c r="CF556" s="338"/>
      <c r="CG556" s="338"/>
      <c r="CH556" s="338"/>
      <c r="CI556" s="338"/>
      <c r="CJ556" s="338"/>
      <c r="CK556" s="338"/>
      <c r="CL556" s="338"/>
    </row>
    <row r="557" ht="14.2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40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338"/>
      <c r="BV557" s="338"/>
      <c r="BW557" s="338"/>
      <c r="BX557" s="338"/>
      <c r="BY557" s="338"/>
      <c r="BZ557" s="338"/>
      <c r="CA557" s="338"/>
      <c r="CB557" s="338"/>
      <c r="CC557" s="338"/>
      <c r="CD557" s="338"/>
      <c r="CE557" s="338"/>
      <c r="CF557" s="338"/>
      <c r="CG557" s="338"/>
      <c r="CH557" s="338"/>
      <c r="CI557" s="338"/>
      <c r="CJ557" s="338"/>
      <c r="CK557" s="338"/>
      <c r="CL557" s="338"/>
    </row>
    <row r="558" ht="14.2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40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338"/>
      <c r="BV558" s="338"/>
      <c r="BW558" s="338"/>
      <c r="BX558" s="338"/>
      <c r="BY558" s="338"/>
      <c r="BZ558" s="338"/>
      <c r="CA558" s="338"/>
      <c r="CB558" s="338"/>
      <c r="CC558" s="338"/>
      <c r="CD558" s="338"/>
      <c r="CE558" s="338"/>
      <c r="CF558" s="338"/>
      <c r="CG558" s="338"/>
      <c r="CH558" s="338"/>
      <c r="CI558" s="338"/>
      <c r="CJ558" s="338"/>
      <c r="CK558" s="338"/>
      <c r="CL558" s="338"/>
    </row>
    <row r="559" ht="14.2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40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338"/>
      <c r="BV559" s="338"/>
      <c r="BW559" s="338"/>
      <c r="BX559" s="338"/>
      <c r="BY559" s="338"/>
      <c r="BZ559" s="338"/>
      <c r="CA559" s="338"/>
      <c r="CB559" s="338"/>
      <c r="CC559" s="338"/>
      <c r="CD559" s="338"/>
      <c r="CE559" s="338"/>
      <c r="CF559" s="338"/>
      <c r="CG559" s="338"/>
      <c r="CH559" s="338"/>
      <c r="CI559" s="338"/>
      <c r="CJ559" s="338"/>
      <c r="CK559" s="338"/>
      <c r="CL559" s="338"/>
    </row>
    <row r="560" ht="14.2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40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338"/>
      <c r="BV560" s="338"/>
      <c r="BW560" s="338"/>
      <c r="BX560" s="338"/>
      <c r="BY560" s="338"/>
      <c r="BZ560" s="338"/>
      <c r="CA560" s="338"/>
      <c r="CB560" s="338"/>
      <c r="CC560" s="338"/>
      <c r="CD560" s="338"/>
      <c r="CE560" s="338"/>
      <c r="CF560" s="338"/>
      <c r="CG560" s="338"/>
      <c r="CH560" s="338"/>
      <c r="CI560" s="338"/>
      <c r="CJ560" s="338"/>
      <c r="CK560" s="338"/>
      <c r="CL560" s="338"/>
    </row>
    <row r="561" ht="14.2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40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338"/>
      <c r="BV561" s="338"/>
      <c r="BW561" s="338"/>
      <c r="BX561" s="338"/>
      <c r="BY561" s="338"/>
      <c r="BZ561" s="338"/>
      <c r="CA561" s="338"/>
      <c r="CB561" s="338"/>
      <c r="CC561" s="338"/>
      <c r="CD561" s="338"/>
      <c r="CE561" s="338"/>
      <c r="CF561" s="338"/>
      <c r="CG561" s="338"/>
      <c r="CH561" s="338"/>
      <c r="CI561" s="338"/>
      <c r="CJ561" s="338"/>
      <c r="CK561" s="338"/>
      <c r="CL561" s="338"/>
    </row>
    <row r="562" ht="14.2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40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338"/>
      <c r="BV562" s="338"/>
      <c r="BW562" s="338"/>
      <c r="BX562" s="338"/>
      <c r="BY562" s="338"/>
      <c r="BZ562" s="338"/>
      <c r="CA562" s="338"/>
      <c r="CB562" s="338"/>
      <c r="CC562" s="338"/>
      <c r="CD562" s="338"/>
      <c r="CE562" s="338"/>
      <c r="CF562" s="338"/>
      <c r="CG562" s="338"/>
      <c r="CH562" s="338"/>
      <c r="CI562" s="338"/>
      <c r="CJ562" s="338"/>
      <c r="CK562" s="338"/>
      <c r="CL562" s="338"/>
    </row>
    <row r="563" ht="14.2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40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338"/>
      <c r="BV563" s="338"/>
      <c r="BW563" s="338"/>
      <c r="BX563" s="338"/>
      <c r="BY563" s="338"/>
      <c r="BZ563" s="338"/>
      <c r="CA563" s="338"/>
      <c r="CB563" s="338"/>
      <c r="CC563" s="338"/>
      <c r="CD563" s="338"/>
      <c r="CE563" s="338"/>
      <c r="CF563" s="338"/>
      <c r="CG563" s="338"/>
      <c r="CH563" s="338"/>
      <c r="CI563" s="338"/>
      <c r="CJ563" s="338"/>
      <c r="CK563" s="338"/>
      <c r="CL563" s="338"/>
    </row>
    <row r="564" ht="14.2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40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338"/>
      <c r="BV564" s="338"/>
      <c r="BW564" s="338"/>
      <c r="BX564" s="338"/>
      <c r="BY564" s="338"/>
      <c r="BZ564" s="338"/>
      <c r="CA564" s="338"/>
      <c r="CB564" s="338"/>
      <c r="CC564" s="338"/>
      <c r="CD564" s="338"/>
      <c r="CE564" s="338"/>
      <c r="CF564" s="338"/>
      <c r="CG564" s="338"/>
      <c r="CH564" s="338"/>
      <c r="CI564" s="338"/>
      <c r="CJ564" s="338"/>
      <c r="CK564" s="338"/>
      <c r="CL564" s="338"/>
    </row>
    <row r="565" ht="14.2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40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338"/>
      <c r="BV565" s="338"/>
      <c r="BW565" s="338"/>
      <c r="BX565" s="338"/>
      <c r="BY565" s="338"/>
      <c r="BZ565" s="338"/>
      <c r="CA565" s="338"/>
      <c r="CB565" s="338"/>
      <c r="CC565" s="338"/>
      <c r="CD565" s="338"/>
      <c r="CE565" s="338"/>
      <c r="CF565" s="338"/>
      <c r="CG565" s="338"/>
      <c r="CH565" s="338"/>
      <c r="CI565" s="338"/>
      <c r="CJ565" s="338"/>
      <c r="CK565" s="338"/>
      <c r="CL565" s="338"/>
    </row>
    <row r="566" ht="14.2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40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338"/>
      <c r="BV566" s="338"/>
      <c r="BW566" s="338"/>
      <c r="BX566" s="338"/>
      <c r="BY566" s="338"/>
      <c r="BZ566" s="338"/>
      <c r="CA566" s="338"/>
      <c r="CB566" s="338"/>
      <c r="CC566" s="338"/>
      <c r="CD566" s="338"/>
      <c r="CE566" s="338"/>
      <c r="CF566" s="338"/>
      <c r="CG566" s="338"/>
      <c r="CH566" s="338"/>
      <c r="CI566" s="338"/>
      <c r="CJ566" s="338"/>
      <c r="CK566" s="338"/>
      <c r="CL566" s="338"/>
    </row>
    <row r="567" ht="14.2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40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338"/>
      <c r="BV567" s="338"/>
      <c r="BW567" s="338"/>
      <c r="BX567" s="338"/>
      <c r="BY567" s="338"/>
      <c r="BZ567" s="338"/>
      <c r="CA567" s="338"/>
      <c r="CB567" s="338"/>
      <c r="CC567" s="338"/>
      <c r="CD567" s="338"/>
      <c r="CE567" s="338"/>
      <c r="CF567" s="338"/>
      <c r="CG567" s="338"/>
      <c r="CH567" s="338"/>
      <c r="CI567" s="338"/>
      <c r="CJ567" s="338"/>
      <c r="CK567" s="338"/>
      <c r="CL567" s="338"/>
    </row>
    <row r="568" ht="14.2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40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338"/>
      <c r="BV568" s="338"/>
      <c r="BW568" s="338"/>
      <c r="BX568" s="338"/>
      <c r="BY568" s="338"/>
      <c r="BZ568" s="338"/>
      <c r="CA568" s="338"/>
      <c r="CB568" s="338"/>
      <c r="CC568" s="338"/>
      <c r="CD568" s="338"/>
      <c r="CE568" s="338"/>
      <c r="CF568" s="338"/>
      <c r="CG568" s="338"/>
      <c r="CH568" s="338"/>
      <c r="CI568" s="338"/>
      <c r="CJ568" s="338"/>
      <c r="CK568" s="338"/>
      <c r="CL568" s="338"/>
    </row>
    <row r="569" ht="14.2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40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338"/>
      <c r="BV569" s="338"/>
      <c r="BW569" s="338"/>
      <c r="BX569" s="338"/>
      <c r="BY569" s="338"/>
      <c r="BZ569" s="338"/>
      <c r="CA569" s="338"/>
      <c r="CB569" s="338"/>
      <c r="CC569" s="338"/>
      <c r="CD569" s="338"/>
      <c r="CE569" s="338"/>
      <c r="CF569" s="338"/>
      <c r="CG569" s="338"/>
      <c r="CH569" s="338"/>
      <c r="CI569" s="338"/>
      <c r="CJ569" s="338"/>
      <c r="CK569" s="338"/>
      <c r="CL569" s="338"/>
    </row>
    <row r="570" ht="14.2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40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338"/>
      <c r="BV570" s="338"/>
      <c r="BW570" s="338"/>
      <c r="BX570" s="338"/>
      <c r="BY570" s="338"/>
      <c r="BZ570" s="338"/>
      <c r="CA570" s="338"/>
      <c r="CB570" s="338"/>
      <c r="CC570" s="338"/>
      <c r="CD570" s="338"/>
      <c r="CE570" s="338"/>
      <c r="CF570" s="338"/>
      <c r="CG570" s="338"/>
      <c r="CH570" s="338"/>
      <c r="CI570" s="338"/>
      <c r="CJ570" s="338"/>
      <c r="CK570" s="338"/>
      <c r="CL570" s="338"/>
    </row>
    <row r="571" ht="14.2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40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338"/>
      <c r="BV571" s="338"/>
      <c r="BW571" s="338"/>
      <c r="BX571" s="338"/>
      <c r="BY571" s="338"/>
      <c r="BZ571" s="338"/>
      <c r="CA571" s="338"/>
      <c r="CB571" s="338"/>
      <c r="CC571" s="338"/>
      <c r="CD571" s="338"/>
      <c r="CE571" s="338"/>
      <c r="CF571" s="338"/>
      <c r="CG571" s="338"/>
      <c r="CH571" s="338"/>
      <c r="CI571" s="338"/>
      <c r="CJ571" s="338"/>
      <c r="CK571" s="338"/>
      <c r="CL571" s="338"/>
    </row>
    <row r="572" ht="14.2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40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338"/>
      <c r="BV572" s="338"/>
      <c r="BW572" s="338"/>
      <c r="BX572" s="338"/>
      <c r="BY572" s="338"/>
      <c r="BZ572" s="338"/>
      <c r="CA572" s="338"/>
      <c r="CB572" s="338"/>
      <c r="CC572" s="338"/>
      <c r="CD572" s="338"/>
      <c r="CE572" s="338"/>
      <c r="CF572" s="338"/>
      <c r="CG572" s="338"/>
      <c r="CH572" s="338"/>
      <c r="CI572" s="338"/>
      <c r="CJ572" s="338"/>
      <c r="CK572" s="338"/>
      <c r="CL572" s="338"/>
    </row>
    <row r="573" ht="14.2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40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338"/>
      <c r="BV573" s="338"/>
      <c r="BW573" s="338"/>
      <c r="BX573" s="338"/>
      <c r="BY573" s="338"/>
      <c r="BZ573" s="338"/>
      <c r="CA573" s="338"/>
      <c r="CB573" s="338"/>
      <c r="CC573" s="338"/>
      <c r="CD573" s="338"/>
      <c r="CE573" s="338"/>
      <c r="CF573" s="338"/>
      <c r="CG573" s="338"/>
      <c r="CH573" s="338"/>
      <c r="CI573" s="338"/>
      <c r="CJ573" s="338"/>
      <c r="CK573" s="338"/>
      <c r="CL573" s="338"/>
    </row>
    <row r="574" ht="14.2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40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338"/>
      <c r="BV574" s="338"/>
      <c r="BW574" s="338"/>
      <c r="BX574" s="338"/>
      <c r="BY574" s="338"/>
      <c r="BZ574" s="338"/>
      <c r="CA574" s="338"/>
      <c r="CB574" s="338"/>
      <c r="CC574" s="338"/>
      <c r="CD574" s="338"/>
      <c r="CE574" s="338"/>
      <c r="CF574" s="338"/>
      <c r="CG574" s="338"/>
      <c r="CH574" s="338"/>
      <c r="CI574" s="338"/>
      <c r="CJ574" s="338"/>
      <c r="CK574" s="338"/>
      <c r="CL574" s="338"/>
    </row>
    <row r="575" ht="14.2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40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338"/>
      <c r="BV575" s="338"/>
      <c r="BW575" s="338"/>
      <c r="BX575" s="338"/>
      <c r="BY575" s="338"/>
      <c r="BZ575" s="338"/>
      <c r="CA575" s="338"/>
      <c r="CB575" s="338"/>
      <c r="CC575" s="338"/>
      <c r="CD575" s="338"/>
      <c r="CE575" s="338"/>
      <c r="CF575" s="338"/>
      <c r="CG575" s="338"/>
      <c r="CH575" s="338"/>
      <c r="CI575" s="338"/>
      <c r="CJ575" s="338"/>
      <c r="CK575" s="338"/>
      <c r="CL575" s="338"/>
    </row>
    <row r="576" ht="14.2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40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338"/>
      <c r="BV576" s="338"/>
      <c r="BW576" s="338"/>
      <c r="BX576" s="338"/>
      <c r="BY576" s="338"/>
      <c r="BZ576" s="338"/>
      <c r="CA576" s="338"/>
      <c r="CB576" s="338"/>
      <c r="CC576" s="338"/>
      <c r="CD576" s="338"/>
      <c r="CE576" s="338"/>
      <c r="CF576" s="338"/>
      <c r="CG576" s="338"/>
      <c r="CH576" s="338"/>
      <c r="CI576" s="338"/>
      <c r="CJ576" s="338"/>
      <c r="CK576" s="338"/>
      <c r="CL576" s="338"/>
    </row>
    <row r="577" ht="14.2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40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338"/>
      <c r="BV577" s="338"/>
      <c r="BW577" s="338"/>
      <c r="BX577" s="338"/>
      <c r="BY577" s="338"/>
      <c r="BZ577" s="338"/>
      <c r="CA577" s="338"/>
      <c r="CB577" s="338"/>
      <c r="CC577" s="338"/>
      <c r="CD577" s="338"/>
      <c r="CE577" s="338"/>
      <c r="CF577" s="338"/>
      <c r="CG577" s="338"/>
      <c r="CH577" s="338"/>
      <c r="CI577" s="338"/>
      <c r="CJ577" s="338"/>
      <c r="CK577" s="338"/>
      <c r="CL577" s="338"/>
    </row>
    <row r="578" ht="14.2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40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338"/>
      <c r="BV578" s="338"/>
      <c r="BW578" s="338"/>
      <c r="BX578" s="338"/>
      <c r="BY578" s="338"/>
      <c r="BZ578" s="338"/>
      <c r="CA578" s="338"/>
      <c r="CB578" s="338"/>
      <c r="CC578" s="338"/>
      <c r="CD578" s="338"/>
      <c r="CE578" s="338"/>
      <c r="CF578" s="338"/>
      <c r="CG578" s="338"/>
      <c r="CH578" s="338"/>
      <c r="CI578" s="338"/>
      <c r="CJ578" s="338"/>
      <c r="CK578" s="338"/>
      <c r="CL578" s="338"/>
    </row>
    <row r="579" ht="14.2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40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338"/>
      <c r="BV579" s="338"/>
      <c r="BW579" s="338"/>
      <c r="BX579" s="338"/>
      <c r="BY579" s="338"/>
      <c r="BZ579" s="338"/>
      <c r="CA579" s="338"/>
      <c r="CB579" s="338"/>
      <c r="CC579" s="338"/>
      <c r="CD579" s="338"/>
      <c r="CE579" s="338"/>
      <c r="CF579" s="338"/>
      <c r="CG579" s="338"/>
      <c r="CH579" s="338"/>
      <c r="CI579" s="338"/>
      <c r="CJ579" s="338"/>
      <c r="CK579" s="338"/>
      <c r="CL579" s="338"/>
    </row>
    <row r="580" ht="14.2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40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338"/>
      <c r="BV580" s="338"/>
      <c r="BW580" s="338"/>
      <c r="BX580" s="338"/>
      <c r="BY580" s="338"/>
      <c r="BZ580" s="338"/>
      <c r="CA580" s="338"/>
      <c r="CB580" s="338"/>
      <c r="CC580" s="338"/>
      <c r="CD580" s="338"/>
      <c r="CE580" s="338"/>
      <c r="CF580" s="338"/>
      <c r="CG580" s="338"/>
      <c r="CH580" s="338"/>
      <c r="CI580" s="338"/>
      <c r="CJ580" s="338"/>
      <c r="CK580" s="338"/>
      <c r="CL580" s="338"/>
    </row>
    <row r="581" ht="14.2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40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338"/>
      <c r="BV581" s="338"/>
      <c r="BW581" s="338"/>
      <c r="BX581" s="338"/>
      <c r="BY581" s="338"/>
      <c r="BZ581" s="338"/>
      <c r="CA581" s="338"/>
      <c r="CB581" s="338"/>
      <c r="CC581" s="338"/>
      <c r="CD581" s="338"/>
      <c r="CE581" s="338"/>
      <c r="CF581" s="338"/>
      <c r="CG581" s="338"/>
      <c r="CH581" s="338"/>
      <c r="CI581" s="338"/>
      <c r="CJ581" s="338"/>
      <c r="CK581" s="338"/>
      <c r="CL581" s="338"/>
    </row>
    <row r="582" ht="14.2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40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338"/>
      <c r="BV582" s="338"/>
      <c r="BW582" s="338"/>
      <c r="BX582" s="338"/>
      <c r="BY582" s="338"/>
      <c r="BZ582" s="338"/>
      <c r="CA582" s="338"/>
      <c r="CB582" s="338"/>
      <c r="CC582" s="338"/>
      <c r="CD582" s="338"/>
      <c r="CE582" s="338"/>
      <c r="CF582" s="338"/>
      <c r="CG582" s="338"/>
      <c r="CH582" s="338"/>
      <c r="CI582" s="338"/>
      <c r="CJ582" s="338"/>
      <c r="CK582" s="338"/>
      <c r="CL582" s="338"/>
    </row>
    <row r="583" ht="14.2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40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338"/>
      <c r="BV583" s="338"/>
      <c r="BW583" s="338"/>
      <c r="BX583" s="338"/>
      <c r="BY583" s="338"/>
      <c r="BZ583" s="338"/>
      <c r="CA583" s="338"/>
      <c r="CB583" s="338"/>
      <c r="CC583" s="338"/>
      <c r="CD583" s="338"/>
      <c r="CE583" s="338"/>
      <c r="CF583" s="338"/>
      <c r="CG583" s="338"/>
      <c r="CH583" s="338"/>
      <c r="CI583" s="338"/>
      <c r="CJ583" s="338"/>
      <c r="CK583" s="338"/>
      <c r="CL583" s="338"/>
    </row>
    <row r="584" ht="14.2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40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338"/>
      <c r="BV584" s="338"/>
      <c r="BW584" s="338"/>
      <c r="BX584" s="338"/>
      <c r="BY584" s="338"/>
      <c r="BZ584" s="338"/>
      <c r="CA584" s="338"/>
      <c r="CB584" s="338"/>
      <c r="CC584" s="338"/>
      <c r="CD584" s="338"/>
      <c r="CE584" s="338"/>
      <c r="CF584" s="338"/>
      <c r="CG584" s="338"/>
      <c r="CH584" s="338"/>
      <c r="CI584" s="338"/>
      <c r="CJ584" s="338"/>
      <c r="CK584" s="338"/>
      <c r="CL584" s="338"/>
    </row>
    <row r="585" ht="14.2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40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338"/>
      <c r="BV585" s="338"/>
      <c r="BW585" s="338"/>
      <c r="BX585" s="338"/>
      <c r="BY585" s="338"/>
      <c r="BZ585" s="338"/>
      <c r="CA585" s="338"/>
      <c r="CB585" s="338"/>
      <c r="CC585" s="338"/>
      <c r="CD585" s="338"/>
      <c r="CE585" s="338"/>
      <c r="CF585" s="338"/>
      <c r="CG585" s="338"/>
      <c r="CH585" s="338"/>
      <c r="CI585" s="338"/>
      <c r="CJ585" s="338"/>
      <c r="CK585" s="338"/>
      <c r="CL585" s="338"/>
    </row>
    <row r="586" ht="14.2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40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338"/>
      <c r="BV586" s="338"/>
      <c r="BW586" s="338"/>
      <c r="BX586" s="338"/>
      <c r="BY586" s="338"/>
      <c r="BZ586" s="338"/>
      <c r="CA586" s="338"/>
      <c r="CB586" s="338"/>
      <c r="CC586" s="338"/>
      <c r="CD586" s="338"/>
      <c r="CE586" s="338"/>
      <c r="CF586" s="338"/>
      <c r="CG586" s="338"/>
      <c r="CH586" s="338"/>
      <c r="CI586" s="338"/>
      <c r="CJ586" s="338"/>
      <c r="CK586" s="338"/>
      <c r="CL586" s="338"/>
    </row>
    <row r="587" ht="14.2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40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338"/>
      <c r="BV587" s="338"/>
      <c r="BW587" s="338"/>
      <c r="BX587" s="338"/>
      <c r="BY587" s="338"/>
      <c r="BZ587" s="338"/>
      <c r="CA587" s="338"/>
      <c r="CB587" s="338"/>
      <c r="CC587" s="338"/>
      <c r="CD587" s="338"/>
      <c r="CE587" s="338"/>
      <c r="CF587" s="338"/>
      <c r="CG587" s="338"/>
      <c r="CH587" s="338"/>
      <c r="CI587" s="338"/>
      <c r="CJ587" s="338"/>
      <c r="CK587" s="338"/>
      <c r="CL587" s="338"/>
    </row>
    <row r="588" ht="14.2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40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338"/>
      <c r="BV588" s="338"/>
      <c r="BW588" s="338"/>
      <c r="BX588" s="338"/>
      <c r="BY588" s="338"/>
      <c r="BZ588" s="338"/>
      <c r="CA588" s="338"/>
      <c r="CB588" s="338"/>
      <c r="CC588" s="338"/>
      <c r="CD588" s="338"/>
      <c r="CE588" s="338"/>
      <c r="CF588" s="338"/>
      <c r="CG588" s="338"/>
      <c r="CH588" s="338"/>
      <c r="CI588" s="338"/>
      <c r="CJ588" s="338"/>
      <c r="CK588" s="338"/>
      <c r="CL588" s="338"/>
    </row>
    <row r="589" ht="14.2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40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338"/>
      <c r="BV589" s="338"/>
      <c r="BW589" s="338"/>
      <c r="BX589" s="338"/>
      <c r="BY589" s="338"/>
      <c r="BZ589" s="338"/>
      <c r="CA589" s="338"/>
      <c r="CB589" s="338"/>
      <c r="CC589" s="338"/>
      <c r="CD589" s="338"/>
      <c r="CE589" s="338"/>
      <c r="CF589" s="338"/>
      <c r="CG589" s="338"/>
      <c r="CH589" s="338"/>
      <c r="CI589" s="338"/>
      <c r="CJ589" s="338"/>
      <c r="CK589" s="338"/>
      <c r="CL589" s="338"/>
    </row>
    <row r="590" ht="14.2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40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338"/>
      <c r="BV590" s="338"/>
      <c r="BW590" s="338"/>
      <c r="BX590" s="338"/>
      <c r="BY590" s="338"/>
      <c r="BZ590" s="338"/>
      <c r="CA590" s="338"/>
      <c r="CB590" s="338"/>
      <c r="CC590" s="338"/>
      <c r="CD590" s="338"/>
      <c r="CE590" s="338"/>
      <c r="CF590" s="338"/>
      <c r="CG590" s="338"/>
      <c r="CH590" s="338"/>
      <c r="CI590" s="338"/>
      <c r="CJ590" s="338"/>
      <c r="CK590" s="338"/>
      <c r="CL590" s="338"/>
    </row>
    <row r="591" ht="14.2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40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338"/>
      <c r="BV591" s="338"/>
      <c r="BW591" s="338"/>
      <c r="BX591" s="338"/>
      <c r="BY591" s="338"/>
      <c r="BZ591" s="338"/>
      <c r="CA591" s="338"/>
      <c r="CB591" s="338"/>
      <c r="CC591" s="338"/>
      <c r="CD591" s="338"/>
      <c r="CE591" s="338"/>
      <c r="CF591" s="338"/>
      <c r="CG591" s="338"/>
      <c r="CH591" s="338"/>
      <c r="CI591" s="338"/>
      <c r="CJ591" s="338"/>
      <c r="CK591" s="338"/>
      <c r="CL591" s="338"/>
    </row>
    <row r="592" ht="14.2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40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338"/>
      <c r="BV592" s="338"/>
      <c r="BW592" s="338"/>
      <c r="BX592" s="338"/>
      <c r="BY592" s="338"/>
      <c r="BZ592" s="338"/>
      <c r="CA592" s="338"/>
      <c r="CB592" s="338"/>
      <c r="CC592" s="338"/>
      <c r="CD592" s="338"/>
      <c r="CE592" s="338"/>
      <c r="CF592" s="338"/>
      <c r="CG592" s="338"/>
      <c r="CH592" s="338"/>
      <c r="CI592" s="338"/>
      <c r="CJ592" s="338"/>
      <c r="CK592" s="338"/>
      <c r="CL592" s="338"/>
    </row>
    <row r="593" ht="14.2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40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338"/>
      <c r="BV593" s="338"/>
      <c r="BW593" s="338"/>
      <c r="BX593" s="338"/>
      <c r="BY593" s="338"/>
      <c r="BZ593" s="338"/>
      <c r="CA593" s="338"/>
      <c r="CB593" s="338"/>
      <c r="CC593" s="338"/>
      <c r="CD593" s="338"/>
      <c r="CE593" s="338"/>
      <c r="CF593" s="338"/>
      <c r="CG593" s="338"/>
      <c r="CH593" s="338"/>
      <c r="CI593" s="338"/>
      <c r="CJ593" s="338"/>
      <c r="CK593" s="338"/>
      <c r="CL593" s="338"/>
    </row>
    <row r="594" ht="14.2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40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338"/>
      <c r="BV594" s="338"/>
      <c r="BW594" s="338"/>
      <c r="BX594" s="338"/>
      <c r="BY594" s="338"/>
      <c r="BZ594" s="338"/>
      <c r="CA594" s="338"/>
      <c r="CB594" s="338"/>
      <c r="CC594" s="338"/>
      <c r="CD594" s="338"/>
      <c r="CE594" s="338"/>
      <c r="CF594" s="338"/>
      <c r="CG594" s="338"/>
      <c r="CH594" s="338"/>
      <c r="CI594" s="338"/>
      <c r="CJ594" s="338"/>
      <c r="CK594" s="338"/>
      <c r="CL594" s="338"/>
    </row>
    <row r="595" ht="14.2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40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338"/>
      <c r="BV595" s="338"/>
      <c r="BW595" s="338"/>
      <c r="BX595" s="338"/>
      <c r="BY595" s="338"/>
      <c r="BZ595" s="338"/>
      <c r="CA595" s="338"/>
      <c r="CB595" s="338"/>
      <c r="CC595" s="338"/>
      <c r="CD595" s="338"/>
      <c r="CE595" s="338"/>
      <c r="CF595" s="338"/>
      <c r="CG595" s="338"/>
      <c r="CH595" s="338"/>
      <c r="CI595" s="338"/>
      <c r="CJ595" s="338"/>
      <c r="CK595" s="338"/>
      <c r="CL595" s="338"/>
    </row>
    <row r="596" ht="14.2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40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338"/>
      <c r="BV596" s="338"/>
      <c r="BW596" s="338"/>
      <c r="BX596" s="338"/>
      <c r="BY596" s="338"/>
      <c r="BZ596" s="338"/>
      <c r="CA596" s="338"/>
      <c r="CB596" s="338"/>
      <c r="CC596" s="338"/>
      <c r="CD596" s="338"/>
      <c r="CE596" s="338"/>
      <c r="CF596" s="338"/>
      <c r="CG596" s="338"/>
      <c r="CH596" s="338"/>
      <c r="CI596" s="338"/>
      <c r="CJ596" s="338"/>
      <c r="CK596" s="338"/>
      <c r="CL596" s="338"/>
    </row>
    <row r="597" ht="14.2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40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338"/>
      <c r="BV597" s="338"/>
      <c r="BW597" s="338"/>
      <c r="BX597" s="338"/>
      <c r="BY597" s="338"/>
      <c r="BZ597" s="338"/>
      <c r="CA597" s="338"/>
      <c r="CB597" s="338"/>
      <c r="CC597" s="338"/>
      <c r="CD597" s="338"/>
      <c r="CE597" s="338"/>
      <c r="CF597" s="338"/>
      <c r="CG597" s="338"/>
      <c r="CH597" s="338"/>
      <c r="CI597" s="338"/>
      <c r="CJ597" s="338"/>
      <c r="CK597" s="338"/>
      <c r="CL597" s="338"/>
    </row>
    <row r="598" ht="14.2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40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338"/>
      <c r="BV598" s="338"/>
      <c r="BW598" s="338"/>
      <c r="BX598" s="338"/>
      <c r="BY598" s="338"/>
      <c r="BZ598" s="338"/>
      <c r="CA598" s="338"/>
      <c r="CB598" s="338"/>
      <c r="CC598" s="338"/>
      <c r="CD598" s="338"/>
      <c r="CE598" s="338"/>
      <c r="CF598" s="338"/>
      <c r="CG598" s="338"/>
      <c r="CH598" s="338"/>
      <c r="CI598" s="338"/>
      <c r="CJ598" s="338"/>
      <c r="CK598" s="338"/>
      <c r="CL598" s="338"/>
    </row>
    <row r="599" ht="14.2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40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338"/>
      <c r="BV599" s="338"/>
      <c r="BW599" s="338"/>
      <c r="BX599" s="338"/>
      <c r="BY599" s="338"/>
      <c r="BZ599" s="338"/>
      <c r="CA599" s="338"/>
      <c r="CB599" s="338"/>
      <c r="CC599" s="338"/>
      <c r="CD599" s="338"/>
      <c r="CE599" s="338"/>
      <c r="CF599" s="338"/>
      <c r="CG599" s="338"/>
      <c r="CH599" s="338"/>
      <c r="CI599" s="338"/>
      <c r="CJ599" s="338"/>
      <c r="CK599" s="338"/>
      <c r="CL599" s="338"/>
    </row>
    <row r="600" ht="14.2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40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338"/>
      <c r="BV600" s="338"/>
      <c r="BW600" s="338"/>
      <c r="BX600" s="338"/>
      <c r="BY600" s="338"/>
      <c r="BZ600" s="338"/>
      <c r="CA600" s="338"/>
      <c r="CB600" s="338"/>
      <c r="CC600" s="338"/>
      <c r="CD600" s="338"/>
      <c r="CE600" s="338"/>
      <c r="CF600" s="338"/>
      <c r="CG600" s="338"/>
      <c r="CH600" s="338"/>
      <c r="CI600" s="338"/>
      <c r="CJ600" s="338"/>
      <c r="CK600" s="338"/>
      <c r="CL600" s="338"/>
    </row>
    <row r="601" ht="14.2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40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338"/>
      <c r="BV601" s="338"/>
      <c r="BW601" s="338"/>
      <c r="BX601" s="338"/>
      <c r="BY601" s="338"/>
      <c r="BZ601" s="338"/>
      <c r="CA601" s="338"/>
      <c r="CB601" s="338"/>
      <c r="CC601" s="338"/>
      <c r="CD601" s="338"/>
      <c r="CE601" s="338"/>
      <c r="CF601" s="338"/>
      <c r="CG601" s="338"/>
      <c r="CH601" s="338"/>
      <c r="CI601" s="338"/>
      <c r="CJ601" s="338"/>
      <c r="CK601" s="338"/>
      <c r="CL601" s="338"/>
    </row>
    <row r="602" ht="14.2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40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338"/>
      <c r="BV602" s="338"/>
      <c r="BW602" s="338"/>
      <c r="BX602" s="338"/>
      <c r="BY602" s="338"/>
      <c r="BZ602" s="338"/>
      <c r="CA602" s="338"/>
      <c r="CB602" s="338"/>
      <c r="CC602" s="338"/>
      <c r="CD602" s="338"/>
      <c r="CE602" s="338"/>
      <c r="CF602" s="338"/>
      <c r="CG602" s="338"/>
      <c r="CH602" s="338"/>
      <c r="CI602" s="338"/>
      <c r="CJ602" s="338"/>
      <c r="CK602" s="338"/>
      <c r="CL602" s="338"/>
    </row>
    <row r="603" ht="14.2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40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338"/>
      <c r="BV603" s="338"/>
      <c r="BW603" s="338"/>
      <c r="BX603" s="338"/>
      <c r="BY603" s="338"/>
      <c r="BZ603" s="338"/>
      <c r="CA603" s="338"/>
      <c r="CB603" s="338"/>
      <c r="CC603" s="338"/>
      <c r="CD603" s="338"/>
      <c r="CE603" s="338"/>
      <c r="CF603" s="338"/>
      <c r="CG603" s="338"/>
      <c r="CH603" s="338"/>
      <c r="CI603" s="338"/>
      <c r="CJ603" s="338"/>
      <c r="CK603" s="338"/>
      <c r="CL603" s="338"/>
    </row>
    <row r="604" ht="14.2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40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338"/>
      <c r="BV604" s="338"/>
      <c r="BW604" s="338"/>
      <c r="BX604" s="338"/>
      <c r="BY604" s="338"/>
      <c r="BZ604" s="338"/>
      <c r="CA604" s="338"/>
      <c r="CB604" s="338"/>
      <c r="CC604" s="338"/>
      <c r="CD604" s="338"/>
      <c r="CE604" s="338"/>
      <c r="CF604" s="338"/>
      <c r="CG604" s="338"/>
      <c r="CH604" s="338"/>
      <c r="CI604" s="338"/>
      <c r="CJ604" s="338"/>
      <c r="CK604" s="338"/>
      <c r="CL604" s="338"/>
    </row>
    <row r="605" ht="14.2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40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338"/>
      <c r="BV605" s="338"/>
      <c r="BW605" s="338"/>
      <c r="BX605" s="338"/>
      <c r="BY605" s="338"/>
      <c r="BZ605" s="338"/>
      <c r="CA605" s="338"/>
      <c r="CB605" s="338"/>
      <c r="CC605" s="338"/>
      <c r="CD605" s="338"/>
      <c r="CE605" s="338"/>
      <c r="CF605" s="338"/>
      <c r="CG605" s="338"/>
      <c r="CH605" s="338"/>
      <c r="CI605" s="338"/>
      <c r="CJ605" s="338"/>
      <c r="CK605" s="338"/>
      <c r="CL605" s="338"/>
    </row>
    <row r="606" ht="14.2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40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338"/>
      <c r="BV606" s="338"/>
      <c r="BW606" s="338"/>
      <c r="BX606" s="338"/>
      <c r="BY606" s="338"/>
      <c r="BZ606" s="338"/>
      <c r="CA606" s="338"/>
      <c r="CB606" s="338"/>
      <c r="CC606" s="338"/>
      <c r="CD606" s="338"/>
      <c r="CE606" s="338"/>
      <c r="CF606" s="338"/>
      <c r="CG606" s="338"/>
      <c r="CH606" s="338"/>
      <c r="CI606" s="338"/>
      <c r="CJ606" s="338"/>
      <c r="CK606" s="338"/>
      <c r="CL606" s="338"/>
    </row>
    <row r="607" ht="14.2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40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338"/>
      <c r="BV607" s="338"/>
      <c r="BW607" s="338"/>
      <c r="BX607" s="338"/>
      <c r="BY607" s="338"/>
      <c r="BZ607" s="338"/>
      <c r="CA607" s="338"/>
      <c r="CB607" s="338"/>
      <c r="CC607" s="338"/>
      <c r="CD607" s="338"/>
      <c r="CE607" s="338"/>
      <c r="CF607" s="338"/>
      <c r="CG607" s="338"/>
      <c r="CH607" s="338"/>
      <c r="CI607" s="338"/>
      <c r="CJ607" s="338"/>
      <c r="CK607" s="338"/>
      <c r="CL607" s="338"/>
    </row>
    <row r="608" ht="14.2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40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338"/>
      <c r="BV608" s="338"/>
      <c r="BW608" s="338"/>
      <c r="BX608" s="338"/>
      <c r="BY608" s="338"/>
      <c r="BZ608" s="338"/>
      <c r="CA608" s="338"/>
      <c r="CB608" s="338"/>
      <c r="CC608" s="338"/>
      <c r="CD608" s="338"/>
      <c r="CE608" s="338"/>
      <c r="CF608" s="338"/>
      <c r="CG608" s="338"/>
      <c r="CH608" s="338"/>
      <c r="CI608" s="338"/>
      <c r="CJ608" s="338"/>
      <c r="CK608" s="338"/>
      <c r="CL608" s="338"/>
    </row>
    <row r="609" ht="14.2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40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338"/>
      <c r="BV609" s="338"/>
      <c r="BW609" s="338"/>
      <c r="BX609" s="338"/>
      <c r="BY609" s="338"/>
      <c r="BZ609" s="338"/>
      <c r="CA609" s="338"/>
      <c r="CB609" s="338"/>
      <c r="CC609" s="338"/>
      <c r="CD609" s="338"/>
      <c r="CE609" s="338"/>
      <c r="CF609" s="338"/>
      <c r="CG609" s="338"/>
      <c r="CH609" s="338"/>
      <c r="CI609" s="338"/>
      <c r="CJ609" s="338"/>
      <c r="CK609" s="338"/>
      <c r="CL609" s="338"/>
    </row>
    <row r="610" ht="14.2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40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338"/>
      <c r="BV610" s="338"/>
      <c r="BW610" s="338"/>
      <c r="BX610" s="338"/>
      <c r="BY610" s="338"/>
      <c r="BZ610" s="338"/>
      <c r="CA610" s="338"/>
      <c r="CB610" s="338"/>
      <c r="CC610" s="338"/>
      <c r="CD610" s="338"/>
      <c r="CE610" s="338"/>
      <c r="CF610" s="338"/>
      <c r="CG610" s="338"/>
      <c r="CH610" s="338"/>
      <c r="CI610" s="338"/>
      <c r="CJ610" s="338"/>
      <c r="CK610" s="338"/>
      <c r="CL610" s="338"/>
    </row>
    <row r="611" ht="14.2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40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338"/>
      <c r="BV611" s="338"/>
      <c r="BW611" s="338"/>
      <c r="BX611" s="338"/>
      <c r="BY611" s="338"/>
      <c r="BZ611" s="338"/>
      <c r="CA611" s="338"/>
      <c r="CB611" s="338"/>
      <c r="CC611" s="338"/>
      <c r="CD611" s="338"/>
      <c r="CE611" s="338"/>
      <c r="CF611" s="338"/>
      <c r="CG611" s="338"/>
      <c r="CH611" s="338"/>
      <c r="CI611" s="338"/>
      <c r="CJ611" s="338"/>
      <c r="CK611" s="338"/>
      <c r="CL611" s="338"/>
    </row>
    <row r="612" ht="14.2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40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338"/>
      <c r="BV612" s="338"/>
      <c r="BW612" s="338"/>
      <c r="BX612" s="338"/>
      <c r="BY612" s="338"/>
      <c r="BZ612" s="338"/>
      <c r="CA612" s="338"/>
      <c r="CB612" s="338"/>
      <c r="CC612" s="338"/>
      <c r="CD612" s="338"/>
      <c r="CE612" s="338"/>
      <c r="CF612" s="338"/>
      <c r="CG612" s="338"/>
      <c r="CH612" s="338"/>
      <c r="CI612" s="338"/>
      <c r="CJ612" s="338"/>
      <c r="CK612" s="338"/>
      <c r="CL612" s="338"/>
    </row>
    <row r="613" ht="14.2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40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338"/>
      <c r="BV613" s="338"/>
      <c r="BW613" s="338"/>
      <c r="BX613" s="338"/>
      <c r="BY613" s="338"/>
      <c r="BZ613" s="338"/>
      <c r="CA613" s="338"/>
      <c r="CB613" s="338"/>
      <c r="CC613" s="338"/>
      <c r="CD613" s="338"/>
      <c r="CE613" s="338"/>
      <c r="CF613" s="338"/>
      <c r="CG613" s="338"/>
      <c r="CH613" s="338"/>
      <c r="CI613" s="338"/>
      <c r="CJ613" s="338"/>
      <c r="CK613" s="338"/>
      <c r="CL613" s="338"/>
    </row>
    <row r="614" ht="14.2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40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338"/>
      <c r="BV614" s="338"/>
      <c r="BW614" s="338"/>
      <c r="BX614" s="338"/>
      <c r="BY614" s="338"/>
      <c r="BZ614" s="338"/>
      <c r="CA614" s="338"/>
      <c r="CB614" s="338"/>
      <c r="CC614" s="338"/>
      <c r="CD614" s="338"/>
      <c r="CE614" s="338"/>
      <c r="CF614" s="338"/>
      <c r="CG614" s="338"/>
      <c r="CH614" s="338"/>
      <c r="CI614" s="338"/>
      <c r="CJ614" s="338"/>
      <c r="CK614" s="338"/>
      <c r="CL614" s="338"/>
    </row>
    <row r="615" ht="14.2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40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338"/>
      <c r="BV615" s="338"/>
      <c r="BW615" s="338"/>
      <c r="BX615" s="338"/>
      <c r="BY615" s="338"/>
      <c r="BZ615" s="338"/>
      <c r="CA615" s="338"/>
      <c r="CB615" s="338"/>
      <c r="CC615" s="338"/>
      <c r="CD615" s="338"/>
      <c r="CE615" s="338"/>
      <c r="CF615" s="338"/>
      <c r="CG615" s="338"/>
      <c r="CH615" s="338"/>
      <c r="CI615" s="338"/>
      <c r="CJ615" s="338"/>
      <c r="CK615" s="338"/>
      <c r="CL615" s="338"/>
    </row>
    <row r="616" ht="14.2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40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338"/>
      <c r="BV616" s="338"/>
      <c r="BW616" s="338"/>
      <c r="BX616" s="338"/>
      <c r="BY616" s="338"/>
      <c r="BZ616" s="338"/>
      <c r="CA616" s="338"/>
      <c r="CB616" s="338"/>
      <c r="CC616" s="338"/>
      <c r="CD616" s="338"/>
      <c r="CE616" s="338"/>
      <c r="CF616" s="338"/>
      <c r="CG616" s="338"/>
      <c r="CH616" s="338"/>
      <c r="CI616" s="338"/>
      <c r="CJ616" s="338"/>
      <c r="CK616" s="338"/>
      <c r="CL616" s="338"/>
    </row>
    <row r="617" ht="14.2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40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338"/>
      <c r="BV617" s="338"/>
      <c r="BW617" s="338"/>
      <c r="BX617" s="338"/>
      <c r="BY617" s="338"/>
      <c r="BZ617" s="338"/>
      <c r="CA617" s="338"/>
      <c r="CB617" s="338"/>
      <c r="CC617" s="338"/>
      <c r="CD617" s="338"/>
      <c r="CE617" s="338"/>
      <c r="CF617" s="338"/>
      <c r="CG617" s="338"/>
      <c r="CH617" s="338"/>
      <c r="CI617" s="338"/>
      <c r="CJ617" s="338"/>
      <c r="CK617" s="338"/>
      <c r="CL617" s="338"/>
    </row>
    <row r="618" ht="14.2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40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338"/>
      <c r="BV618" s="338"/>
      <c r="BW618" s="338"/>
      <c r="BX618" s="338"/>
      <c r="BY618" s="338"/>
      <c r="BZ618" s="338"/>
      <c r="CA618" s="338"/>
      <c r="CB618" s="338"/>
      <c r="CC618" s="338"/>
      <c r="CD618" s="338"/>
      <c r="CE618" s="338"/>
      <c r="CF618" s="338"/>
      <c r="CG618" s="338"/>
      <c r="CH618" s="338"/>
      <c r="CI618" s="338"/>
      <c r="CJ618" s="338"/>
      <c r="CK618" s="338"/>
      <c r="CL618" s="338"/>
    </row>
    <row r="619" ht="14.2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40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338"/>
      <c r="BV619" s="338"/>
      <c r="BW619" s="338"/>
      <c r="BX619" s="338"/>
      <c r="BY619" s="338"/>
      <c r="BZ619" s="338"/>
      <c r="CA619" s="338"/>
      <c r="CB619" s="338"/>
      <c r="CC619" s="338"/>
      <c r="CD619" s="338"/>
      <c r="CE619" s="338"/>
      <c r="CF619" s="338"/>
      <c r="CG619" s="338"/>
      <c r="CH619" s="338"/>
      <c r="CI619" s="338"/>
      <c r="CJ619" s="338"/>
      <c r="CK619" s="338"/>
      <c r="CL619" s="338"/>
    </row>
    <row r="620" ht="14.2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40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338"/>
      <c r="BV620" s="338"/>
      <c r="BW620" s="338"/>
      <c r="BX620" s="338"/>
      <c r="BY620" s="338"/>
      <c r="BZ620" s="338"/>
      <c r="CA620" s="338"/>
      <c r="CB620" s="338"/>
      <c r="CC620" s="338"/>
      <c r="CD620" s="338"/>
      <c r="CE620" s="338"/>
      <c r="CF620" s="338"/>
      <c r="CG620" s="338"/>
      <c r="CH620" s="338"/>
      <c r="CI620" s="338"/>
      <c r="CJ620" s="338"/>
      <c r="CK620" s="338"/>
      <c r="CL620" s="338"/>
    </row>
    <row r="621" ht="14.2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40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338"/>
      <c r="BV621" s="338"/>
      <c r="BW621" s="338"/>
      <c r="BX621" s="338"/>
      <c r="BY621" s="338"/>
      <c r="BZ621" s="338"/>
      <c r="CA621" s="338"/>
      <c r="CB621" s="338"/>
      <c r="CC621" s="338"/>
      <c r="CD621" s="338"/>
      <c r="CE621" s="338"/>
      <c r="CF621" s="338"/>
      <c r="CG621" s="338"/>
      <c r="CH621" s="338"/>
      <c r="CI621" s="338"/>
      <c r="CJ621" s="338"/>
      <c r="CK621" s="338"/>
      <c r="CL621" s="338"/>
    </row>
    <row r="622" ht="14.2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40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338"/>
      <c r="BV622" s="338"/>
      <c r="BW622" s="338"/>
      <c r="BX622" s="338"/>
      <c r="BY622" s="338"/>
      <c r="BZ622" s="338"/>
      <c r="CA622" s="338"/>
      <c r="CB622" s="338"/>
      <c r="CC622" s="338"/>
      <c r="CD622" s="338"/>
      <c r="CE622" s="338"/>
      <c r="CF622" s="338"/>
      <c r="CG622" s="338"/>
      <c r="CH622" s="338"/>
      <c r="CI622" s="338"/>
      <c r="CJ622" s="338"/>
      <c r="CK622" s="338"/>
      <c r="CL622" s="338"/>
    </row>
    <row r="623" ht="14.2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40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338"/>
      <c r="BW623" s="338"/>
      <c r="BX623" s="338"/>
      <c r="BY623" s="338"/>
      <c r="BZ623" s="338"/>
      <c r="CA623" s="338"/>
      <c r="CB623" s="338"/>
      <c r="CC623" s="338"/>
      <c r="CD623" s="338"/>
      <c r="CE623" s="338"/>
      <c r="CF623" s="338"/>
      <c r="CG623" s="338"/>
      <c r="CH623" s="338"/>
      <c r="CI623" s="338"/>
      <c r="CJ623" s="338"/>
      <c r="CK623" s="338"/>
      <c r="CL623" s="338"/>
    </row>
    <row r="624" ht="14.2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40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338"/>
      <c r="BW624" s="338"/>
      <c r="BX624" s="338"/>
      <c r="BY624" s="338"/>
      <c r="BZ624" s="338"/>
      <c r="CA624" s="338"/>
      <c r="CB624" s="338"/>
      <c r="CC624" s="338"/>
      <c r="CD624" s="338"/>
      <c r="CE624" s="338"/>
      <c r="CF624" s="338"/>
      <c r="CG624" s="338"/>
      <c r="CH624" s="338"/>
      <c r="CI624" s="338"/>
      <c r="CJ624" s="338"/>
      <c r="CK624" s="338"/>
      <c r="CL624" s="338"/>
    </row>
    <row r="625" ht="14.2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40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338"/>
      <c r="BV625" s="338"/>
      <c r="BW625" s="338"/>
      <c r="BX625" s="338"/>
      <c r="BY625" s="338"/>
      <c r="BZ625" s="338"/>
      <c r="CA625" s="338"/>
      <c r="CB625" s="338"/>
      <c r="CC625" s="338"/>
      <c r="CD625" s="338"/>
      <c r="CE625" s="338"/>
      <c r="CF625" s="338"/>
      <c r="CG625" s="338"/>
      <c r="CH625" s="338"/>
      <c r="CI625" s="338"/>
      <c r="CJ625" s="338"/>
      <c r="CK625" s="338"/>
      <c r="CL625" s="338"/>
    </row>
    <row r="626" ht="14.2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40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338"/>
      <c r="BV626" s="338"/>
      <c r="BW626" s="338"/>
      <c r="BX626" s="338"/>
      <c r="BY626" s="338"/>
      <c r="BZ626" s="338"/>
      <c r="CA626" s="338"/>
      <c r="CB626" s="338"/>
      <c r="CC626" s="338"/>
      <c r="CD626" s="338"/>
      <c r="CE626" s="338"/>
      <c r="CF626" s="338"/>
      <c r="CG626" s="338"/>
      <c r="CH626" s="338"/>
      <c r="CI626" s="338"/>
      <c r="CJ626" s="338"/>
      <c r="CK626" s="338"/>
      <c r="CL626" s="338"/>
    </row>
    <row r="627" ht="14.2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40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338"/>
      <c r="BW627" s="338"/>
      <c r="BX627" s="338"/>
      <c r="BY627" s="338"/>
      <c r="BZ627" s="338"/>
      <c r="CA627" s="338"/>
      <c r="CB627" s="338"/>
      <c r="CC627" s="338"/>
      <c r="CD627" s="338"/>
      <c r="CE627" s="338"/>
      <c r="CF627" s="338"/>
      <c r="CG627" s="338"/>
      <c r="CH627" s="338"/>
      <c r="CI627" s="338"/>
      <c r="CJ627" s="338"/>
      <c r="CK627" s="338"/>
      <c r="CL627" s="338"/>
    </row>
    <row r="628" ht="14.2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40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338"/>
      <c r="BV628" s="338"/>
      <c r="BW628" s="338"/>
      <c r="BX628" s="338"/>
      <c r="BY628" s="338"/>
      <c r="BZ628" s="338"/>
      <c r="CA628" s="338"/>
      <c r="CB628" s="338"/>
      <c r="CC628" s="338"/>
      <c r="CD628" s="338"/>
      <c r="CE628" s="338"/>
      <c r="CF628" s="338"/>
      <c r="CG628" s="338"/>
      <c r="CH628" s="338"/>
      <c r="CI628" s="338"/>
      <c r="CJ628" s="338"/>
      <c r="CK628" s="338"/>
      <c r="CL628" s="338"/>
    </row>
    <row r="629" ht="14.2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40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338"/>
      <c r="BV629" s="338"/>
      <c r="BW629" s="338"/>
      <c r="BX629" s="338"/>
      <c r="BY629" s="338"/>
      <c r="BZ629" s="338"/>
      <c r="CA629" s="338"/>
      <c r="CB629" s="338"/>
      <c r="CC629" s="338"/>
      <c r="CD629" s="338"/>
      <c r="CE629" s="338"/>
      <c r="CF629" s="338"/>
      <c r="CG629" s="338"/>
      <c r="CH629" s="338"/>
      <c r="CI629" s="338"/>
      <c r="CJ629" s="338"/>
      <c r="CK629" s="338"/>
      <c r="CL629" s="338"/>
    </row>
    <row r="630" ht="14.2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40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338"/>
      <c r="BV630" s="338"/>
      <c r="BW630" s="338"/>
      <c r="BX630" s="338"/>
      <c r="BY630" s="338"/>
      <c r="BZ630" s="338"/>
      <c r="CA630" s="338"/>
      <c r="CB630" s="338"/>
      <c r="CC630" s="338"/>
      <c r="CD630" s="338"/>
      <c r="CE630" s="338"/>
      <c r="CF630" s="338"/>
      <c r="CG630" s="338"/>
      <c r="CH630" s="338"/>
      <c r="CI630" s="338"/>
      <c r="CJ630" s="338"/>
      <c r="CK630" s="338"/>
      <c r="CL630" s="338"/>
    </row>
    <row r="631" ht="14.2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40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338"/>
      <c r="BV631" s="338"/>
      <c r="BW631" s="338"/>
      <c r="BX631" s="338"/>
      <c r="BY631" s="338"/>
      <c r="BZ631" s="338"/>
      <c r="CA631" s="338"/>
      <c r="CB631" s="338"/>
      <c r="CC631" s="338"/>
      <c r="CD631" s="338"/>
      <c r="CE631" s="338"/>
      <c r="CF631" s="338"/>
      <c r="CG631" s="338"/>
      <c r="CH631" s="338"/>
      <c r="CI631" s="338"/>
      <c r="CJ631" s="338"/>
      <c r="CK631" s="338"/>
      <c r="CL631" s="338"/>
    </row>
    <row r="632" ht="14.2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40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338"/>
      <c r="BV632" s="338"/>
      <c r="BW632" s="338"/>
      <c r="BX632" s="338"/>
      <c r="BY632" s="338"/>
      <c r="BZ632" s="338"/>
      <c r="CA632" s="338"/>
      <c r="CB632" s="338"/>
      <c r="CC632" s="338"/>
      <c r="CD632" s="338"/>
      <c r="CE632" s="338"/>
      <c r="CF632" s="338"/>
      <c r="CG632" s="338"/>
      <c r="CH632" s="338"/>
      <c r="CI632" s="338"/>
      <c r="CJ632" s="338"/>
      <c r="CK632" s="338"/>
      <c r="CL632" s="338"/>
    </row>
    <row r="633" ht="14.2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40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338"/>
      <c r="BV633" s="338"/>
      <c r="BW633" s="338"/>
      <c r="BX633" s="338"/>
      <c r="BY633" s="338"/>
      <c r="BZ633" s="338"/>
      <c r="CA633" s="338"/>
      <c r="CB633" s="338"/>
      <c r="CC633" s="338"/>
      <c r="CD633" s="338"/>
      <c r="CE633" s="338"/>
      <c r="CF633" s="338"/>
      <c r="CG633" s="338"/>
      <c r="CH633" s="338"/>
      <c r="CI633" s="338"/>
      <c r="CJ633" s="338"/>
      <c r="CK633" s="338"/>
      <c r="CL633" s="338"/>
    </row>
    <row r="634" ht="14.2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40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338"/>
      <c r="BV634" s="338"/>
      <c r="BW634" s="338"/>
      <c r="BX634" s="338"/>
      <c r="BY634" s="338"/>
      <c r="BZ634" s="338"/>
      <c r="CA634" s="338"/>
      <c r="CB634" s="338"/>
      <c r="CC634" s="338"/>
      <c r="CD634" s="338"/>
      <c r="CE634" s="338"/>
      <c r="CF634" s="338"/>
      <c r="CG634" s="338"/>
      <c r="CH634" s="338"/>
      <c r="CI634" s="338"/>
      <c r="CJ634" s="338"/>
      <c r="CK634" s="338"/>
      <c r="CL634" s="338"/>
    </row>
    <row r="635" ht="14.2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40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338"/>
      <c r="BV635" s="338"/>
      <c r="BW635" s="338"/>
      <c r="BX635" s="338"/>
      <c r="BY635" s="338"/>
      <c r="BZ635" s="338"/>
      <c r="CA635" s="338"/>
      <c r="CB635" s="338"/>
      <c r="CC635" s="338"/>
      <c r="CD635" s="338"/>
      <c r="CE635" s="338"/>
      <c r="CF635" s="338"/>
      <c r="CG635" s="338"/>
      <c r="CH635" s="338"/>
      <c r="CI635" s="338"/>
      <c r="CJ635" s="338"/>
      <c r="CK635" s="338"/>
      <c r="CL635" s="338"/>
    </row>
    <row r="636" ht="14.2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40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338"/>
      <c r="BV636" s="338"/>
      <c r="BW636" s="338"/>
      <c r="BX636" s="338"/>
      <c r="BY636" s="338"/>
      <c r="BZ636" s="338"/>
      <c r="CA636" s="338"/>
      <c r="CB636" s="338"/>
      <c r="CC636" s="338"/>
      <c r="CD636" s="338"/>
      <c r="CE636" s="338"/>
      <c r="CF636" s="338"/>
      <c r="CG636" s="338"/>
      <c r="CH636" s="338"/>
      <c r="CI636" s="338"/>
      <c r="CJ636" s="338"/>
      <c r="CK636" s="338"/>
      <c r="CL636" s="338"/>
    </row>
    <row r="637" ht="14.2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40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338"/>
      <c r="BV637" s="338"/>
      <c r="BW637" s="338"/>
      <c r="BX637" s="338"/>
      <c r="BY637" s="338"/>
      <c r="BZ637" s="338"/>
      <c r="CA637" s="338"/>
      <c r="CB637" s="338"/>
      <c r="CC637" s="338"/>
      <c r="CD637" s="338"/>
      <c r="CE637" s="338"/>
      <c r="CF637" s="338"/>
      <c r="CG637" s="338"/>
      <c r="CH637" s="338"/>
      <c r="CI637" s="338"/>
      <c r="CJ637" s="338"/>
      <c r="CK637" s="338"/>
      <c r="CL637" s="338"/>
    </row>
    <row r="638" ht="14.2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40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338"/>
      <c r="BV638" s="338"/>
      <c r="BW638" s="338"/>
      <c r="BX638" s="338"/>
      <c r="BY638" s="338"/>
      <c r="BZ638" s="338"/>
      <c r="CA638" s="338"/>
      <c r="CB638" s="338"/>
      <c r="CC638" s="338"/>
      <c r="CD638" s="338"/>
      <c r="CE638" s="338"/>
      <c r="CF638" s="338"/>
      <c r="CG638" s="338"/>
      <c r="CH638" s="338"/>
      <c r="CI638" s="338"/>
      <c r="CJ638" s="338"/>
      <c r="CK638" s="338"/>
      <c r="CL638" s="338"/>
    </row>
    <row r="639" ht="14.2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40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338"/>
      <c r="BV639" s="338"/>
      <c r="BW639" s="338"/>
      <c r="BX639" s="338"/>
      <c r="BY639" s="338"/>
      <c r="BZ639" s="338"/>
      <c r="CA639" s="338"/>
      <c r="CB639" s="338"/>
      <c r="CC639" s="338"/>
      <c r="CD639" s="338"/>
      <c r="CE639" s="338"/>
      <c r="CF639" s="338"/>
      <c r="CG639" s="338"/>
      <c r="CH639" s="338"/>
      <c r="CI639" s="338"/>
      <c r="CJ639" s="338"/>
      <c r="CK639" s="338"/>
      <c r="CL639" s="338"/>
    </row>
    <row r="640" ht="14.2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40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338"/>
      <c r="BW640" s="338"/>
      <c r="BX640" s="338"/>
      <c r="BY640" s="338"/>
      <c r="BZ640" s="338"/>
      <c r="CA640" s="338"/>
      <c r="CB640" s="338"/>
      <c r="CC640" s="338"/>
      <c r="CD640" s="338"/>
      <c r="CE640" s="338"/>
      <c r="CF640" s="338"/>
      <c r="CG640" s="338"/>
      <c r="CH640" s="338"/>
      <c r="CI640" s="338"/>
      <c r="CJ640" s="338"/>
      <c r="CK640" s="338"/>
      <c r="CL640" s="338"/>
    </row>
    <row r="641" ht="14.2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40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338"/>
      <c r="BV641" s="338"/>
      <c r="BW641" s="338"/>
      <c r="BX641" s="338"/>
      <c r="BY641" s="338"/>
      <c r="BZ641" s="338"/>
      <c r="CA641" s="338"/>
      <c r="CB641" s="338"/>
      <c r="CC641" s="338"/>
      <c r="CD641" s="338"/>
      <c r="CE641" s="338"/>
      <c r="CF641" s="338"/>
      <c r="CG641" s="338"/>
      <c r="CH641" s="338"/>
      <c r="CI641" s="338"/>
      <c r="CJ641" s="338"/>
      <c r="CK641" s="338"/>
      <c r="CL641" s="338"/>
    </row>
    <row r="642" ht="14.2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40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338"/>
      <c r="BV642" s="338"/>
      <c r="BW642" s="338"/>
      <c r="BX642" s="338"/>
      <c r="BY642" s="338"/>
      <c r="BZ642" s="338"/>
      <c r="CA642" s="338"/>
      <c r="CB642" s="338"/>
      <c r="CC642" s="338"/>
      <c r="CD642" s="338"/>
      <c r="CE642" s="338"/>
      <c r="CF642" s="338"/>
      <c r="CG642" s="338"/>
      <c r="CH642" s="338"/>
      <c r="CI642" s="338"/>
      <c r="CJ642" s="338"/>
      <c r="CK642" s="338"/>
      <c r="CL642" s="338"/>
    </row>
    <row r="643" ht="14.2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40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338"/>
      <c r="BV643" s="338"/>
      <c r="BW643" s="338"/>
      <c r="BX643" s="338"/>
      <c r="BY643" s="338"/>
      <c r="BZ643" s="338"/>
      <c r="CA643" s="338"/>
      <c r="CB643" s="338"/>
      <c r="CC643" s="338"/>
      <c r="CD643" s="338"/>
      <c r="CE643" s="338"/>
      <c r="CF643" s="338"/>
      <c r="CG643" s="338"/>
      <c r="CH643" s="338"/>
      <c r="CI643" s="338"/>
      <c r="CJ643" s="338"/>
      <c r="CK643" s="338"/>
      <c r="CL643" s="338"/>
    </row>
    <row r="644" ht="14.2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40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338"/>
      <c r="BV644" s="338"/>
      <c r="BW644" s="338"/>
      <c r="BX644" s="338"/>
      <c r="BY644" s="338"/>
      <c r="BZ644" s="338"/>
      <c r="CA644" s="338"/>
      <c r="CB644" s="338"/>
      <c r="CC644" s="338"/>
      <c r="CD644" s="338"/>
      <c r="CE644" s="338"/>
      <c r="CF644" s="338"/>
      <c r="CG644" s="338"/>
      <c r="CH644" s="338"/>
      <c r="CI644" s="338"/>
      <c r="CJ644" s="338"/>
      <c r="CK644" s="338"/>
      <c r="CL644" s="338"/>
    </row>
    <row r="645" ht="14.2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40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338"/>
      <c r="BV645" s="338"/>
      <c r="BW645" s="338"/>
      <c r="BX645" s="338"/>
      <c r="BY645" s="338"/>
      <c r="BZ645" s="338"/>
      <c r="CA645" s="338"/>
      <c r="CB645" s="338"/>
      <c r="CC645" s="338"/>
      <c r="CD645" s="338"/>
      <c r="CE645" s="338"/>
      <c r="CF645" s="338"/>
      <c r="CG645" s="338"/>
      <c r="CH645" s="338"/>
      <c r="CI645" s="338"/>
      <c r="CJ645" s="338"/>
      <c r="CK645" s="338"/>
      <c r="CL645" s="338"/>
    </row>
    <row r="646" ht="14.2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40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338"/>
      <c r="BV646" s="338"/>
      <c r="BW646" s="338"/>
      <c r="BX646" s="338"/>
      <c r="BY646" s="338"/>
      <c r="BZ646" s="338"/>
      <c r="CA646" s="338"/>
      <c r="CB646" s="338"/>
      <c r="CC646" s="338"/>
      <c r="CD646" s="338"/>
      <c r="CE646" s="338"/>
      <c r="CF646" s="338"/>
      <c r="CG646" s="338"/>
      <c r="CH646" s="338"/>
      <c r="CI646" s="338"/>
      <c r="CJ646" s="338"/>
      <c r="CK646" s="338"/>
      <c r="CL646" s="338"/>
    </row>
    <row r="647" ht="14.2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40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338"/>
      <c r="BV647" s="338"/>
      <c r="BW647" s="338"/>
      <c r="BX647" s="338"/>
      <c r="BY647" s="338"/>
      <c r="BZ647" s="338"/>
      <c r="CA647" s="338"/>
      <c r="CB647" s="338"/>
      <c r="CC647" s="338"/>
      <c r="CD647" s="338"/>
      <c r="CE647" s="338"/>
      <c r="CF647" s="338"/>
      <c r="CG647" s="338"/>
      <c r="CH647" s="338"/>
      <c r="CI647" s="338"/>
      <c r="CJ647" s="338"/>
      <c r="CK647" s="338"/>
      <c r="CL647" s="338"/>
    </row>
    <row r="648" ht="14.2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40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338"/>
      <c r="BV648" s="338"/>
      <c r="BW648" s="338"/>
      <c r="BX648" s="338"/>
      <c r="BY648" s="338"/>
      <c r="BZ648" s="338"/>
      <c r="CA648" s="338"/>
      <c r="CB648" s="338"/>
      <c r="CC648" s="338"/>
      <c r="CD648" s="338"/>
      <c r="CE648" s="338"/>
      <c r="CF648" s="338"/>
      <c r="CG648" s="338"/>
      <c r="CH648" s="338"/>
      <c r="CI648" s="338"/>
      <c r="CJ648" s="338"/>
      <c r="CK648" s="338"/>
      <c r="CL648" s="338"/>
    </row>
    <row r="649" ht="14.2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40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338"/>
      <c r="BV649" s="338"/>
      <c r="BW649" s="338"/>
      <c r="BX649" s="338"/>
      <c r="BY649" s="338"/>
      <c r="BZ649" s="338"/>
      <c r="CA649" s="338"/>
      <c r="CB649" s="338"/>
      <c r="CC649" s="338"/>
      <c r="CD649" s="338"/>
      <c r="CE649" s="338"/>
      <c r="CF649" s="338"/>
      <c r="CG649" s="338"/>
      <c r="CH649" s="338"/>
      <c r="CI649" s="338"/>
      <c r="CJ649" s="338"/>
      <c r="CK649" s="338"/>
      <c r="CL649" s="338"/>
    </row>
    <row r="650" ht="14.2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40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338"/>
      <c r="BV650" s="338"/>
      <c r="BW650" s="338"/>
      <c r="BX650" s="338"/>
      <c r="BY650" s="338"/>
      <c r="BZ650" s="338"/>
      <c r="CA650" s="338"/>
      <c r="CB650" s="338"/>
      <c r="CC650" s="338"/>
      <c r="CD650" s="338"/>
      <c r="CE650" s="338"/>
      <c r="CF650" s="338"/>
      <c r="CG650" s="338"/>
      <c r="CH650" s="338"/>
      <c r="CI650" s="338"/>
      <c r="CJ650" s="338"/>
      <c r="CK650" s="338"/>
      <c r="CL650" s="338"/>
    </row>
    <row r="651" ht="14.2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40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338"/>
      <c r="BV651" s="338"/>
      <c r="BW651" s="338"/>
      <c r="BX651" s="338"/>
      <c r="BY651" s="338"/>
      <c r="BZ651" s="338"/>
      <c r="CA651" s="338"/>
      <c r="CB651" s="338"/>
      <c r="CC651" s="338"/>
      <c r="CD651" s="338"/>
      <c r="CE651" s="338"/>
      <c r="CF651" s="338"/>
      <c r="CG651" s="338"/>
      <c r="CH651" s="338"/>
      <c r="CI651" s="338"/>
      <c r="CJ651" s="338"/>
      <c r="CK651" s="338"/>
      <c r="CL651" s="338"/>
    </row>
    <row r="652" ht="14.2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40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338"/>
      <c r="BV652" s="338"/>
      <c r="BW652" s="338"/>
      <c r="BX652" s="338"/>
      <c r="BY652" s="338"/>
      <c r="BZ652" s="338"/>
      <c r="CA652" s="338"/>
      <c r="CB652" s="338"/>
      <c r="CC652" s="338"/>
      <c r="CD652" s="338"/>
      <c r="CE652" s="338"/>
      <c r="CF652" s="338"/>
      <c r="CG652" s="338"/>
      <c r="CH652" s="338"/>
      <c r="CI652" s="338"/>
      <c r="CJ652" s="338"/>
      <c r="CK652" s="338"/>
      <c r="CL652" s="338"/>
    </row>
    <row r="653" ht="14.2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40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338"/>
      <c r="BW653" s="338"/>
      <c r="BX653" s="338"/>
      <c r="BY653" s="338"/>
      <c r="BZ653" s="338"/>
      <c r="CA653" s="338"/>
      <c r="CB653" s="338"/>
      <c r="CC653" s="338"/>
      <c r="CD653" s="338"/>
      <c r="CE653" s="338"/>
      <c r="CF653" s="338"/>
      <c r="CG653" s="338"/>
      <c r="CH653" s="338"/>
      <c r="CI653" s="338"/>
      <c r="CJ653" s="338"/>
      <c r="CK653" s="338"/>
      <c r="CL653" s="338"/>
    </row>
    <row r="654" ht="14.2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40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338"/>
      <c r="BV654" s="338"/>
      <c r="BW654" s="338"/>
      <c r="BX654" s="338"/>
      <c r="BY654" s="338"/>
      <c r="BZ654" s="338"/>
      <c r="CA654" s="338"/>
      <c r="CB654" s="338"/>
      <c r="CC654" s="338"/>
      <c r="CD654" s="338"/>
      <c r="CE654" s="338"/>
      <c r="CF654" s="338"/>
      <c r="CG654" s="338"/>
      <c r="CH654" s="338"/>
      <c r="CI654" s="338"/>
      <c r="CJ654" s="338"/>
      <c r="CK654" s="338"/>
      <c r="CL654" s="338"/>
    </row>
    <row r="655" ht="14.2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40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338"/>
      <c r="BV655" s="338"/>
      <c r="BW655" s="338"/>
      <c r="BX655" s="338"/>
      <c r="BY655" s="338"/>
      <c r="BZ655" s="338"/>
      <c r="CA655" s="338"/>
      <c r="CB655" s="338"/>
      <c r="CC655" s="338"/>
      <c r="CD655" s="338"/>
      <c r="CE655" s="338"/>
      <c r="CF655" s="338"/>
      <c r="CG655" s="338"/>
      <c r="CH655" s="338"/>
      <c r="CI655" s="338"/>
      <c r="CJ655" s="338"/>
      <c r="CK655" s="338"/>
      <c r="CL655" s="338"/>
    </row>
    <row r="656" ht="14.2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40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338"/>
      <c r="BV656" s="338"/>
      <c r="BW656" s="338"/>
      <c r="BX656" s="338"/>
      <c r="BY656" s="338"/>
      <c r="BZ656" s="338"/>
      <c r="CA656" s="338"/>
      <c r="CB656" s="338"/>
      <c r="CC656" s="338"/>
      <c r="CD656" s="338"/>
      <c r="CE656" s="338"/>
      <c r="CF656" s="338"/>
      <c r="CG656" s="338"/>
      <c r="CH656" s="338"/>
      <c r="CI656" s="338"/>
      <c r="CJ656" s="338"/>
      <c r="CK656" s="338"/>
      <c r="CL656" s="338"/>
    </row>
    <row r="657" ht="14.2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40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338"/>
      <c r="BV657" s="338"/>
      <c r="BW657" s="338"/>
      <c r="BX657" s="338"/>
      <c r="BY657" s="338"/>
      <c r="BZ657" s="338"/>
      <c r="CA657" s="338"/>
      <c r="CB657" s="338"/>
      <c r="CC657" s="338"/>
      <c r="CD657" s="338"/>
      <c r="CE657" s="338"/>
      <c r="CF657" s="338"/>
      <c r="CG657" s="338"/>
      <c r="CH657" s="338"/>
      <c r="CI657" s="338"/>
      <c r="CJ657" s="338"/>
      <c r="CK657" s="338"/>
      <c r="CL657" s="338"/>
    </row>
    <row r="658" ht="14.2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40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338"/>
      <c r="BV658" s="338"/>
      <c r="BW658" s="338"/>
      <c r="BX658" s="338"/>
      <c r="BY658" s="338"/>
      <c r="BZ658" s="338"/>
      <c r="CA658" s="338"/>
      <c r="CB658" s="338"/>
      <c r="CC658" s="338"/>
      <c r="CD658" s="338"/>
      <c r="CE658" s="338"/>
      <c r="CF658" s="338"/>
      <c r="CG658" s="338"/>
      <c r="CH658" s="338"/>
      <c r="CI658" s="338"/>
      <c r="CJ658" s="338"/>
      <c r="CK658" s="338"/>
      <c r="CL658" s="338"/>
    </row>
    <row r="659" ht="14.2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40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338"/>
      <c r="BV659" s="338"/>
      <c r="BW659" s="338"/>
      <c r="BX659" s="338"/>
      <c r="BY659" s="338"/>
      <c r="BZ659" s="338"/>
      <c r="CA659" s="338"/>
      <c r="CB659" s="338"/>
      <c r="CC659" s="338"/>
      <c r="CD659" s="338"/>
      <c r="CE659" s="338"/>
      <c r="CF659" s="338"/>
      <c r="CG659" s="338"/>
      <c r="CH659" s="338"/>
      <c r="CI659" s="338"/>
      <c r="CJ659" s="338"/>
      <c r="CK659" s="338"/>
      <c r="CL659" s="338"/>
    </row>
    <row r="660" ht="14.2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40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338"/>
      <c r="BV660" s="338"/>
      <c r="BW660" s="338"/>
      <c r="BX660" s="338"/>
      <c r="BY660" s="338"/>
      <c r="BZ660" s="338"/>
      <c r="CA660" s="338"/>
      <c r="CB660" s="338"/>
      <c r="CC660" s="338"/>
      <c r="CD660" s="338"/>
      <c r="CE660" s="338"/>
      <c r="CF660" s="338"/>
      <c r="CG660" s="338"/>
      <c r="CH660" s="338"/>
      <c r="CI660" s="338"/>
      <c r="CJ660" s="338"/>
      <c r="CK660" s="338"/>
      <c r="CL660" s="338"/>
    </row>
    <row r="661" ht="14.2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40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338"/>
      <c r="BV661" s="338"/>
      <c r="BW661" s="338"/>
      <c r="BX661" s="338"/>
      <c r="BY661" s="338"/>
      <c r="BZ661" s="338"/>
      <c r="CA661" s="338"/>
      <c r="CB661" s="338"/>
      <c r="CC661" s="338"/>
      <c r="CD661" s="338"/>
      <c r="CE661" s="338"/>
      <c r="CF661" s="338"/>
      <c r="CG661" s="338"/>
      <c r="CH661" s="338"/>
      <c r="CI661" s="338"/>
      <c r="CJ661" s="338"/>
      <c r="CK661" s="338"/>
      <c r="CL661" s="338"/>
    </row>
    <row r="662" ht="14.2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40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338"/>
      <c r="BV662" s="338"/>
      <c r="BW662" s="338"/>
      <c r="BX662" s="338"/>
      <c r="BY662" s="338"/>
      <c r="BZ662" s="338"/>
      <c r="CA662" s="338"/>
      <c r="CB662" s="338"/>
      <c r="CC662" s="338"/>
      <c r="CD662" s="338"/>
      <c r="CE662" s="338"/>
      <c r="CF662" s="338"/>
      <c r="CG662" s="338"/>
      <c r="CH662" s="338"/>
      <c r="CI662" s="338"/>
      <c r="CJ662" s="338"/>
      <c r="CK662" s="338"/>
      <c r="CL662" s="338"/>
    </row>
    <row r="663" ht="14.2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40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338"/>
      <c r="BV663" s="338"/>
      <c r="BW663" s="338"/>
      <c r="BX663" s="338"/>
      <c r="BY663" s="338"/>
      <c r="BZ663" s="338"/>
      <c r="CA663" s="338"/>
      <c r="CB663" s="338"/>
      <c r="CC663" s="338"/>
      <c r="CD663" s="338"/>
      <c r="CE663" s="338"/>
      <c r="CF663" s="338"/>
      <c r="CG663" s="338"/>
      <c r="CH663" s="338"/>
      <c r="CI663" s="338"/>
      <c r="CJ663" s="338"/>
      <c r="CK663" s="338"/>
      <c r="CL663" s="338"/>
    </row>
    <row r="664" ht="14.2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40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338"/>
      <c r="BV664" s="338"/>
      <c r="BW664" s="338"/>
      <c r="BX664" s="338"/>
      <c r="BY664" s="338"/>
      <c r="BZ664" s="338"/>
      <c r="CA664" s="338"/>
      <c r="CB664" s="338"/>
      <c r="CC664" s="338"/>
      <c r="CD664" s="338"/>
      <c r="CE664" s="338"/>
      <c r="CF664" s="338"/>
      <c r="CG664" s="338"/>
      <c r="CH664" s="338"/>
      <c r="CI664" s="338"/>
      <c r="CJ664" s="338"/>
      <c r="CK664" s="338"/>
      <c r="CL664" s="338"/>
    </row>
    <row r="665" ht="14.2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40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338"/>
      <c r="BV665" s="338"/>
      <c r="BW665" s="338"/>
      <c r="BX665" s="338"/>
      <c r="BY665" s="338"/>
      <c r="BZ665" s="338"/>
      <c r="CA665" s="338"/>
      <c r="CB665" s="338"/>
      <c r="CC665" s="338"/>
      <c r="CD665" s="338"/>
      <c r="CE665" s="338"/>
      <c r="CF665" s="338"/>
      <c r="CG665" s="338"/>
      <c r="CH665" s="338"/>
      <c r="CI665" s="338"/>
      <c r="CJ665" s="338"/>
      <c r="CK665" s="338"/>
      <c r="CL665" s="338"/>
    </row>
    <row r="666" ht="14.2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40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338"/>
      <c r="BW666" s="338"/>
      <c r="BX666" s="338"/>
      <c r="BY666" s="338"/>
      <c r="BZ666" s="338"/>
      <c r="CA666" s="338"/>
      <c r="CB666" s="338"/>
      <c r="CC666" s="338"/>
      <c r="CD666" s="338"/>
      <c r="CE666" s="338"/>
      <c r="CF666" s="338"/>
      <c r="CG666" s="338"/>
      <c r="CH666" s="338"/>
      <c r="CI666" s="338"/>
      <c r="CJ666" s="338"/>
      <c r="CK666" s="338"/>
      <c r="CL666" s="338"/>
    </row>
    <row r="667" ht="14.2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40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338"/>
      <c r="BV667" s="338"/>
      <c r="BW667" s="338"/>
      <c r="BX667" s="338"/>
      <c r="BY667" s="338"/>
      <c r="BZ667" s="338"/>
      <c r="CA667" s="338"/>
      <c r="CB667" s="338"/>
      <c r="CC667" s="338"/>
      <c r="CD667" s="338"/>
      <c r="CE667" s="338"/>
      <c r="CF667" s="338"/>
      <c r="CG667" s="338"/>
      <c r="CH667" s="338"/>
      <c r="CI667" s="338"/>
      <c r="CJ667" s="338"/>
      <c r="CK667" s="338"/>
      <c r="CL667" s="338"/>
    </row>
    <row r="668" ht="14.2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40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338"/>
      <c r="BV668" s="338"/>
      <c r="BW668" s="338"/>
      <c r="BX668" s="338"/>
      <c r="BY668" s="338"/>
      <c r="BZ668" s="338"/>
      <c r="CA668" s="338"/>
      <c r="CB668" s="338"/>
      <c r="CC668" s="338"/>
      <c r="CD668" s="338"/>
      <c r="CE668" s="338"/>
      <c r="CF668" s="338"/>
      <c r="CG668" s="338"/>
      <c r="CH668" s="338"/>
      <c r="CI668" s="338"/>
      <c r="CJ668" s="338"/>
      <c r="CK668" s="338"/>
      <c r="CL668" s="338"/>
    </row>
    <row r="669" ht="14.2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40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338"/>
      <c r="BV669" s="338"/>
      <c r="BW669" s="338"/>
      <c r="BX669" s="338"/>
      <c r="BY669" s="338"/>
      <c r="BZ669" s="338"/>
      <c r="CA669" s="338"/>
      <c r="CB669" s="338"/>
      <c r="CC669" s="338"/>
      <c r="CD669" s="338"/>
      <c r="CE669" s="338"/>
      <c r="CF669" s="338"/>
      <c r="CG669" s="338"/>
      <c r="CH669" s="338"/>
      <c r="CI669" s="338"/>
      <c r="CJ669" s="338"/>
      <c r="CK669" s="338"/>
      <c r="CL669" s="338"/>
    </row>
    <row r="670" ht="14.2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40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338"/>
      <c r="BV670" s="338"/>
      <c r="BW670" s="338"/>
      <c r="BX670" s="338"/>
      <c r="BY670" s="338"/>
      <c r="BZ670" s="338"/>
      <c r="CA670" s="338"/>
      <c r="CB670" s="338"/>
      <c r="CC670" s="338"/>
      <c r="CD670" s="338"/>
      <c r="CE670" s="338"/>
      <c r="CF670" s="338"/>
      <c r="CG670" s="338"/>
      <c r="CH670" s="338"/>
      <c r="CI670" s="338"/>
      <c r="CJ670" s="338"/>
      <c r="CK670" s="338"/>
      <c r="CL670" s="338"/>
    </row>
    <row r="671" ht="14.2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40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338"/>
      <c r="BV671" s="338"/>
      <c r="BW671" s="338"/>
      <c r="BX671" s="338"/>
      <c r="BY671" s="338"/>
      <c r="BZ671" s="338"/>
      <c r="CA671" s="338"/>
      <c r="CB671" s="338"/>
      <c r="CC671" s="338"/>
      <c r="CD671" s="338"/>
      <c r="CE671" s="338"/>
      <c r="CF671" s="338"/>
      <c r="CG671" s="338"/>
      <c r="CH671" s="338"/>
      <c r="CI671" s="338"/>
      <c r="CJ671" s="338"/>
      <c r="CK671" s="338"/>
      <c r="CL671" s="338"/>
    </row>
    <row r="672" ht="14.2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40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338"/>
      <c r="BV672" s="338"/>
      <c r="BW672" s="338"/>
      <c r="BX672" s="338"/>
      <c r="BY672" s="338"/>
      <c r="BZ672" s="338"/>
      <c r="CA672" s="338"/>
      <c r="CB672" s="338"/>
      <c r="CC672" s="338"/>
      <c r="CD672" s="338"/>
      <c r="CE672" s="338"/>
      <c r="CF672" s="338"/>
      <c r="CG672" s="338"/>
      <c r="CH672" s="338"/>
      <c r="CI672" s="338"/>
      <c r="CJ672" s="338"/>
      <c r="CK672" s="338"/>
      <c r="CL672" s="338"/>
    </row>
    <row r="673" ht="14.2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40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338"/>
      <c r="BV673" s="338"/>
      <c r="BW673" s="338"/>
      <c r="BX673" s="338"/>
      <c r="BY673" s="338"/>
      <c r="BZ673" s="338"/>
      <c r="CA673" s="338"/>
      <c r="CB673" s="338"/>
      <c r="CC673" s="338"/>
      <c r="CD673" s="338"/>
      <c r="CE673" s="338"/>
      <c r="CF673" s="338"/>
      <c r="CG673" s="338"/>
      <c r="CH673" s="338"/>
      <c r="CI673" s="338"/>
      <c r="CJ673" s="338"/>
      <c r="CK673" s="338"/>
      <c r="CL673" s="338"/>
    </row>
    <row r="674" ht="14.2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40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338"/>
      <c r="BV674" s="338"/>
      <c r="BW674" s="338"/>
      <c r="BX674" s="338"/>
      <c r="BY674" s="338"/>
      <c r="BZ674" s="338"/>
      <c r="CA674" s="338"/>
      <c r="CB674" s="338"/>
      <c r="CC674" s="338"/>
      <c r="CD674" s="338"/>
      <c r="CE674" s="338"/>
      <c r="CF674" s="338"/>
      <c r="CG674" s="338"/>
      <c r="CH674" s="338"/>
      <c r="CI674" s="338"/>
      <c r="CJ674" s="338"/>
      <c r="CK674" s="338"/>
      <c r="CL674" s="338"/>
    </row>
    <row r="675" ht="14.2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40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338"/>
      <c r="BV675" s="338"/>
      <c r="BW675" s="338"/>
      <c r="BX675" s="338"/>
      <c r="BY675" s="338"/>
      <c r="BZ675" s="338"/>
      <c r="CA675" s="338"/>
      <c r="CB675" s="338"/>
      <c r="CC675" s="338"/>
      <c r="CD675" s="338"/>
      <c r="CE675" s="338"/>
      <c r="CF675" s="338"/>
      <c r="CG675" s="338"/>
      <c r="CH675" s="338"/>
      <c r="CI675" s="338"/>
      <c r="CJ675" s="338"/>
      <c r="CK675" s="338"/>
      <c r="CL675" s="338"/>
    </row>
    <row r="676" ht="14.2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40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338"/>
      <c r="BV676" s="338"/>
      <c r="BW676" s="338"/>
      <c r="BX676" s="338"/>
      <c r="BY676" s="338"/>
      <c r="BZ676" s="338"/>
      <c r="CA676" s="338"/>
      <c r="CB676" s="338"/>
      <c r="CC676" s="338"/>
      <c r="CD676" s="338"/>
      <c r="CE676" s="338"/>
      <c r="CF676" s="338"/>
      <c r="CG676" s="338"/>
      <c r="CH676" s="338"/>
      <c r="CI676" s="338"/>
      <c r="CJ676" s="338"/>
      <c r="CK676" s="338"/>
      <c r="CL676" s="338"/>
    </row>
    <row r="677" ht="14.2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40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338"/>
      <c r="BV677" s="338"/>
      <c r="BW677" s="338"/>
      <c r="BX677" s="338"/>
      <c r="BY677" s="338"/>
      <c r="BZ677" s="338"/>
      <c r="CA677" s="338"/>
      <c r="CB677" s="338"/>
      <c r="CC677" s="338"/>
      <c r="CD677" s="338"/>
      <c r="CE677" s="338"/>
      <c r="CF677" s="338"/>
      <c r="CG677" s="338"/>
      <c r="CH677" s="338"/>
      <c r="CI677" s="338"/>
      <c r="CJ677" s="338"/>
      <c r="CK677" s="338"/>
      <c r="CL677" s="338"/>
    </row>
    <row r="678" ht="14.2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40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338"/>
      <c r="BV678" s="338"/>
      <c r="BW678" s="338"/>
      <c r="BX678" s="338"/>
      <c r="BY678" s="338"/>
      <c r="BZ678" s="338"/>
      <c r="CA678" s="338"/>
      <c r="CB678" s="338"/>
      <c r="CC678" s="338"/>
      <c r="CD678" s="338"/>
      <c r="CE678" s="338"/>
      <c r="CF678" s="338"/>
      <c r="CG678" s="338"/>
      <c r="CH678" s="338"/>
      <c r="CI678" s="338"/>
      <c r="CJ678" s="338"/>
      <c r="CK678" s="338"/>
      <c r="CL678" s="338"/>
    </row>
    <row r="679" ht="14.2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40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338"/>
      <c r="BW679" s="338"/>
      <c r="BX679" s="338"/>
      <c r="BY679" s="338"/>
      <c r="BZ679" s="338"/>
      <c r="CA679" s="338"/>
      <c r="CB679" s="338"/>
      <c r="CC679" s="338"/>
      <c r="CD679" s="338"/>
      <c r="CE679" s="338"/>
      <c r="CF679" s="338"/>
      <c r="CG679" s="338"/>
      <c r="CH679" s="338"/>
      <c r="CI679" s="338"/>
      <c r="CJ679" s="338"/>
      <c r="CK679" s="338"/>
      <c r="CL679" s="338"/>
    </row>
    <row r="680" ht="14.2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40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338"/>
      <c r="BV680" s="338"/>
      <c r="BW680" s="338"/>
      <c r="BX680" s="338"/>
      <c r="BY680" s="338"/>
      <c r="BZ680" s="338"/>
      <c r="CA680" s="338"/>
      <c r="CB680" s="338"/>
      <c r="CC680" s="338"/>
      <c r="CD680" s="338"/>
      <c r="CE680" s="338"/>
      <c r="CF680" s="338"/>
      <c r="CG680" s="338"/>
      <c r="CH680" s="338"/>
      <c r="CI680" s="338"/>
      <c r="CJ680" s="338"/>
      <c r="CK680" s="338"/>
      <c r="CL680" s="338"/>
    </row>
    <row r="681" ht="14.2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40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338"/>
      <c r="BV681" s="338"/>
      <c r="BW681" s="338"/>
      <c r="BX681" s="338"/>
      <c r="BY681" s="338"/>
      <c r="BZ681" s="338"/>
      <c r="CA681" s="338"/>
      <c r="CB681" s="338"/>
      <c r="CC681" s="338"/>
      <c r="CD681" s="338"/>
      <c r="CE681" s="338"/>
      <c r="CF681" s="338"/>
      <c r="CG681" s="338"/>
      <c r="CH681" s="338"/>
      <c r="CI681" s="338"/>
      <c r="CJ681" s="338"/>
      <c r="CK681" s="338"/>
      <c r="CL681" s="338"/>
    </row>
    <row r="682" ht="14.2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40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338"/>
      <c r="BV682" s="338"/>
      <c r="BW682" s="338"/>
      <c r="BX682" s="338"/>
      <c r="BY682" s="338"/>
      <c r="BZ682" s="338"/>
      <c r="CA682" s="338"/>
      <c r="CB682" s="338"/>
      <c r="CC682" s="338"/>
      <c r="CD682" s="338"/>
      <c r="CE682" s="338"/>
      <c r="CF682" s="338"/>
      <c r="CG682" s="338"/>
      <c r="CH682" s="338"/>
      <c r="CI682" s="338"/>
      <c r="CJ682" s="338"/>
      <c r="CK682" s="338"/>
      <c r="CL682" s="338"/>
    </row>
    <row r="683" ht="14.2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40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338"/>
      <c r="BV683" s="338"/>
      <c r="BW683" s="338"/>
      <c r="BX683" s="338"/>
      <c r="BY683" s="338"/>
      <c r="BZ683" s="338"/>
      <c r="CA683" s="338"/>
      <c r="CB683" s="338"/>
      <c r="CC683" s="338"/>
      <c r="CD683" s="338"/>
      <c r="CE683" s="338"/>
      <c r="CF683" s="338"/>
      <c r="CG683" s="338"/>
      <c r="CH683" s="338"/>
      <c r="CI683" s="338"/>
      <c r="CJ683" s="338"/>
      <c r="CK683" s="338"/>
      <c r="CL683" s="338"/>
    </row>
    <row r="684" ht="14.2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40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338"/>
      <c r="BV684" s="338"/>
      <c r="BW684" s="338"/>
      <c r="BX684" s="338"/>
      <c r="BY684" s="338"/>
      <c r="BZ684" s="338"/>
      <c r="CA684" s="338"/>
      <c r="CB684" s="338"/>
      <c r="CC684" s="338"/>
      <c r="CD684" s="338"/>
      <c r="CE684" s="338"/>
      <c r="CF684" s="338"/>
      <c r="CG684" s="338"/>
      <c r="CH684" s="338"/>
      <c r="CI684" s="338"/>
      <c r="CJ684" s="338"/>
      <c r="CK684" s="338"/>
      <c r="CL684" s="338"/>
    </row>
    <row r="685" ht="14.2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40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338"/>
      <c r="BV685" s="338"/>
      <c r="BW685" s="338"/>
      <c r="BX685" s="338"/>
      <c r="BY685" s="338"/>
      <c r="BZ685" s="338"/>
      <c r="CA685" s="338"/>
      <c r="CB685" s="338"/>
      <c r="CC685" s="338"/>
      <c r="CD685" s="338"/>
      <c r="CE685" s="338"/>
      <c r="CF685" s="338"/>
      <c r="CG685" s="338"/>
      <c r="CH685" s="338"/>
      <c r="CI685" s="338"/>
      <c r="CJ685" s="338"/>
      <c r="CK685" s="338"/>
      <c r="CL685" s="338"/>
    </row>
    <row r="686" ht="14.2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40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338"/>
      <c r="BV686" s="338"/>
      <c r="BW686" s="338"/>
      <c r="BX686" s="338"/>
      <c r="BY686" s="338"/>
      <c r="BZ686" s="338"/>
      <c r="CA686" s="338"/>
      <c r="CB686" s="338"/>
      <c r="CC686" s="338"/>
      <c r="CD686" s="338"/>
      <c r="CE686" s="338"/>
      <c r="CF686" s="338"/>
      <c r="CG686" s="338"/>
      <c r="CH686" s="338"/>
      <c r="CI686" s="338"/>
      <c r="CJ686" s="338"/>
      <c r="CK686" s="338"/>
      <c r="CL686" s="338"/>
    </row>
    <row r="687" ht="14.2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40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338"/>
      <c r="BV687" s="338"/>
      <c r="BW687" s="338"/>
      <c r="BX687" s="338"/>
      <c r="BY687" s="338"/>
      <c r="BZ687" s="338"/>
      <c r="CA687" s="338"/>
      <c r="CB687" s="338"/>
      <c r="CC687" s="338"/>
      <c r="CD687" s="338"/>
      <c r="CE687" s="338"/>
      <c r="CF687" s="338"/>
      <c r="CG687" s="338"/>
      <c r="CH687" s="338"/>
      <c r="CI687" s="338"/>
      <c r="CJ687" s="338"/>
      <c r="CK687" s="338"/>
      <c r="CL687" s="338"/>
    </row>
    <row r="688" ht="14.2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40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338"/>
      <c r="BV688" s="338"/>
      <c r="BW688" s="338"/>
      <c r="BX688" s="338"/>
      <c r="BY688" s="338"/>
      <c r="BZ688" s="338"/>
      <c r="CA688" s="338"/>
      <c r="CB688" s="338"/>
      <c r="CC688" s="338"/>
      <c r="CD688" s="338"/>
      <c r="CE688" s="338"/>
      <c r="CF688" s="338"/>
      <c r="CG688" s="338"/>
      <c r="CH688" s="338"/>
      <c r="CI688" s="338"/>
      <c r="CJ688" s="338"/>
      <c r="CK688" s="338"/>
      <c r="CL688" s="338"/>
    </row>
    <row r="689" ht="14.2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40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338"/>
      <c r="BV689" s="338"/>
      <c r="BW689" s="338"/>
      <c r="BX689" s="338"/>
      <c r="BY689" s="338"/>
      <c r="BZ689" s="338"/>
      <c r="CA689" s="338"/>
      <c r="CB689" s="338"/>
      <c r="CC689" s="338"/>
      <c r="CD689" s="338"/>
      <c r="CE689" s="338"/>
      <c r="CF689" s="338"/>
      <c r="CG689" s="338"/>
      <c r="CH689" s="338"/>
      <c r="CI689" s="338"/>
      <c r="CJ689" s="338"/>
      <c r="CK689" s="338"/>
      <c r="CL689" s="338"/>
    </row>
    <row r="690" ht="14.2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40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338"/>
      <c r="BV690" s="338"/>
      <c r="BW690" s="338"/>
      <c r="BX690" s="338"/>
      <c r="BY690" s="338"/>
      <c r="BZ690" s="338"/>
      <c r="CA690" s="338"/>
      <c r="CB690" s="338"/>
      <c r="CC690" s="338"/>
      <c r="CD690" s="338"/>
      <c r="CE690" s="338"/>
      <c r="CF690" s="338"/>
      <c r="CG690" s="338"/>
      <c r="CH690" s="338"/>
      <c r="CI690" s="338"/>
      <c r="CJ690" s="338"/>
      <c r="CK690" s="338"/>
      <c r="CL690" s="338"/>
    </row>
    <row r="691" ht="14.2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40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338"/>
      <c r="BW691" s="338"/>
      <c r="BX691" s="338"/>
      <c r="BY691" s="338"/>
      <c r="BZ691" s="338"/>
      <c r="CA691" s="338"/>
      <c r="CB691" s="338"/>
      <c r="CC691" s="338"/>
      <c r="CD691" s="338"/>
      <c r="CE691" s="338"/>
      <c r="CF691" s="338"/>
      <c r="CG691" s="338"/>
      <c r="CH691" s="338"/>
      <c r="CI691" s="338"/>
      <c r="CJ691" s="338"/>
      <c r="CK691" s="338"/>
      <c r="CL691" s="338"/>
    </row>
    <row r="692" ht="14.2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40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338"/>
      <c r="BW692" s="338"/>
      <c r="BX692" s="338"/>
      <c r="BY692" s="338"/>
      <c r="BZ692" s="338"/>
      <c r="CA692" s="338"/>
      <c r="CB692" s="338"/>
      <c r="CC692" s="338"/>
      <c r="CD692" s="338"/>
      <c r="CE692" s="338"/>
      <c r="CF692" s="338"/>
      <c r="CG692" s="338"/>
      <c r="CH692" s="338"/>
      <c r="CI692" s="338"/>
      <c r="CJ692" s="338"/>
      <c r="CK692" s="338"/>
      <c r="CL692" s="338"/>
    </row>
    <row r="693" ht="14.2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40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338"/>
      <c r="BW693" s="338"/>
      <c r="BX693" s="338"/>
      <c r="BY693" s="338"/>
      <c r="BZ693" s="338"/>
      <c r="CA693" s="338"/>
      <c r="CB693" s="338"/>
      <c r="CC693" s="338"/>
      <c r="CD693" s="338"/>
      <c r="CE693" s="338"/>
      <c r="CF693" s="338"/>
      <c r="CG693" s="338"/>
      <c r="CH693" s="338"/>
      <c r="CI693" s="338"/>
      <c r="CJ693" s="338"/>
      <c r="CK693" s="338"/>
      <c r="CL693" s="338"/>
    </row>
    <row r="694" ht="14.2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40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338"/>
      <c r="BW694" s="338"/>
      <c r="BX694" s="338"/>
      <c r="BY694" s="338"/>
      <c r="BZ694" s="338"/>
      <c r="CA694" s="338"/>
      <c r="CB694" s="338"/>
      <c r="CC694" s="338"/>
      <c r="CD694" s="338"/>
      <c r="CE694" s="338"/>
      <c r="CF694" s="338"/>
      <c r="CG694" s="338"/>
      <c r="CH694" s="338"/>
      <c r="CI694" s="338"/>
      <c r="CJ694" s="338"/>
      <c r="CK694" s="338"/>
      <c r="CL694" s="338"/>
    </row>
    <row r="695" ht="14.2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40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338"/>
      <c r="BW695" s="338"/>
      <c r="BX695" s="338"/>
      <c r="BY695" s="338"/>
      <c r="BZ695" s="338"/>
      <c r="CA695" s="338"/>
      <c r="CB695" s="338"/>
      <c r="CC695" s="338"/>
      <c r="CD695" s="338"/>
      <c r="CE695" s="338"/>
      <c r="CF695" s="338"/>
      <c r="CG695" s="338"/>
      <c r="CH695" s="338"/>
      <c r="CI695" s="338"/>
      <c r="CJ695" s="338"/>
      <c r="CK695" s="338"/>
      <c r="CL695" s="338"/>
    </row>
    <row r="696" ht="14.2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40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338"/>
      <c r="BW696" s="338"/>
      <c r="BX696" s="338"/>
      <c r="BY696" s="338"/>
      <c r="BZ696" s="338"/>
      <c r="CA696" s="338"/>
      <c r="CB696" s="338"/>
      <c r="CC696" s="338"/>
      <c r="CD696" s="338"/>
      <c r="CE696" s="338"/>
      <c r="CF696" s="338"/>
      <c r="CG696" s="338"/>
      <c r="CH696" s="338"/>
      <c r="CI696" s="338"/>
      <c r="CJ696" s="338"/>
      <c r="CK696" s="338"/>
      <c r="CL696" s="338"/>
    </row>
    <row r="697" ht="14.2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40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338"/>
      <c r="BW697" s="338"/>
      <c r="BX697" s="338"/>
      <c r="BY697" s="338"/>
      <c r="BZ697" s="338"/>
      <c r="CA697" s="338"/>
      <c r="CB697" s="338"/>
      <c r="CC697" s="338"/>
      <c r="CD697" s="338"/>
      <c r="CE697" s="338"/>
      <c r="CF697" s="338"/>
      <c r="CG697" s="338"/>
      <c r="CH697" s="338"/>
      <c r="CI697" s="338"/>
      <c r="CJ697" s="338"/>
      <c r="CK697" s="338"/>
      <c r="CL697" s="338"/>
    </row>
    <row r="698" ht="14.2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40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338"/>
      <c r="BW698" s="338"/>
      <c r="BX698" s="338"/>
      <c r="BY698" s="338"/>
      <c r="BZ698" s="338"/>
      <c r="CA698" s="338"/>
      <c r="CB698" s="338"/>
      <c r="CC698" s="338"/>
      <c r="CD698" s="338"/>
      <c r="CE698" s="338"/>
      <c r="CF698" s="338"/>
      <c r="CG698" s="338"/>
      <c r="CH698" s="338"/>
      <c r="CI698" s="338"/>
      <c r="CJ698" s="338"/>
      <c r="CK698" s="338"/>
      <c r="CL698" s="338"/>
    </row>
    <row r="699" ht="14.2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40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338"/>
      <c r="BW699" s="338"/>
      <c r="BX699" s="338"/>
      <c r="BY699" s="338"/>
      <c r="BZ699" s="338"/>
      <c r="CA699" s="338"/>
      <c r="CB699" s="338"/>
      <c r="CC699" s="338"/>
      <c r="CD699" s="338"/>
      <c r="CE699" s="338"/>
      <c r="CF699" s="338"/>
      <c r="CG699" s="338"/>
      <c r="CH699" s="338"/>
      <c r="CI699" s="338"/>
      <c r="CJ699" s="338"/>
      <c r="CK699" s="338"/>
      <c r="CL699" s="338"/>
    </row>
    <row r="700" ht="14.2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40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338"/>
      <c r="BW700" s="338"/>
      <c r="BX700" s="338"/>
      <c r="BY700" s="338"/>
      <c r="BZ700" s="338"/>
      <c r="CA700" s="338"/>
      <c r="CB700" s="338"/>
      <c r="CC700" s="338"/>
      <c r="CD700" s="338"/>
      <c r="CE700" s="338"/>
      <c r="CF700" s="338"/>
      <c r="CG700" s="338"/>
      <c r="CH700" s="338"/>
      <c r="CI700" s="338"/>
      <c r="CJ700" s="338"/>
      <c r="CK700" s="338"/>
      <c r="CL700" s="338"/>
    </row>
    <row r="701" ht="14.2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40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338"/>
      <c r="BW701" s="338"/>
      <c r="BX701" s="338"/>
      <c r="BY701" s="338"/>
      <c r="BZ701" s="338"/>
      <c r="CA701" s="338"/>
      <c r="CB701" s="338"/>
      <c r="CC701" s="338"/>
      <c r="CD701" s="338"/>
      <c r="CE701" s="338"/>
      <c r="CF701" s="338"/>
      <c r="CG701" s="338"/>
      <c r="CH701" s="338"/>
      <c r="CI701" s="338"/>
      <c r="CJ701" s="338"/>
      <c r="CK701" s="338"/>
      <c r="CL701" s="338"/>
    </row>
    <row r="702" ht="14.2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40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338"/>
      <c r="BW702" s="338"/>
      <c r="BX702" s="338"/>
      <c r="BY702" s="338"/>
      <c r="BZ702" s="338"/>
      <c r="CA702" s="338"/>
      <c r="CB702" s="338"/>
      <c r="CC702" s="338"/>
      <c r="CD702" s="338"/>
      <c r="CE702" s="338"/>
      <c r="CF702" s="338"/>
      <c r="CG702" s="338"/>
      <c r="CH702" s="338"/>
      <c r="CI702" s="338"/>
      <c r="CJ702" s="338"/>
      <c r="CK702" s="338"/>
      <c r="CL702" s="338"/>
    </row>
    <row r="703" ht="14.2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40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338"/>
      <c r="BW703" s="338"/>
      <c r="BX703" s="338"/>
      <c r="BY703" s="338"/>
      <c r="BZ703" s="338"/>
      <c r="CA703" s="338"/>
      <c r="CB703" s="338"/>
      <c r="CC703" s="338"/>
      <c r="CD703" s="338"/>
      <c r="CE703" s="338"/>
      <c r="CF703" s="338"/>
      <c r="CG703" s="338"/>
      <c r="CH703" s="338"/>
      <c r="CI703" s="338"/>
      <c r="CJ703" s="338"/>
      <c r="CK703" s="338"/>
      <c r="CL703" s="338"/>
    </row>
    <row r="704" ht="14.2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40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338"/>
      <c r="BW704" s="338"/>
      <c r="BX704" s="338"/>
      <c r="BY704" s="338"/>
      <c r="BZ704" s="338"/>
      <c r="CA704" s="338"/>
      <c r="CB704" s="338"/>
      <c r="CC704" s="338"/>
      <c r="CD704" s="338"/>
      <c r="CE704" s="338"/>
      <c r="CF704" s="338"/>
      <c r="CG704" s="338"/>
      <c r="CH704" s="338"/>
      <c r="CI704" s="338"/>
      <c r="CJ704" s="338"/>
      <c r="CK704" s="338"/>
      <c r="CL704" s="338"/>
    </row>
    <row r="705" ht="14.2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40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338"/>
      <c r="BW705" s="338"/>
      <c r="BX705" s="338"/>
      <c r="BY705" s="338"/>
      <c r="BZ705" s="338"/>
      <c r="CA705" s="338"/>
      <c r="CB705" s="338"/>
      <c r="CC705" s="338"/>
      <c r="CD705" s="338"/>
      <c r="CE705" s="338"/>
      <c r="CF705" s="338"/>
      <c r="CG705" s="338"/>
      <c r="CH705" s="338"/>
      <c r="CI705" s="338"/>
      <c r="CJ705" s="338"/>
      <c r="CK705" s="338"/>
      <c r="CL705" s="338"/>
    </row>
    <row r="706" ht="14.2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40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338"/>
      <c r="BW706" s="338"/>
      <c r="BX706" s="338"/>
      <c r="BY706" s="338"/>
      <c r="BZ706" s="338"/>
      <c r="CA706" s="338"/>
      <c r="CB706" s="338"/>
      <c r="CC706" s="338"/>
      <c r="CD706" s="338"/>
      <c r="CE706" s="338"/>
      <c r="CF706" s="338"/>
      <c r="CG706" s="338"/>
      <c r="CH706" s="338"/>
      <c r="CI706" s="338"/>
      <c r="CJ706" s="338"/>
      <c r="CK706" s="338"/>
      <c r="CL706" s="338"/>
    </row>
    <row r="707" ht="14.2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40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338"/>
      <c r="BW707" s="338"/>
      <c r="BX707" s="338"/>
      <c r="BY707" s="338"/>
      <c r="BZ707" s="338"/>
      <c r="CA707" s="338"/>
      <c r="CB707" s="338"/>
      <c r="CC707" s="338"/>
      <c r="CD707" s="338"/>
      <c r="CE707" s="338"/>
      <c r="CF707" s="338"/>
      <c r="CG707" s="338"/>
      <c r="CH707" s="338"/>
      <c r="CI707" s="338"/>
      <c r="CJ707" s="338"/>
      <c r="CK707" s="338"/>
      <c r="CL707" s="338"/>
    </row>
    <row r="708" ht="14.2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40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338"/>
      <c r="BW708" s="338"/>
      <c r="BX708" s="338"/>
      <c r="BY708" s="338"/>
      <c r="BZ708" s="338"/>
      <c r="CA708" s="338"/>
      <c r="CB708" s="338"/>
      <c r="CC708" s="338"/>
      <c r="CD708" s="338"/>
      <c r="CE708" s="338"/>
      <c r="CF708" s="338"/>
      <c r="CG708" s="338"/>
      <c r="CH708" s="338"/>
      <c r="CI708" s="338"/>
      <c r="CJ708" s="338"/>
      <c r="CK708" s="338"/>
      <c r="CL708" s="338"/>
    </row>
    <row r="709" ht="14.2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40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338"/>
      <c r="BW709" s="338"/>
      <c r="BX709" s="338"/>
      <c r="BY709" s="338"/>
      <c r="BZ709" s="338"/>
      <c r="CA709" s="338"/>
      <c r="CB709" s="338"/>
      <c r="CC709" s="338"/>
      <c r="CD709" s="338"/>
      <c r="CE709" s="338"/>
      <c r="CF709" s="338"/>
      <c r="CG709" s="338"/>
      <c r="CH709" s="338"/>
      <c r="CI709" s="338"/>
      <c r="CJ709" s="338"/>
      <c r="CK709" s="338"/>
      <c r="CL709" s="338"/>
    </row>
    <row r="710" ht="14.2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40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338"/>
      <c r="BW710" s="338"/>
      <c r="BX710" s="338"/>
      <c r="BY710" s="338"/>
      <c r="BZ710" s="338"/>
      <c r="CA710" s="338"/>
      <c r="CB710" s="338"/>
      <c r="CC710" s="338"/>
      <c r="CD710" s="338"/>
      <c r="CE710" s="338"/>
      <c r="CF710" s="338"/>
      <c r="CG710" s="338"/>
      <c r="CH710" s="338"/>
      <c r="CI710" s="338"/>
      <c r="CJ710" s="338"/>
      <c r="CK710" s="338"/>
      <c r="CL710" s="338"/>
    </row>
    <row r="711" ht="14.2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40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338"/>
      <c r="BW711" s="338"/>
      <c r="BX711" s="338"/>
      <c r="BY711" s="338"/>
      <c r="BZ711" s="338"/>
      <c r="CA711" s="338"/>
      <c r="CB711" s="338"/>
      <c r="CC711" s="338"/>
      <c r="CD711" s="338"/>
      <c r="CE711" s="338"/>
      <c r="CF711" s="338"/>
      <c r="CG711" s="338"/>
      <c r="CH711" s="338"/>
      <c r="CI711" s="338"/>
      <c r="CJ711" s="338"/>
      <c r="CK711" s="338"/>
      <c r="CL711" s="338"/>
    </row>
    <row r="712" ht="14.2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40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338"/>
      <c r="BW712" s="338"/>
      <c r="BX712" s="338"/>
      <c r="BY712" s="338"/>
      <c r="BZ712" s="338"/>
      <c r="CA712" s="338"/>
      <c r="CB712" s="338"/>
      <c r="CC712" s="338"/>
      <c r="CD712" s="338"/>
      <c r="CE712" s="338"/>
      <c r="CF712" s="338"/>
      <c r="CG712" s="338"/>
      <c r="CH712" s="338"/>
      <c r="CI712" s="338"/>
      <c r="CJ712" s="338"/>
      <c r="CK712" s="338"/>
      <c r="CL712" s="338"/>
    </row>
    <row r="713" ht="14.2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40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338"/>
      <c r="BW713" s="338"/>
      <c r="BX713" s="338"/>
      <c r="BY713" s="338"/>
      <c r="BZ713" s="338"/>
      <c r="CA713" s="338"/>
      <c r="CB713" s="338"/>
      <c r="CC713" s="338"/>
      <c r="CD713" s="338"/>
      <c r="CE713" s="338"/>
      <c r="CF713" s="338"/>
      <c r="CG713" s="338"/>
      <c r="CH713" s="338"/>
      <c r="CI713" s="338"/>
      <c r="CJ713" s="338"/>
      <c r="CK713" s="338"/>
      <c r="CL713" s="338"/>
    </row>
    <row r="714" ht="14.2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40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338"/>
      <c r="BW714" s="338"/>
      <c r="BX714" s="338"/>
      <c r="BY714" s="338"/>
      <c r="BZ714" s="338"/>
      <c r="CA714" s="338"/>
      <c r="CB714" s="338"/>
      <c r="CC714" s="338"/>
      <c r="CD714" s="338"/>
      <c r="CE714" s="338"/>
      <c r="CF714" s="338"/>
      <c r="CG714" s="338"/>
      <c r="CH714" s="338"/>
      <c r="CI714" s="338"/>
      <c r="CJ714" s="338"/>
      <c r="CK714" s="338"/>
      <c r="CL714" s="338"/>
    </row>
    <row r="715" ht="14.2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40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338"/>
      <c r="BW715" s="338"/>
      <c r="BX715" s="338"/>
      <c r="BY715" s="338"/>
      <c r="BZ715" s="338"/>
      <c r="CA715" s="338"/>
      <c r="CB715" s="338"/>
      <c r="CC715" s="338"/>
      <c r="CD715" s="338"/>
      <c r="CE715" s="338"/>
      <c r="CF715" s="338"/>
      <c r="CG715" s="338"/>
      <c r="CH715" s="338"/>
      <c r="CI715" s="338"/>
      <c r="CJ715" s="338"/>
      <c r="CK715" s="338"/>
      <c r="CL715" s="338"/>
    </row>
    <row r="716" ht="14.2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40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338"/>
      <c r="BW716" s="338"/>
      <c r="BX716" s="338"/>
      <c r="BY716" s="338"/>
      <c r="BZ716" s="338"/>
      <c r="CA716" s="338"/>
      <c r="CB716" s="338"/>
      <c r="CC716" s="338"/>
      <c r="CD716" s="338"/>
      <c r="CE716" s="338"/>
      <c r="CF716" s="338"/>
      <c r="CG716" s="338"/>
      <c r="CH716" s="338"/>
      <c r="CI716" s="338"/>
      <c r="CJ716" s="338"/>
      <c r="CK716" s="338"/>
      <c r="CL716" s="338"/>
    </row>
    <row r="717" ht="14.2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40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38"/>
      <c r="BW717" s="338"/>
      <c r="BX717" s="338"/>
      <c r="BY717" s="338"/>
      <c r="BZ717" s="338"/>
      <c r="CA717" s="338"/>
      <c r="CB717" s="338"/>
      <c r="CC717" s="338"/>
      <c r="CD717" s="338"/>
      <c r="CE717" s="338"/>
      <c r="CF717" s="338"/>
      <c r="CG717" s="338"/>
      <c r="CH717" s="338"/>
      <c r="CI717" s="338"/>
      <c r="CJ717" s="338"/>
      <c r="CK717" s="338"/>
      <c r="CL717" s="338"/>
    </row>
    <row r="718" ht="14.2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40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338"/>
      <c r="BW718" s="338"/>
      <c r="BX718" s="338"/>
      <c r="BY718" s="338"/>
      <c r="BZ718" s="338"/>
      <c r="CA718" s="338"/>
      <c r="CB718" s="338"/>
      <c r="CC718" s="338"/>
      <c r="CD718" s="338"/>
      <c r="CE718" s="338"/>
      <c r="CF718" s="338"/>
      <c r="CG718" s="338"/>
      <c r="CH718" s="338"/>
      <c r="CI718" s="338"/>
      <c r="CJ718" s="338"/>
      <c r="CK718" s="338"/>
      <c r="CL718" s="338"/>
    </row>
    <row r="719" ht="14.2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40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338"/>
      <c r="BW719" s="338"/>
      <c r="BX719" s="338"/>
      <c r="BY719" s="338"/>
      <c r="BZ719" s="338"/>
      <c r="CA719" s="338"/>
      <c r="CB719" s="338"/>
      <c r="CC719" s="338"/>
      <c r="CD719" s="338"/>
      <c r="CE719" s="338"/>
      <c r="CF719" s="338"/>
      <c r="CG719" s="338"/>
      <c r="CH719" s="338"/>
      <c r="CI719" s="338"/>
      <c r="CJ719" s="338"/>
      <c r="CK719" s="338"/>
      <c r="CL719" s="338"/>
    </row>
    <row r="720" ht="14.2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40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338"/>
      <c r="BW720" s="338"/>
      <c r="BX720" s="338"/>
      <c r="BY720" s="338"/>
      <c r="BZ720" s="338"/>
      <c r="CA720" s="338"/>
      <c r="CB720" s="338"/>
      <c r="CC720" s="338"/>
      <c r="CD720" s="338"/>
      <c r="CE720" s="338"/>
      <c r="CF720" s="338"/>
      <c r="CG720" s="338"/>
      <c r="CH720" s="338"/>
      <c r="CI720" s="338"/>
      <c r="CJ720" s="338"/>
      <c r="CK720" s="338"/>
      <c r="CL720" s="338"/>
    </row>
    <row r="721" ht="14.2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40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338"/>
      <c r="BW721" s="338"/>
      <c r="BX721" s="338"/>
      <c r="BY721" s="338"/>
      <c r="BZ721" s="338"/>
      <c r="CA721" s="338"/>
      <c r="CB721" s="338"/>
      <c r="CC721" s="338"/>
      <c r="CD721" s="338"/>
      <c r="CE721" s="338"/>
      <c r="CF721" s="338"/>
      <c r="CG721" s="338"/>
      <c r="CH721" s="338"/>
      <c r="CI721" s="338"/>
      <c r="CJ721" s="338"/>
      <c r="CK721" s="338"/>
      <c r="CL721" s="338"/>
    </row>
    <row r="722" ht="14.2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40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338"/>
      <c r="BW722" s="338"/>
      <c r="BX722" s="338"/>
      <c r="BY722" s="338"/>
      <c r="BZ722" s="338"/>
      <c r="CA722" s="338"/>
      <c r="CB722" s="338"/>
      <c r="CC722" s="338"/>
      <c r="CD722" s="338"/>
      <c r="CE722" s="338"/>
      <c r="CF722" s="338"/>
      <c r="CG722" s="338"/>
      <c r="CH722" s="338"/>
      <c r="CI722" s="338"/>
      <c r="CJ722" s="338"/>
      <c r="CK722" s="338"/>
      <c r="CL722" s="338"/>
    </row>
    <row r="723" ht="14.2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40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338"/>
      <c r="BW723" s="338"/>
      <c r="BX723" s="338"/>
      <c r="BY723" s="338"/>
      <c r="BZ723" s="338"/>
      <c r="CA723" s="338"/>
      <c r="CB723" s="338"/>
      <c r="CC723" s="338"/>
      <c r="CD723" s="338"/>
      <c r="CE723" s="338"/>
      <c r="CF723" s="338"/>
      <c r="CG723" s="338"/>
      <c r="CH723" s="338"/>
      <c r="CI723" s="338"/>
      <c r="CJ723" s="338"/>
      <c r="CK723" s="338"/>
      <c r="CL723" s="338"/>
    </row>
    <row r="724" ht="14.2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40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338"/>
      <c r="BW724" s="338"/>
      <c r="BX724" s="338"/>
      <c r="BY724" s="338"/>
      <c r="BZ724" s="338"/>
      <c r="CA724" s="338"/>
      <c r="CB724" s="338"/>
      <c r="CC724" s="338"/>
      <c r="CD724" s="338"/>
      <c r="CE724" s="338"/>
      <c r="CF724" s="338"/>
      <c r="CG724" s="338"/>
      <c r="CH724" s="338"/>
      <c r="CI724" s="338"/>
      <c r="CJ724" s="338"/>
      <c r="CK724" s="338"/>
      <c r="CL724" s="338"/>
    </row>
    <row r="725" ht="14.2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40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338"/>
      <c r="BW725" s="338"/>
      <c r="BX725" s="338"/>
      <c r="BY725" s="338"/>
      <c r="BZ725" s="338"/>
      <c r="CA725" s="338"/>
      <c r="CB725" s="338"/>
      <c r="CC725" s="338"/>
      <c r="CD725" s="338"/>
      <c r="CE725" s="338"/>
      <c r="CF725" s="338"/>
      <c r="CG725" s="338"/>
      <c r="CH725" s="338"/>
      <c r="CI725" s="338"/>
      <c r="CJ725" s="338"/>
      <c r="CK725" s="338"/>
      <c r="CL725" s="338"/>
    </row>
    <row r="726" ht="14.2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40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338"/>
      <c r="BW726" s="338"/>
      <c r="BX726" s="338"/>
      <c r="BY726" s="338"/>
      <c r="BZ726" s="338"/>
      <c r="CA726" s="338"/>
      <c r="CB726" s="338"/>
      <c r="CC726" s="338"/>
      <c r="CD726" s="338"/>
      <c r="CE726" s="338"/>
      <c r="CF726" s="338"/>
      <c r="CG726" s="338"/>
      <c r="CH726" s="338"/>
      <c r="CI726" s="338"/>
      <c r="CJ726" s="338"/>
      <c r="CK726" s="338"/>
      <c r="CL726" s="338"/>
    </row>
    <row r="727" ht="14.2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40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338"/>
      <c r="BW727" s="338"/>
      <c r="BX727" s="338"/>
      <c r="BY727" s="338"/>
      <c r="BZ727" s="338"/>
      <c r="CA727" s="338"/>
      <c r="CB727" s="338"/>
      <c r="CC727" s="338"/>
      <c r="CD727" s="338"/>
      <c r="CE727" s="338"/>
      <c r="CF727" s="338"/>
      <c r="CG727" s="338"/>
      <c r="CH727" s="338"/>
      <c r="CI727" s="338"/>
      <c r="CJ727" s="338"/>
      <c r="CK727" s="338"/>
      <c r="CL727" s="338"/>
    </row>
    <row r="728" ht="14.2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40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338"/>
      <c r="BW728" s="338"/>
      <c r="BX728" s="338"/>
      <c r="BY728" s="338"/>
      <c r="BZ728" s="338"/>
      <c r="CA728" s="338"/>
      <c r="CB728" s="338"/>
      <c r="CC728" s="338"/>
      <c r="CD728" s="338"/>
      <c r="CE728" s="338"/>
      <c r="CF728" s="338"/>
      <c r="CG728" s="338"/>
      <c r="CH728" s="338"/>
      <c r="CI728" s="338"/>
      <c r="CJ728" s="338"/>
      <c r="CK728" s="338"/>
      <c r="CL728" s="338"/>
    </row>
    <row r="729" ht="14.2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40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338"/>
      <c r="BW729" s="338"/>
      <c r="BX729" s="338"/>
      <c r="BY729" s="338"/>
      <c r="BZ729" s="338"/>
      <c r="CA729" s="338"/>
      <c r="CB729" s="338"/>
      <c r="CC729" s="338"/>
      <c r="CD729" s="338"/>
      <c r="CE729" s="338"/>
      <c r="CF729" s="338"/>
      <c r="CG729" s="338"/>
      <c r="CH729" s="338"/>
      <c r="CI729" s="338"/>
      <c r="CJ729" s="338"/>
      <c r="CK729" s="338"/>
      <c r="CL729" s="338"/>
    </row>
    <row r="730" ht="14.2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40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338"/>
      <c r="BW730" s="338"/>
      <c r="BX730" s="338"/>
      <c r="BY730" s="338"/>
      <c r="BZ730" s="338"/>
      <c r="CA730" s="338"/>
      <c r="CB730" s="338"/>
      <c r="CC730" s="338"/>
      <c r="CD730" s="338"/>
      <c r="CE730" s="338"/>
      <c r="CF730" s="338"/>
      <c r="CG730" s="338"/>
      <c r="CH730" s="338"/>
      <c r="CI730" s="338"/>
      <c r="CJ730" s="338"/>
      <c r="CK730" s="338"/>
      <c r="CL730" s="338"/>
    </row>
    <row r="731" ht="14.2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40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338"/>
      <c r="BW731" s="338"/>
      <c r="BX731" s="338"/>
      <c r="BY731" s="338"/>
      <c r="BZ731" s="338"/>
      <c r="CA731" s="338"/>
      <c r="CB731" s="338"/>
      <c r="CC731" s="338"/>
      <c r="CD731" s="338"/>
      <c r="CE731" s="338"/>
      <c r="CF731" s="338"/>
      <c r="CG731" s="338"/>
      <c r="CH731" s="338"/>
      <c r="CI731" s="338"/>
      <c r="CJ731" s="338"/>
      <c r="CK731" s="338"/>
      <c r="CL731" s="338"/>
    </row>
    <row r="732" ht="14.2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40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338"/>
      <c r="BW732" s="338"/>
      <c r="BX732" s="338"/>
      <c r="BY732" s="338"/>
      <c r="BZ732" s="338"/>
      <c r="CA732" s="338"/>
      <c r="CB732" s="338"/>
      <c r="CC732" s="338"/>
      <c r="CD732" s="338"/>
      <c r="CE732" s="338"/>
      <c r="CF732" s="338"/>
      <c r="CG732" s="338"/>
      <c r="CH732" s="338"/>
      <c r="CI732" s="338"/>
      <c r="CJ732" s="338"/>
      <c r="CK732" s="338"/>
      <c r="CL732" s="338"/>
    </row>
    <row r="733" ht="14.2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40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338"/>
      <c r="BW733" s="338"/>
      <c r="BX733" s="338"/>
      <c r="BY733" s="338"/>
      <c r="BZ733" s="338"/>
      <c r="CA733" s="338"/>
      <c r="CB733" s="338"/>
      <c r="CC733" s="338"/>
      <c r="CD733" s="338"/>
      <c r="CE733" s="338"/>
      <c r="CF733" s="338"/>
      <c r="CG733" s="338"/>
      <c r="CH733" s="338"/>
      <c r="CI733" s="338"/>
      <c r="CJ733" s="338"/>
      <c r="CK733" s="338"/>
      <c r="CL733" s="338"/>
    </row>
    <row r="734" ht="14.2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40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338"/>
      <c r="BW734" s="338"/>
      <c r="BX734" s="338"/>
      <c r="BY734" s="338"/>
      <c r="BZ734" s="338"/>
      <c r="CA734" s="338"/>
      <c r="CB734" s="338"/>
      <c r="CC734" s="338"/>
      <c r="CD734" s="338"/>
      <c r="CE734" s="338"/>
      <c r="CF734" s="338"/>
      <c r="CG734" s="338"/>
      <c r="CH734" s="338"/>
      <c r="CI734" s="338"/>
      <c r="CJ734" s="338"/>
      <c r="CK734" s="338"/>
      <c r="CL734" s="338"/>
    </row>
    <row r="735" ht="14.2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40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338"/>
      <c r="BW735" s="338"/>
      <c r="BX735" s="338"/>
      <c r="BY735" s="338"/>
      <c r="BZ735" s="338"/>
      <c r="CA735" s="338"/>
      <c r="CB735" s="338"/>
      <c r="CC735" s="338"/>
      <c r="CD735" s="338"/>
      <c r="CE735" s="338"/>
      <c r="CF735" s="338"/>
      <c r="CG735" s="338"/>
      <c r="CH735" s="338"/>
      <c r="CI735" s="338"/>
      <c r="CJ735" s="338"/>
      <c r="CK735" s="338"/>
      <c r="CL735" s="338"/>
    </row>
    <row r="736" ht="14.2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40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338"/>
      <c r="BW736" s="338"/>
      <c r="BX736" s="338"/>
      <c r="BY736" s="338"/>
      <c r="BZ736" s="338"/>
      <c r="CA736" s="338"/>
      <c r="CB736" s="338"/>
      <c r="CC736" s="338"/>
      <c r="CD736" s="338"/>
      <c r="CE736" s="338"/>
      <c r="CF736" s="338"/>
      <c r="CG736" s="338"/>
      <c r="CH736" s="338"/>
      <c r="CI736" s="338"/>
      <c r="CJ736" s="338"/>
      <c r="CK736" s="338"/>
      <c r="CL736" s="338"/>
    </row>
    <row r="737" ht="14.2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40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338"/>
      <c r="BW737" s="338"/>
      <c r="BX737" s="338"/>
      <c r="BY737" s="338"/>
      <c r="BZ737" s="338"/>
      <c r="CA737" s="338"/>
      <c r="CB737" s="338"/>
      <c r="CC737" s="338"/>
      <c r="CD737" s="338"/>
      <c r="CE737" s="338"/>
      <c r="CF737" s="338"/>
      <c r="CG737" s="338"/>
      <c r="CH737" s="338"/>
      <c r="CI737" s="338"/>
      <c r="CJ737" s="338"/>
      <c r="CK737" s="338"/>
      <c r="CL737" s="338"/>
    </row>
    <row r="738" ht="14.2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40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338"/>
      <c r="BW738" s="338"/>
      <c r="BX738" s="338"/>
      <c r="BY738" s="338"/>
      <c r="BZ738" s="338"/>
      <c r="CA738" s="338"/>
      <c r="CB738" s="338"/>
      <c r="CC738" s="338"/>
      <c r="CD738" s="338"/>
      <c r="CE738" s="338"/>
      <c r="CF738" s="338"/>
      <c r="CG738" s="338"/>
      <c r="CH738" s="338"/>
      <c r="CI738" s="338"/>
      <c r="CJ738" s="338"/>
      <c r="CK738" s="338"/>
      <c r="CL738" s="338"/>
    </row>
    <row r="739" ht="14.2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40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338"/>
      <c r="BW739" s="338"/>
      <c r="BX739" s="338"/>
      <c r="BY739" s="338"/>
      <c r="BZ739" s="338"/>
      <c r="CA739" s="338"/>
      <c r="CB739" s="338"/>
      <c r="CC739" s="338"/>
      <c r="CD739" s="338"/>
      <c r="CE739" s="338"/>
      <c r="CF739" s="338"/>
      <c r="CG739" s="338"/>
      <c r="CH739" s="338"/>
      <c r="CI739" s="338"/>
      <c r="CJ739" s="338"/>
      <c r="CK739" s="338"/>
      <c r="CL739" s="338"/>
    </row>
    <row r="740" ht="14.2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40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338"/>
      <c r="BW740" s="338"/>
      <c r="BX740" s="338"/>
      <c r="BY740" s="338"/>
      <c r="BZ740" s="338"/>
      <c r="CA740" s="338"/>
      <c r="CB740" s="338"/>
      <c r="CC740" s="338"/>
      <c r="CD740" s="338"/>
      <c r="CE740" s="338"/>
      <c r="CF740" s="338"/>
      <c r="CG740" s="338"/>
      <c r="CH740" s="338"/>
      <c r="CI740" s="338"/>
      <c r="CJ740" s="338"/>
      <c r="CK740" s="338"/>
      <c r="CL740" s="338"/>
    </row>
    <row r="741" ht="14.2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40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338"/>
      <c r="BW741" s="338"/>
      <c r="BX741" s="338"/>
      <c r="BY741" s="338"/>
      <c r="BZ741" s="338"/>
      <c r="CA741" s="338"/>
      <c r="CB741" s="338"/>
      <c r="CC741" s="338"/>
      <c r="CD741" s="338"/>
      <c r="CE741" s="338"/>
      <c r="CF741" s="338"/>
      <c r="CG741" s="338"/>
      <c r="CH741" s="338"/>
      <c r="CI741" s="338"/>
      <c r="CJ741" s="338"/>
      <c r="CK741" s="338"/>
      <c r="CL741" s="338"/>
    </row>
    <row r="742" ht="14.2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40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338"/>
      <c r="BW742" s="338"/>
      <c r="BX742" s="338"/>
      <c r="BY742" s="338"/>
      <c r="BZ742" s="338"/>
      <c r="CA742" s="338"/>
      <c r="CB742" s="338"/>
      <c r="CC742" s="338"/>
      <c r="CD742" s="338"/>
      <c r="CE742" s="338"/>
      <c r="CF742" s="338"/>
      <c r="CG742" s="338"/>
      <c r="CH742" s="338"/>
      <c r="CI742" s="338"/>
      <c r="CJ742" s="338"/>
      <c r="CK742" s="338"/>
      <c r="CL742" s="338"/>
    </row>
    <row r="743" ht="14.2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40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338"/>
      <c r="BW743" s="338"/>
      <c r="BX743" s="338"/>
      <c r="BY743" s="338"/>
      <c r="BZ743" s="338"/>
      <c r="CA743" s="338"/>
      <c r="CB743" s="338"/>
      <c r="CC743" s="338"/>
      <c r="CD743" s="338"/>
      <c r="CE743" s="338"/>
      <c r="CF743" s="338"/>
      <c r="CG743" s="338"/>
      <c r="CH743" s="338"/>
      <c r="CI743" s="338"/>
      <c r="CJ743" s="338"/>
      <c r="CK743" s="338"/>
      <c r="CL743" s="338"/>
    </row>
    <row r="744" ht="14.2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40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338"/>
      <c r="BW744" s="338"/>
      <c r="BX744" s="338"/>
      <c r="BY744" s="338"/>
      <c r="BZ744" s="338"/>
      <c r="CA744" s="338"/>
      <c r="CB744" s="338"/>
      <c r="CC744" s="338"/>
      <c r="CD744" s="338"/>
      <c r="CE744" s="338"/>
      <c r="CF744" s="338"/>
      <c r="CG744" s="338"/>
      <c r="CH744" s="338"/>
      <c r="CI744" s="338"/>
      <c r="CJ744" s="338"/>
      <c r="CK744" s="338"/>
      <c r="CL744" s="338"/>
    </row>
    <row r="745" ht="14.2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40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338"/>
      <c r="BW745" s="338"/>
      <c r="BX745" s="338"/>
      <c r="BY745" s="338"/>
      <c r="BZ745" s="338"/>
      <c r="CA745" s="338"/>
      <c r="CB745" s="338"/>
      <c r="CC745" s="338"/>
      <c r="CD745" s="338"/>
      <c r="CE745" s="338"/>
      <c r="CF745" s="338"/>
      <c r="CG745" s="338"/>
      <c r="CH745" s="338"/>
      <c r="CI745" s="338"/>
      <c r="CJ745" s="338"/>
      <c r="CK745" s="338"/>
      <c r="CL745" s="338"/>
    </row>
    <row r="746" ht="14.2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40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338"/>
      <c r="BW746" s="338"/>
      <c r="BX746" s="338"/>
      <c r="BY746" s="338"/>
      <c r="BZ746" s="338"/>
      <c r="CA746" s="338"/>
      <c r="CB746" s="338"/>
      <c r="CC746" s="338"/>
      <c r="CD746" s="338"/>
      <c r="CE746" s="338"/>
      <c r="CF746" s="338"/>
      <c r="CG746" s="338"/>
      <c r="CH746" s="338"/>
      <c r="CI746" s="338"/>
      <c r="CJ746" s="338"/>
      <c r="CK746" s="338"/>
      <c r="CL746" s="338"/>
    </row>
    <row r="747" ht="14.2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40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338"/>
      <c r="BW747" s="338"/>
      <c r="BX747" s="338"/>
      <c r="BY747" s="338"/>
      <c r="BZ747" s="338"/>
      <c r="CA747" s="338"/>
      <c r="CB747" s="338"/>
      <c r="CC747" s="338"/>
      <c r="CD747" s="338"/>
      <c r="CE747" s="338"/>
      <c r="CF747" s="338"/>
      <c r="CG747" s="338"/>
      <c r="CH747" s="338"/>
      <c r="CI747" s="338"/>
      <c r="CJ747" s="338"/>
      <c r="CK747" s="338"/>
      <c r="CL747" s="338"/>
    </row>
    <row r="748" ht="14.2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40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  <c r="AV748" s="338"/>
      <c r="AW748" s="338"/>
      <c r="AX748" s="338"/>
      <c r="AY748" s="338"/>
      <c r="AZ748" s="338"/>
      <c r="BA748" s="338"/>
      <c r="BB748" s="338"/>
      <c r="BC748" s="338"/>
      <c r="BD748" s="338"/>
      <c r="BE748" s="338"/>
      <c r="BF748" s="338"/>
      <c r="BG748" s="338"/>
      <c r="BH748" s="338"/>
      <c r="BI748" s="338"/>
      <c r="BJ748" s="338"/>
      <c r="BK748" s="338"/>
      <c r="BL748" s="338"/>
      <c r="BM748" s="338"/>
      <c r="BN748" s="338"/>
      <c r="BO748" s="338"/>
      <c r="BP748" s="338"/>
      <c r="BQ748" s="338"/>
      <c r="BR748" s="338"/>
      <c r="BS748" s="338"/>
      <c r="BT748" s="338"/>
      <c r="BU748" s="338"/>
      <c r="BV748" s="338"/>
      <c r="BW748" s="338"/>
      <c r="BX748" s="338"/>
      <c r="BY748" s="338"/>
      <c r="BZ748" s="338"/>
      <c r="CA748" s="338"/>
      <c r="CB748" s="338"/>
      <c r="CC748" s="338"/>
      <c r="CD748" s="338"/>
      <c r="CE748" s="338"/>
      <c r="CF748" s="338"/>
      <c r="CG748" s="338"/>
      <c r="CH748" s="338"/>
      <c r="CI748" s="338"/>
      <c r="CJ748" s="338"/>
      <c r="CK748" s="338"/>
      <c r="CL748" s="338"/>
    </row>
    <row r="749" ht="14.2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40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  <c r="AV749" s="338"/>
      <c r="AW749" s="338"/>
      <c r="AX749" s="338"/>
      <c r="AY749" s="338"/>
      <c r="AZ749" s="338"/>
      <c r="BA749" s="338"/>
      <c r="BB749" s="338"/>
      <c r="BC749" s="338"/>
      <c r="BD749" s="338"/>
      <c r="BE749" s="338"/>
      <c r="BF749" s="338"/>
      <c r="BG749" s="338"/>
      <c r="BH749" s="338"/>
      <c r="BI749" s="338"/>
      <c r="BJ749" s="338"/>
      <c r="BK749" s="338"/>
      <c r="BL749" s="338"/>
      <c r="BM749" s="338"/>
      <c r="BN749" s="338"/>
      <c r="BO749" s="338"/>
      <c r="BP749" s="338"/>
      <c r="BQ749" s="338"/>
      <c r="BR749" s="338"/>
      <c r="BS749" s="338"/>
      <c r="BT749" s="338"/>
      <c r="BU749" s="338"/>
      <c r="BV749" s="338"/>
      <c r="BW749" s="338"/>
      <c r="BX749" s="338"/>
      <c r="BY749" s="338"/>
      <c r="BZ749" s="338"/>
      <c r="CA749" s="338"/>
      <c r="CB749" s="338"/>
      <c r="CC749" s="338"/>
      <c r="CD749" s="338"/>
      <c r="CE749" s="338"/>
      <c r="CF749" s="338"/>
      <c r="CG749" s="338"/>
      <c r="CH749" s="338"/>
      <c r="CI749" s="338"/>
      <c r="CJ749" s="338"/>
      <c r="CK749" s="338"/>
      <c r="CL749" s="338"/>
    </row>
    <row r="750" ht="14.2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40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  <c r="AV750" s="338"/>
      <c r="AW750" s="338"/>
      <c r="AX750" s="338"/>
      <c r="AY750" s="338"/>
      <c r="AZ750" s="338"/>
      <c r="BA750" s="338"/>
      <c r="BB750" s="338"/>
      <c r="BC750" s="338"/>
      <c r="BD750" s="338"/>
      <c r="BE750" s="338"/>
      <c r="BF750" s="338"/>
      <c r="BG750" s="338"/>
      <c r="BH750" s="338"/>
      <c r="BI750" s="338"/>
      <c r="BJ750" s="338"/>
      <c r="BK750" s="338"/>
      <c r="BL750" s="338"/>
      <c r="BM750" s="338"/>
      <c r="BN750" s="338"/>
      <c r="BO750" s="338"/>
      <c r="BP750" s="338"/>
      <c r="BQ750" s="338"/>
      <c r="BR750" s="338"/>
      <c r="BS750" s="338"/>
      <c r="BT750" s="338"/>
      <c r="BU750" s="338"/>
      <c r="BV750" s="338"/>
      <c r="BW750" s="338"/>
      <c r="BX750" s="338"/>
      <c r="BY750" s="338"/>
      <c r="BZ750" s="338"/>
      <c r="CA750" s="338"/>
      <c r="CB750" s="338"/>
      <c r="CC750" s="338"/>
      <c r="CD750" s="338"/>
      <c r="CE750" s="338"/>
      <c r="CF750" s="338"/>
      <c r="CG750" s="338"/>
      <c r="CH750" s="338"/>
      <c r="CI750" s="338"/>
      <c r="CJ750" s="338"/>
      <c r="CK750" s="338"/>
      <c r="CL750" s="338"/>
    </row>
    <row r="751" ht="14.2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40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  <c r="AV751" s="338"/>
      <c r="AW751" s="338"/>
      <c r="AX751" s="338"/>
      <c r="AY751" s="338"/>
      <c r="AZ751" s="338"/>
      <c r="BA751" s="338"/>
      <c r="BB751" s="338"/>
      <c r="BC751" s="338"/>
      <c r="BD751" s="338"/>
      <c r="BE751" s="338"/>
      <c r="BF751" s="338"/>
      <c r="BG751" s="338"/>
      <c r="BH751" s="338"/>
      <c r="BI751" s="338"/>
      <c r="BJ751" s="338"/>
      <c r="BK751" s="338"/>
      <c r="BL751" s="338"/>
      <c r="BM751" s="338"/>
      <c r="BN751" s="338"/>
      <c r="BO751" s="338"/>
      <c r="BP751" s="338"/>
      <c r="BQ751" s="338"/>
      <c r="BR751" s="338"/>
      <c r="BS751" s="338"/>
      <c r="BT751" s="338"/>
      <c r="BU751" s="338"/>
      <c r="BV751" s="338"/>
      <c r="BW751" s="338"/>
      <c r="BX751" s="338"/>
      <c r="BY751" s="338"/>
      <c r="BZ751" s="338"/>
      <c r="CA751" s="338"/>
      <c r="CB751" s="338"/>
      <c r="CC751" s="338"/>
      <c r="CD751" s="338"/>
      <c r="CE751" s="338"/>
      <c r="CF751" s="338"/>
      <c r="CG751" s="338"/>
      <c r="CH751" s="338"/>
      <c r="CI751" s="338"/>
      <c r="CJ751" s="338"/>
      <c r="CK751" s="338"/>
      <c r="CL751" s="338"/>
    </row>
    <row r="752" ht="14.2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40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  <c r="AV752" s="338"/>
      <c r="AW752" s="338"/>
      <c r="AX752" s="338"/>
      <c r="AY752" s="338"/>
      <c r="AZ752" s="338"/>
      <c r="BA752" s="338"/>
      <c r="BB752" s="338"/>
      <c r="BC752" s="338"/>
      <c r="BD752" s="338"/>
      <c r="BE752" s="338"/>
      <c r="BF752" s="338"/>
      <c r="BG752" s="338"/>
      <c r="BH752" s="338"/>
      <c r="BI752" s="338"/>
      <c r="BJ752" s="338"/>
      <c r="BK752" s="338"/>
      <c r="BL752" s="338"/>
      <c r="BM752" s="338"/>
      <c r="BN752" s="338"/>
      <c r="BO752" s="338"/>
      <c r="BP752" s="338"/>
      <c r="BQ752" s="338"/>
      <c r="BR752" s="338"/>
      <c r="BS752" s="338"/>
      <c r="BT752" s="338"/>
      <c r="BU752" s="338"/>
      <c r="BV752" s="338"/>
      <c r="BW752" s="338"/>
      <c r="BX752" s="338"/>
      <c r="BY752" s="338"/>
      <c r="BZ752" s="338"/>
      <c r="CA752" s="338"/>
      <c r="CB752" s="338"/>
      <c r="CC752" s="338"/>
      <c r="CD752" s="338"/>
      <c r="CE752" s="338"/>
      <c r="CF752" s="338"/>
      <c r="CG752" s="338"/>
      <c r="CH752" s="338"/>
      <c r="CI752" s="338"/>
      <c r="CJ752" s="338"/>
      <c r="CK752" s="338"/>
      <c r="CL752" s="338"/>
    </row>
    <row r="753" ht="14.2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40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  <c r="AV753" s="338"/>
      <c r="AW753" s="338"/>
      <c r="AX753" s="338"/>
      <c r="AY753" s="338"/>
      <c r="AZ753" s="338"/>
      <c r="BA753" s="338"/>
      <c r="BB753" s="338"/>
      <c r="BC753" s="338"/>
      <c r="BD753" s="338"/>
      <c r="BE753" s="338"/>
      <c r="BF753" s="338"/>
      <c r="BG753" s="338"/>
      <c r="BH753" s="338"/>
      <c r="BI753" s="338"/>
      <c r="BJ753" s="338"/>
      <c r="BK753" s="338"/>
      <c r="BL753" s="338"/>
      <c r="BM753" s="338"/>
      <c r="BN753" s="338"/>
      <c r="BO753" s="338"/>
      <c r="BP753" s="338"/>
      <c r="BQ753" s="338"/>
      <c r="BR753" s="338"/>
      <c r="BS753" s="338"/>
      <c r="BT753" s="338"/>
      <c r="BU753" s="338"/>
      <c r="BV753" s="338"/>
      <c r="BW753" s="338"/>
      <c r="BX753" s="338"/>
      <c r="BY753" s="338"/>
      <c r="BZ753" s="338"/>
      <c r="CA753" s="338"/>
      <c r="CB753" s="338"/>
      <c r="CC753" s="338"/>
      <c r="CD753" s="338"/>
      <c r="CE753" s="338"/>
      <c r="CF753" s="338"/>
      <c r="CG753" s="338"/>
      <c r="CH753" s="338"/>
      <c r="CI753" s="338"/>
      <c r="CJ753" s="338"/>
      <c r="CK753" s="338"/>
      <c r="CL753" s="338"/>
    </row>
    <row r="754" ht="14.2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40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  <c r="AV754" s="338"/>
      <c r="AW754" s="338"/>
      <c r="AX754" s="338"/>
      <c r="AY754" s="338"/>
      <c r="AZ754" s="338"/>
      <c r="BA754" s="338"/>
      <c r="BB754" s="338"/>
      <c r="BC754" s="338"/>
      <c r="BD754" s="338"/>
      <c r="BE754" s="338"/>
      <c r="BF754" s="338"/>
      <c r="BG754" s="338"/>
      <c r="BH754" s="338"/>
      <c r="BI754" s="338"/>
      <c r="BJ754" s="338"/>
      <c r="BK754" s="338"/>
      <c r="BL754" s="338"/>
      <c r="BM754" s="338"/>
      <c r="BN754" s="338"/>
      <c r="BO754" s="338"/>
      <c r="BP754" s="338"/>
      <c r="BQ754" s="338"/>
      <c r="BR754" s="338"/>
      <c r="BS754" s="338"/>
      <c r="BT754" s="338"/>
      <c r="BU754" s="338"/>
      <c r="BV754" s="338"/>
      <c r="BW754" s="338"/>
      <c r="BX754" s="338"/>
      <c r="BY754" s="338"/>
      <c r="BZ754" s="338"/>
      <c r="CA754" s="338"/>
      <c r="CB754" s="338"/>
      <c r="CC754" s="338"/>
      <c r="CD754" s="338"/>
      <c r="CE754" s="338"/>
      <c r="CF754" s="338"/>
      <c r="CG754" s="338"/>
      <c r="CH754" s="338"/>
      <c r="CI754" s="338"/>
      <c r="CJ754" s="338"/>
      <c r="CK754" s="338"/>
      <c r="CL754" s="338"/>
    </row>
    <row r="755" ht="14.2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40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  <c r="AV755" s="338"/>
      <c r="AW755" s="338"/>
      <c r="AX755" s="338"/>
      <c r="AY755" s="338"/>
      <c r="AZ755" s="338"/>
      <c r="BA755" s="338"/>
      <c r="BB755" s="338"/>
      <c r="BC755" s="338"/>
      <c r="BD755" s="338"/>
      <c r="BE755" s="338"/>
      <c r="BF755" s="338"/>
      <c r="BG755" s="338"/>
      <c r="BH755" s="338"/>
      <c r="BI755" s="338"/>
      <c r="BJ755" s="338"/>
      <c r="BK755" s="338"/>
      <c r="BL755" s="338"/>
      <c r="BM755" s="338"/>
      <c r="BN755" s="338"/>
      <c r="BO755" s="338"/>
      <c r="BP755" s="338"/>
      <c r="BQ755" s="338"/>
      <c r="BR755" s="338"/>
      <c r="BS755" s="338"/>
      <c r="BT755" s="338"/>
      <c r="BU755" s="338"/>
      <c r="BV755" s="338"/>
      <c r="BW755" s="338"/>
      <c r="BX755" s="338"/>
      <c r="BY755" s="338"/>
      <c r="BZ755" s="338"/>
      <c r="CA755" s="338"/>
      <c r="CB755" s="338"/>
      <c r="CC755" s="338"/>
      <c r="CD755" s="338"/>
      <c r="CE755" s="338"/>
      <c r="CF755" s="338"/>
      <c r="CG755" s="338"/>
      <c r="CH755" s="338"/>
      <c r="CI755" s="338"/>
      <c r="CJ755" s="338"/>
      <c r="CK755" s="338"/>
      <c r="CL755" s="338"/>
    </row>
    <row r="756" ht="14.2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40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  <c r="AV756" s="338"/>
      <c r="AW756" s="338"/>
      <c r="AX756" s="338"/>
      <c r="AY756" s="338"/>
      <c r="AZ756" s="338"/>
      <c r="BA756" s="338"/>
      <c r="BB756" s="338"/>
      <c r="BC756" s="338"/>
      <c r="BD756" s="338"/>
      <c r="BE756" s="338"/>
      <c r="BF756" s="338"/>
      <c r="BG756" s="338"/>
      <c r="BH756" s="338"/>
      <c r="BI756" s="338"/>
      <c r="BJ756" s="338"/>
      <c r="BK756" s="338"/>
      <c r="BL756" s="338"/>
      <c r="BM756" s="338"/>
      <c r="BN756" s="338"/>
      <c r="BO756" s="338"/>
      <c r="BP756" s="338"/>
      <c r="BQ756" s="338"/>
      <c r="BR756" s="338"/>
      <c r="BS756" s="338"/>
      <c r="BT756" s="338"/>
      <c r="BU756" s="338"/>
      <c r="BV756" s="338"/>
      <c r="BW756" s="338"/>
      <c r="BX756" s="338"/>
      <c r="BY756" s="338"/>
      <c r="BZ756" s="338"/>
      <c r="CA756" s="338"/>
      <c r="CB756" s="338"/>
      <c r="CC756" s="338"/>
      <c r="CD756" s="338"/>
      <c r="CE756" s="338"/>
      <c r="CF756" s="338"/>
      <c r="CG756" s="338"/>
      <c r="CH756" s="338"/>
      <c r="CI756" s="338"/>
      <c r="CJ756" s="338"/>
      <c r="CK756" s="338"/>
      <c r="CL756" s="338"/>
    </row>
    <row r="757" ht="14.2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40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  <c r="AV757" s="338"/>
      <c r="AW757" s="338"/>
      <c r="AX757" s="338"/>
      <c r="AY757" s="338"/>
      <c r="AZ757" s="338"/>
      <c r="BA757" s="338"/>
      <c r="BB757" s="338"/>
      <c r="BC757" s="338"/>
      <c r="BD757" s="338"/>
      <c r="BE757" s="338"/>
      <c r="BF757" s="338"/>
      <c r="BG757" s="338"/>
      <c r="BH757" s="338"/>
      <c r="BI757" s="338"/>
      <c r="BJ757" s="338"/>
      <c r="BK757" s="338"/>
      <c r="BL757" s="338"/>
      <c r="BM757" s="338"/>
      <c r="BN757" s="338"/>
      <c r="BO757" s="338"/>
      <c r="BP757" s="338"/>
      <c r="BQ757" s="338"/>
      <c r="BR757" s="338"/>
      <c r="BS757" s="338"/>
      <c r="BT757" s="338"/>
      <c r="BU757" s="338"/>
      <c r="BV757" s="338"/>
      <c r="BW757" s="338"/>
      <c r="BX757" s="338"/>
      <c r="BY757" s="338"/>
      <c r="BZ757" s="338"/>
      <c r="CA757" s="338"/>
      <c r="CB757" s="338"/>
      <c r="CC757" s="338"/>
      <c r="CD757" s="338"/>
      <c r="CE757" s="338"/>
      <c r="CF757" s="338"/>
      <c r="CG757" s="338"/>
      <c r="CH757" s="338"/>
      <c r="CI757" s="338"/>
      <c r="CJ757" s="338"/>
      <c r="CK757" s="338"/>
      <c r="CL757" s="338"/>
    </row>
    <row r="758" ht="14.2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40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  <c r="AV758" s="338"/>
      <c r="AW758" s="338"/>
      <c r="AX758" s="338"/>
      <c r="AY758" s="338"/>
      <c r="AZ758" s="338"/>
      <c r="BA758" s="338"/>
      <c r="BB758" s="338"/>
      <c r="BC758" s="338"/>
      <c r="BD758" s="338"/>
      <c r="BE758" s="338"/>
      <c r="BF758" s="338"/>
      <c r="BG758" s="338"/>
      <c r="BH758" s="338"/>
      <c r="BI758" s="338"/>
      <c r="BJ758" s="338"/>
      <c r="BK758" s="338"/>
      <c r="BL758" s="338"/>
      <c r="BM758" s="338"/>
      <c r="BN758" s="338"/>
      <c r="BO758" s="338"/>
      <c r="BP758" s="338"/>
      <c r="BQ758" s="338"/>
      <c r="BR758" s="338"/>
      <c r="BS758" s="338"/>
      <c r="BT758" s="338"/>
      <c r="BU758" s="338"/>
      <c r="BV758" s="338"/>
      <c r="BW758" s="338"/>
      <c r="BX758" s="338"/>
      <c r="BY758" s="338"/>
      <c r="BZ758" s="338"/>
      <c r="CA758" s="338"/>
      <c r="CB758" s="338"/>
      <c r="CC758" s="338"/>
      <c r="CD758" s="338"/>
      <c r="CE758" s="338"/>
      <c r="CF758" s="338"/>
      <c r="CG758" s="338"/>
      <c r="CH758" s="338"/>
      <c r="CI758" s="338"/>
      <c r="CJ758" s="338"/>
      <c r="CK758" s="338"/>
      <c r="CL758" s="338"/>
    </row>
    <row r="759" ht="14.2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40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  <c r="AV759" s="338"/>
      <c r="AW759" s="338"/>
      <c r="AX759" s="338"/>
      <c r="AY759" s="338"/>
      <c r="AZ759" s="338"/>
      <c r="BA759" s="338"/>
      <c r="BB759" s="338"/>
      <c r="BC759" s="338"/>
      <c r="BD759" s="338"/>
      <c r="BE759" s="338"/>
      <c r="BF759" s="338"/>
      <c r="BG759" s="338"/>
      <c r="BH759" s="338"/>
      <c r="BI759" s="338"/>
      <c r="BJ759" s="338"/>
      <c r="BK759" s="338"/>
      <c r="BL759" s="338"/>
      <c r="BM759" s="338"/>
      <c r="BN759" s="338"/>
      <c r="BO759" s="338"/>
      <c r="BP759" s="338"/>
      <c r="BQ759" s="338"/>
      <c r="BR759" s="338"/>
      <c r="BS759" s="338"/>
      <c r="BT759" s="338"/>
      <c r="BU759" s="338"/>
      <c r="BV759" s="338"/>
      <c r="BW759" s="338"/>
      <c r="BX759" s="338"/>
      <c r="BY759" s="338"/>
      <c r="BZ759" s="338"/>
      <c r="CA759" s="338"/>
      <c r="CB759" s="338"/>
      <c r="CC759" s="338"/>
      <c r="CD759" s="338"/>
      <c r="CE759" s="338"/>
      <c r="CF759" s="338"/>
      <c r="CG759" s="338"/>
      <c r="CH759" s="338"/>
      <c r="CI759" s="338"/>
      <c r="CJ759" s="338"/>
      <c r="CK759" s="338"/>
      <c r="CL759" s="338"/>
    </row>
    <row r="760" ht="14.2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40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  <c r="AV760" s="338"/>
      <c r="AW760" s="338"/>
      <c r="AX760" s="338"/>
      <c r="AY760" s="338"/>
      <c r="AZ760" s="338"/>
      <c r="BA760" s="338"/>
      <c r="BB760" s="338"/>
      <c r="BC760" s="338"/>
      <c r="BD760" s="338"/>
      <c r="BE760" s="338"/>
      <c r="BF760" s="338"/>
      <c r="BG760" s="338"/>
      <c r="BH760" s="338"/>
      <c r="BI760" s="338"/>
      <c r="BJ760" s="338"/>
      <c r="BK760" s="338"/>
      <c r="BL760" s="338"/>
      <c r="BM760" s="338"/>
      <c r="BN760" s="338"/>
      <c r="BO760" s="338"/>
      <c r="BP760" s="338"/>
      <c r="BQ760" s="338"/>
      <c r="BR760" s="338"/>
      <c r="BS760" s="338"/>
      <c r="BT760" s="338"/>
      <c r="BU760" s="338"/>
      <c r="BV760" s="338"/>
      <c r="BW760" s="338"/>
      <c r="BX760" s="338"/>
      <c r="BY760" s="338"/>
      <c r="BZ760" s="338"/>
      <c r="CA760" s="338"/>
      <c r="CB760" s="338"/>
      <c r="CC760" s="338"/>
      <c r="CD760" s="338"/>
      <c r="CE760" s="338"/>
      <c r="CF760" s="338"/>
      <c r="CG760" s="338"/>
      <c r="CH760" s="338"/>
      <c r="CI760" s="338"/>
      <c r="CJ760" s="338"/>
      <c r="CK760" s="338"/>
      <c r="CL760" s="338"/>
    </row>
    <row r="761" ht="14.2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40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  <c r="AV761" s="338"/>
      <c r="AW761" s="338"/>
      <c r="AX761" s="338"/>
      <c r="AY761" s="338"/>
      <c r="AZ761" s="338"/>
      <c r="BA761" s="338"/>
      <c r="BB761" s="338"/>
      <c r="BC761" s="338"/>
      <c r="BD761" s="338"/>
      <c r="BE761" s="338"/>
      <c r="BF761" s="338"/>
      <c r="BG761" s="338"/>
      <c r="BH761" s="338"/>
      <c r="BI761" s="338"/>
      <c r="BJ761" s="338"/>
      <c r="BK761" s="338"/>
      <c r="BL761" s="338"/>
      <c r="BM761" s="338"/>
      <c r="BN761" s="338"/>
      <c r="BO761" s="338"/>
      <c r="BP761" s="338"/>
      <c r="BQ761" s="338"/>
      <c r="BR761" s="338"/>
      <c r="BS761" s="338"/>
      <c r="BT761" s="338"/>
      <c r="BU761" s="338"/>
      <c r="BV761" s="338"/>
      <c r="BW761" s="338"/>
      <c r="BX761" s="338"/>
      <c r="BY761" s="338"/>
      <c r="BZ761" s="338"/>
      <c r="CA761" s="338"/>
      <c r="CB761" s="338"/>
      <c r="CC761" s="338"/>
      <c r="CD761" s="338"/>
      <c r="CE761" s="338"/>
      <c r="CF761" s="338"/>
      <c r="CG761" s="338"/>
      <c r="CH761" s="338"/>
      <c r="CI761" s="338"/>
      <c r="CJ761" s="338"/>
      <c r="CK761" s="338"/>
      <c r="CL761" s="338"/>
    </row>
    <row r="762" ht="14.2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40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  <c r="AV762" s="338"/>
      <c r="AW762" s="338"/>
      <c r="AX762" s="338"/>
      <c r="AY762" s="338"/>
      <c r="AZ762" s="338"/>
      <c r="BA762" s="338"/>
      <c r="BB762" s="338"/>
      <c r="BC762" s="338"/>
      <c r="BD762" s="338"/>
      <c r="BE762" s="338"/>
      <c r="BF762" s="338"/>
      <c r="BG762" s="338"/>
      <c r="BH762" s="338"/>
      <c r="BI762" s="338"/>
      <c r="BJ762" s="338"/>
      <c r="BK762" s="338"/>
      <c r="BL762" s="338"/>
      <c r="BM762" s="338"/>
      <c r="BN762" s="338"/>
      <c r="BO762" s="338"/>
      <c r="BP762" s="338"/>
      <c r="BQ762" s="338"/>
      <c r="BR762" s="338"/>
      <c r="BS762" s="338"/>
      <c r="BT762" s="338"/>
      <c r="BU762" s="338"/>
      <c r="BV762" s="338"/>
      <c r="BW762" s="338"/>
      <c r="BX762" s="338"/>
      <c r="BY762" s="338"/>
      <c r="BZ762" s="338"/>
      <c r="CA762" s="338"/>
      <c r="CB762" s="338"/>
      <c r="CC762" s="338"/>
      <c r="CD762" s="338"/>
      <c r="CE762" s="338"/>
      <c r="CF762" s="338"/>
      <c r="CG762" s="338"/>
      <c r="CH762" s="338"/>
      <c r="CI762" s="338"/>
      <c r="CJ762" s="338"/>
      <c r="CK762" s="338"/>
      <c r="CL762" s="338"/>
    </row>
    <row r="763" ht="14.2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40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  <c r="AV763" s="338"/>
      <c r="AW763" s="338"/>
      <c r="AX763" s="338"/>
      <c r="AY763" s="338"/>
      <c r="AZ763" s="338"/>
      <c r="BA763" s="338"/>
      <c r="BB763" s="338"/>
      <c r="BC763" s="338"/>
      <c r="BD763" s="338"/>
      <c r="BE763" s="338"/>
      <c r="BF763" s="338"/>
      <c r="BG763" s="338"/>
      <c r="BH763" s="338"/>
      <c r="BI763" s="338"/>
      <c r="BJ763" s="338"/>
      <c r="BK763" s="338"/>
      <c r="BL763" s="338"/>
      <c r="BM763" s="338"/>
      <c r="BN763" s="338"/>
      <c r="BO763" s="338"/>
      <c r="BP763" s="338"/>
      <c r="BQ763" s="338"/>
      <c r="BR763" s="338"/>
      <c r="BS763" s="338"/>
      <c r="BT763" s="338"/>
      <c r="BU763" s="338"/>
      <c r="BV763" s="338"/>
      <c r="BW763" s="338"/>
      <c r="BX763" s="338"/>
      <c r="BY763" s="338"/>
      <c r="BZ763" s="338"/>
      <c r="CA763" s="338"/>
      <c r="CB763" s="338"/>
      <c r="CC763" s="338"/>
      <c r="CD763" s="338"/>
      <c r="CE763" s="338"/>
      <c r="CF763" s="338"/>
      <c r="CG763" s="338"/>
      <c r="CH763" s="338"/>
      <c r="CI763" s="338"/>
      <c r="CJ763" s="338"/>
      <c r="CK763" s="338"/>
      <c r="CL763" s="338"/>
    </row>
    <row r="764" ht="14.2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40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  <c r="AV764" s="338"/>
      <c r="AW764" s="338"/>
      <c r="AX764" s="338"/>
      <c r="AY764" s="338"/>
      <c r="AZ764" s="338"/>
      <c r="BA764" s="338"/>
      <c r="BB764" s="338"/>
      <c r="BC764" s="338"/>
      <c r="BD764" s="338"/>
      <c r="BE764" s="338"/>
      <c r="BF764" s="338"/>
      <c r="BG764" s="338"/>
      <c r="BH764" s="338"/>
      <c r="BI764" s="338"/>
      <c r="BJ764" s="338"/>
      <c r="BK764" s="338"/>
      <c r="BL764" s="338"/>
      <c r="BM764" s="338"/>
      <c r="BN764" s="338"/>
      <c r="BO764" s="338"/>
      <c r="BP764" s="338"/>
      <c r="BQ764" s="338"/>
      <c r="BR764" s="338"/>
      <c r="BS764" s="338"/>
      <c r="BT764" s="338"/>
      <c r="BU764" s="338"/>
      <c r="BV764" s="338"/>
      <c r="BW764" s="338"/>
      <c r="BX764" s="338"/>
      <c r="BY764" s="338"/>
      <c r="BZ764" s="338"/>
      <c r="CA764" s="338"/>
      <c r="CB764" s="338"/>
      <c r="CC764" s="338"/>
      <c r="CD764" s="338"/>
      <c r="CE764" s="338"/>
      <c r="CF764" s="338"/>
      <c r="CG764" s="338"/>
      <c r="CH764" s="338"/>
      <c r="CI764" s="338"/>
      <c r="CJ764" s="338"/>
      <c r="CK764" s="338"/>
      <c r="CL764" s="338"/>
    </row>
    <row r="765" ht="14.2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40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  <c r="AV765" s="338"/>
      <c r="AW765" s="338"/>
      <c r="AX765" s="338"/>
      <c r="AY765" s="338"/>
      <c r="AZ765" s="338"/>
      <c r="BA765" s="338"/>
      <c r="BB765" s="338"/>
      <c r="BC765" s="338"/>
      <c r="BD765" s="338"/>
      <c r="BE765" s="338"/>
      <c r="BF765" s="338"/>
      <c r="BG765" s="338"/>
      <c r="BH765" s="338"/>
      <c r="BI765" s="338"/>
      <c r="BJ765" s="338"/>
      <c r="BK765" s="338"/>
      <c r="BL765" s="338"/>
      <c r="BM765" s="338"/>
      <c r="BN765" s="338"/>
      <c r="BO765" s="338"/>
      <c r="BP765" s="338"/>
      <c r="BQ765" s="338"/>
      <c r="BR765" s="338"/>
      <c r="BS765" s="338"/>
      <c r="BT765" s="338"/>
      <c r="BU765" s="338"/>
      <c r="BV765" s="338"/>
      <c r="BW765" s="338"/>
      <c r="BX765" s="338"/>
      <c r="BY765" s="338"/>
      <c r="BZ765" s="338"/>
      <c r="CA765" s="338"/>
      <c r="CB765" s="338"/>
      <c r="CC765" s="338"/>
      <c r="CD765" s="338"/>
      <c r="CE765" s="338"/>
      <c r="CF765" s="338"/>
      <c r="CG765" s="338"/>
      <c r="CH765" s="338"/>
      <c r="CI765" s="338"/>
      <c r="CJ765" s="338"/>
      <c r="CK765" s="338"/>
      <c r="CL765" s="338"/>
    </row>
    <row r="766" ht="14.2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40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  <c r="AV766" s="338"/>
      <c r="AW766" s="338"/>
      <c r="AX766" s="338"/>
      <c r="AY766" s="338"/>
      <c r="AZ766" s="338"/>
      <c r="BA766" s="338"/>
      <c r="BB766" s="338"/>
      <c r="BC766" s="338"/>
      <c r="BD766" s="338"/>
      <c r="BE766" s="338"/>
      <c r="BF766" s="338"/>
      <c r="BG766" s="338"/>
      <c r="BH766" s="338"/>
      <c r="BI766" s="338"/>
      <c r="BJ766" s="338"/>
      <c r="BK766" s="338"/>
      <c r="BL766" s="338"/>
      <c r="BM766" s="338"/>
      <c r="BN766" s="338"/>
      <c r="BO766" s="338"/>
      <c r="BP766" s="338"/>
      <c r="BQ766" s="338"/>
      <c r="BR766" s="338"/>
      <c r="BS766" s="338"/>
      <c r="BT766" s="338"/>
      <c r="BU766" s="338"/>
      <c r="BV766" s="338"/>
      <c r="BW766" s="338"/>
      <c r="BX766" s="338"/>
      <c r="BY766" s="338"/>
      <c r="BZ766" s="338"/>
      <c r="CA766" s="338"/>
      <c r="CB766" s="338"/>
      <c r="CC766" s="338"/>
      <c r="CD766" s="338"/>
      <c r="CE766" s="338"/>
      <c r="CF766" s="338"/>
      <c r="CG766" s="338"/>
      <c r="CH766" s="338"/>
      <c r="CI766" s="338"/>
      <c r="CJ766" s="338"/>
      <c r="CK766" s="338"/>
      <c r="CL766" s="338"/>
    </row>
    <row r="767" ht="14.2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40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  <c r="AV767" s="338"/>
      <c r="AW767" s="338"/>
      <c r="AX767" s="338"/>
      <c r="AY767" s="338"/>
      <c r="AZ767" s="338"/>
      <c r="BA767" s="338"/>
      <c r="BB767" s="338"/>
      <c r="BC767" s="338"/>
      <c r="BD767" s="338"/>
      <c r="BE767" s="338"/>
      <c r="BF767" s="338"/>
      <c r="BG767" s="338"/>
      <c r="BH767" s="338"/>
      <c r="BI767" s="338"/>
      <c r="BJ767" s="338"/>
      <c r="BK767" s="338"/>
      <c r="BL767" s="338"/>
      <c r="BM767" s="338"/>
      <c r="BN767" s="338"/>
      <c r="BO767" s="338"/>
      <c r="BP767" s="338"/>
      <c r="BQ767" s="338"/>
      <c r="BR767" s="338"/>
      <c r="BS767" s="338"/>
      <c r="BT767" s="338"/>
      <c r="BU767" s="338"/>
      <c r="BV767" s="338"/>
      <c r="BW767" s="338"/>
      <c r="BX767" s="338"/>
      <c r="BY767" s="338"/>
      <c r="BZ767" s="338"/>
      <c r="CA767" s="338"/>
      <c r="CB767" s="338"/>
      <c r="CC767" s="338"/>
      <c r="CD767" s="338"/>
      <c r="CE767" s="338"/>
      <c r="CF767" s="338"/>
      <c r="CG767" s="338"/>
      <c r="CH767" s="338"/>
      <c r="CI767" s="338"/>
      <c r="CJ767" s="338"/>
      <c r="CK767" s="338"/>
      <c r="CL767" s="338"/>
    </row>
    <row r="768" ht="14.2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40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  <c r="AV768" s="338"/>
      <c r="AW768" s="338"/>
      <c r="AX768" s="338"/>
      <c r="AY768" s="338"/>
      <c r="AZ768" s="338"/>
      <c r="BA768" s="338"/>
      <c r="BB768" s="338"/>
      <c r="BC768" s="338"/>
      <c r="BD768" s="338"/>
      <c r="BE768" s="338"/>
      <c r="BF768" s="338"/>
      <c r="BG768" s="338"/>
      <c r="BH768" s="338"/>
      <c r="BI768" s="338"/>
      <c r="BJ768" s="338"/>
      <c r="BK768" s="338"/>
      <c r="BL768" s="338"/>
      <c r="BM768" s="338"/>
      <c r="BN768" s="338"/>
      <c r="BO768" s="338"/>
      <c r="BP768" s="338"/>
      <c r="BQ768" s="338"/>
      <c r="BR768" s="338"/>
      <c r="BS768" s="338"/>
      <c r="BT768" s="338"/>
      <c r="BU768" s="338"/>
      <c r="BV768" s="338"/>
      <c r="BW768" s="338"/>
      <c r="BX768" s="338"/>
      <c r="BY768" s="338"/>
      <c r="BZ768" s="338"/>
      <c r="CA768" s="338"/>
      <c r="CB768" s="338"/>
      <c r="CC768" s="338"/>
      <c r="CD768" s="338"/>
      <c r="CE768" s="338"/>
      <c r="CF768" s="338"/>
      <c r="CG768" s="338"/>
      <c r="CH768" s="338"/>
      <c r="CI768" s="338"/>
      <c r="CJ768" s="338"/>
      <c r="CK768" s="338"/>
      <c r="CL768" s="338"/>
    </row>
    <row r="769" ht="14.2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40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  <c r="AV769" s="338"/>
      <c r="AW769" s="338"/>
      <c r="AX769" s="338"/>
      <c r="AY769" s="338"/>
      <c r="AZ769" s="338"/>
      <c r="BA769" s="338"/>
      <c r="BB769" s="338"/>
      <c r="BC769" s="338"/>
      <c r="BD769" s="338"/>
      <c r="BE769" s="338"/>
      <c r="BF769" s="338"/>
      <c r="BG769" s="338"/>
      <c r="BH769" s="338"/>
      <c r="BI769" s="338"/>
      <c r="BJ769" s="338"/>
      <c r="BK769" s="338"/>
      <c r="BL769" s="338"/>
      <c r="BM769" s="338"/>
      <c r="BN769" s="338"/>
      <c r="BO769" s="338"/>
      <c r="BP769" s="338"/>
      <c r="BQ769" s="338"/>
      <c r="BR769" s="338"/>
      <c r="BS769" s="338"/>
      <c r="BT769" s="338"/>
      <c r="BU769" s="338"/>
      <c r="BV769" s="338"/>
      <c r="BW769" s="338"/>
      <c r="BX769" s="338"/>
      <c r="BY769" s="338"/>
      <c r="BZ769" s="338"/>
      <c r="CA769" s="338"/>
      <c r="CB769" s="338"/>
      <c r="CC769" s="338"/>
      <c r="CD769" s="338"/>
      <c r="CE769" s="338"/>
      <c r="CF769" s="338"/>
      <c r="CG769" s="338"/>
      <c r="CH769" s="338"/>
      <c r="CI769" s="338"/>
      <c r="CJ769" s="338"/>
      <c r="CK769" s="338"/>
      <c r="CL769" s="338"/>
    </row>
    <row r="770" ht="14.2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40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  <c r="AV770" s="338"/>
      <c r="AW770" s="338"/>
      <c r="AX770" s="338"/>
      <c r="AY770" s="338"/>
      <c r="AZ770" s="338"/>
      <c r="BA770" s="338"/>
      <c r="BB770" s="338"/>
      <c r="BC770" s="338"/>
      <c r="BD770" s="338"/>
      <c r="BE770" s="338"/>
      <c r="BF770" s="338"/>
      <c r="BG770" s="338"/>
      <c r="BH770" s="338"/>
      <c r="BI770" s="338"/>
      <c r="BJ770" s="338"/>
      <c r="BK770" s="338"/>
      <c r="BL770" s="338"/>
      <c r="BM770" s="338"/>
      <c r="BN770" s="338"/>
      <c r="BO770" s="338"/>
      <c r="BP770" s="338"/>
      <c r="BQ770" s="338"/>
      <c r="BR770" s="338"/>
      <c r="BS770" s="338"/>
      <c r="BT770" s="338"/>
      <c r="BU770" s="338"/>
      <c r="BV770" s="338"/>
      <c r="BW770" s="338"/>
      <c r="BX770" s="338"/>
      <c r="BY770" s="338"/>
      <c r="BZ770" s="338"/>
      <c r="CA770" s="338"/>
      <c r="CB770" s="338"/>
      <c r="CC770" s="338"/>
      <c r="CD770" s="338"/>
      <c r="CE770" s="338"/>
      <c r="CF770" s="338"/>
      <c r="CG770" s="338"/>
      <c r="CH770" s="338"/>
      <c r="CI770" s="338"/>
      <c r="CJ770" s="338"/>
      <c r="CK770" s="338"/>
      <c r="CL770" s="338"/>
    </row>
    <row r="771" ht="14.2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40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  <c r="AV771" s="338"/>
      <c r="AW771" s="338"/>
      <c r="AX771" s="338"/>
      <c r="AY771" s="338"/>
      <c r="AZ771" s="338"/>
      <c r="BA771" s="338"/>
      <c r="BB771" s="338"/>
      <c r="BC771" s="338"/>
      <c r="BD771" s="338"/>
      <c r="BE771" s="338"/>
      <c r="BF771" s="338"/>
      <c r="BG771" s="338"/>
      <c r="BH771" s="338"/>
      <c r="BI771" s="338"/>
      <c r="BJ771" s="338"/>
      <c r="BK771" s="338"/>
      <c r="BL771" s="338"/>
      <c r="BM771" s="338"/>
      <c r="BN771" s="338"/>
      <c r="BO771" s="338"/>
      <c r="BP771" s="338"/>
      <c r="BQ771" s="338"/>
      <c r="BR771" s="338"/>
      <c r="BS771" s="338"/>
      <c r="BT771" s="338"/>
      <c r="BU771" s="338"/>
      <c r="BV771" s="338"/>
      <c r="BW771" s="338"/>
      <c r="BX771" s="338"/>
      <c r="BY771" s="338"/>
      <c r="BZ771" s="338"/>
      <c r="CA771" s="338"/>
      <c r="CB771" s="338"/>
      <c r="CC771" s="338"/>
      <c r="CD771" s="338"/>
      <c r="CE771" s="338"/>
      <c r="CF771" s="338"/>
      <c r="CG771" s="338"/>
      <c r="CH771" s="338"/>
      <c r="CI771" s="338"/>
      <c r="CJ771" s="338"/>
      <c r="CK771" s="338"/>
      <c r="CL771" s="338"/>
    </row>
    <row r="772" ht="14.2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40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  <c r="AV772" s="338"/>
      <c r="AW772" s="338"/>
      <c r="AX772" s="338"/>
      <c r="AY772" s="338"/>
      <c r="AZ772" s="338"/>
      <c r="BA772" s="338"/>
      <c r="BB772" s="338"/>
      <c r="BC772" s="338"/>
      <c r="BD772" s="338"/>
      <c r="BE772" s="338"/>
      <c r="BF772" s="338"/>
      <c r="BG772" s="338"/>
      <c r="BH772" s="338"/>
      <c r="BI772" s="338"/>
      <c r="BJ772" s="338"/>
      <c r="BK772" s="338"/>
      <c r="BL772" s="338"/>
      <c r="BM772" s="338"/>
      <c r="BN772" s="338"/>
      <c r="BO772" s="338"/>
      <c r="BP772" s="338"/>
      <c r="BQ772" s="338"/>
      <c r="BR772" s="338"/>
      <c r="BS772" s="338"/>
      <c r="BT772" s="338"/>
      <c r="BU772" s="338"/>
      <c r="BV772" s="338"/>
      <c r="BW772" s="338"/>
      <c r="BX772" s="338"/>
      <c r="BY772" s="338"/>
      <c r="BZ772" s="338"/>
      <c r="CA772" s="338"/>
      <c r="CB772" s="338"/>
      <c r="CC772" s="338"/>
      <c r="CD772" s="338"/>
      <c r="CE772" s="338"/>
      <c r="CF772" s="338"/>
      <c r="CG772" s="338"/>
      <c r="CH772" s="338"/>
      <c r="CI772" s="338"/>
      <c r="CJ772" s="338"/>
      <c r="CK772" s="338"/>
      <c r="CL772" s="338"/>
    </row>
    <row r="773" ht="14.2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40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  <c r="AV773" s="338"/>
      <c r="AW773" s="338"/>
      <c r="AX773" s="338"/>
      <c r="AY773" s="338"/>
      <c r="AZ773" s="338"/>
      <c r="BA773" s="338"/>
      <c r="BB773" s="338"/>
      <c r="BC773" s="338"/>
      <c r="BD773" s="338"/>
      <c r="BE773" s="338"/>
      <c r="BF773" s="338"/>
      <c r="BG773" s="338"/>
      <c r="BH773" s="338"/>
      <c r="BI773" s="338"/>
      <c r="BJ773" s="338"/>
      <c r="BK773" s="338"/>
      <c r="BL773" s="338"/>
      <c r="BM773" s="338"/>
      <c r="BN773" s="338"/>
      <c r="BO773" s="338"/>
      <c r="BP773" s="338"/>
      <c r="BQ773" s="338"/>
      <c r="BR773" s="338"/>
      <c r="BS773" s="338"/>
      <c r="BT773" s="338"/>
      <c r="BU773" s="338"/>
      <c r="BV773" s="338"/>
      <c r="BW773" s="338"/>
      <c r="BX773" s="338"/>
      <c r="BY773" s="338"/>
      <c r="BZ773" s="338"/>
      <c r="CA773" s="338"/>
      <c r="CB773" s="338"/>
      <c r="CC773" s="338"/>
      <c r="CD773" s="338"/>
      <c r="CE773" s="338"/>
      <c r="CF773" s="338"/>
      <c r="CG773" s="338"/>
      <c r="CH773" s="338"/>
      <c r="CI773" s="338"/>
      <c r="CJ773" s="338"/>
      <c r="CK773" s="338"/>
      <c r="CL773" s="338"/>
    </row>
    <row r="774" ht="14.2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40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  <c r="AV774" s="338"/>
      <c r="AW774" s="338"/>
      <c r="AX774" s="338"/>
      <c r="AY774" s="338"/>
      <c r="AZ774" s="338"/>
      <c r="BA774" s="338"/>
      <c r="BB774" s="338"/>
      <c r="BC774" s="338"/>
      <c r="BD774" s="338"/>
      <c r="BE774" s="338"/>
      <c r="BF774" s="338"/>
      <c r="BG774" s="338"/>
      <c r="BH774" s="338"/>
      <c r="BI774" s="338"/>
      <c r="BJ774" s="338"/>
      <c r="BK774" s="338"/>
      <c r="BL774" s="338"/>
      <c r="BM774" s="338"/>
      <c r="BN774" s="338"/>
      <c r="BO774" s="338"/>
      <c r="BP774" s="338"/>
      <c r="BQ774" s="338"/>
      <c r="BR774" s="338"/>
      <c r="BS774" s="338"/>
      <c r="BT774" s="338"/>
      <c r="BU774" s="338"/>
      <c r="BV774" s="338"/>
      <c r="BW774" s="338"/>
      <c r="BX774" s="338"/>
      <c r="BY774" s="338"/>
      <c r="BZ774" s="338"/>
      <c r="CA774" s="338"/>
      <c r="CB774" s="338"/>
      <c r="CC774" s="338"/>
      <c r="CD774" s="338"/>
      <c r="CE774" s="338"/>
      <c r="CF774" s="338"/>
      <c r="CG774" s="338"/>
      <c r="CH774" s="338"/>
      <c r="CI774" s="338"/>
      <c r="CJ774" s="338"/>
      <c r="CK774" s="338"/>
      <c r="CL774" s="338"/>
    </row>
    <row r="775" ht="14.2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40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  <c r="AV775" s="338"/>
      <c r="AW775" s="338"/>
      <c r="AX775" s="338"/>
      <c r="AY775" s="338"/>
      <c r="AZ775" s="338"/>
      <c r="BA775" s="338"/>
      <c r="BB775" s="338"/>
      <c r="BC775" s="338"/>
      <c r="BD775" s="338"/>
      <c r="BE775" s="338"/>
      <c r="BF775" s="338"/>
      <c r="BG775" s="338"/>
      <c r="BH775" s="338"/>
      <c r="BI775" s="338"/>
      <c r="BJ775" s="338"/>
      <c r="BK775" s="338"/>
      <c r="BL775" s="338"/>
      <c r="BM775" s="338"/>
      <c r="BN775" s="338"/>
      <c r="BO775" s="338"/>
      <c r="BP775" s="338"/>
      <c r="BQ775" s="338"/>
      <c r="BR775" s="338"/>
      <c r="BS775" s="338"/>
      <c r="BT775" s="338"/>
      <c r="BU775" s="338"/>
      <c r="BV775" s="338"/>
      <c r="BW775" s="338"/>
      <c r="BX775" s="338"/>
      <c r="BY775" s="338"/>
      <c r="BZ775" s="338"/>
      <c r="CA775" s="338"/>
      <c r="CB775" s="338"/>
      <c r="CC775" s="338"/>
      <c r="CD775" s="338"/>
      <c r="CE775" s="338"/>
      <c r="CF775" s="338"/>
      <c r="CG775" s="338"/>
      <c r="CH775" s="338"/>
      <c r="CI775" s="338"/>
      <c r="CJ775" s="338"/>
      <c r="CK775" s="338"/>
      <c r="CL775" s="338"/>
    </row>
    <row r="776" ht="14.2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40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  <c r="AV776" s="338"/>
      <c r="AW776" s="338"/>
      <c r="AX776" s="338"/>
      <c r="AY776" s="338"/>
      <c r="AZ776" s="338"/>
      <c r="BA776" s="338"/>
      <c r="BB776" s="338"/>
      <c r="BC776" s="338"/>
      <c r="BD776" s="338"/>
      <c r="BE776" s="338"/>
      <c r="BF776" s="338"/>
      <c r="BG776" s="338"/>
      <c r="BH776" s="338"/>
      <c r="BI776" s="338"/>
      <c r="BJ776" s="338"/>
      <c r="BK776" s="338"/>
      <c r="BL776" s="338"/>
      <c r="BM776" s="338"/>
      <c r="BN776" s="338"/>
      <c r="BO776" s="338"/>
      <c r="BP776" s="338"/>
      <c r="BQ776" s="338"/>
      <c r="BR776" s="338"/>
      <c r="BS776" s="338"/>
      <c r="BT776" s="338"/>
      <c r="BU776" s="338"/>
      <c r="BV776" s="338"/>
      <c r="BW776" s="338"/>
      <c r="BX776" s="338"/>
      <c r="BY776" s="338"/>
      <c r="BZ776" s="338"/>
      <c r="CA776" s="338"/>
      <c r="CB776" s="338"/>
      <c r="CC776" s="338"/>
      <c r="CD776" s="338"/>
      <c r="CE776" s="338"/>
      <c r="CF776" s="338"/>
      <c r="CG776" s="338"/>
      <c r="CH776" s="338"/>
      <c r="CI776" s="338"/>
      <c r="CJ776" s="338"/>
      <c r="CK776" s="338"/>
      <c r="CL776" s="338"/>
    </row>
    <row r="777" ht="14.2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40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  <c r="AV777" s="338"/>
      <c r="AW777" s="338"/>
      <c r="AX777" s="338"/>
      <c r="AY777" s="338"/>
      <c r="AZ777" s="338"/>
      <c r="BA777" s="338"/>
      <c r="BB777" s="338"/>
      <c r="BC777" s="338"/>
      <c r="BD777" s="338"/>
      <c r="BE777" s="338"/>
      <c r="BF777" s="338"/>
      <c r="BG777" s="338"/>
      <c r="BH777" s="338"/>
      <c r="BI777" s="338"/>
      <c r="BJ777" s="338"/>
      <c r="BK777" s="338"/>
      <c r="BL777" s="338"/>
      <c r="BM777" s="338"/>
      <c r="BN777" s="338"/>
      <c r="BO777" s="338"/>
      <c r="BP777" s="338"/>
      <c r="BQ777" s="338"/>
      <c r="BR777" s="338"/>
      <c r="BS777" s="338"/>
      <c r="BT777" s="338"/>
      <c r="BU777" s="338"/>
      <c r="BV777" s="338"/>
      <c r="BW777" s="338"/>
      <c r="BX777" s="338"/>
      <c r="BY777" s="338"/>
      <c r="BZ777" s="338"/>
      <c r="CA777" s="338"/>
      <c r="CB777" s="338"/>
      <c r="CC777" s="338"/>
      <c r="CD777" s="338"/>
      <c r="CE777" s="338"/>
      <c r="CF777" s="338"/>
      <c r="CG777" s="338"/>
      <c r="CH777" s="338"/>
      <c r="CI777" s="338"/>
      <c r="CJ777" s="338"/>
      <c r="CK777" s="338"/>
      <c r="CL777" s="338"/>
    </row>
    <row r="778" ht="14.2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40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  <c r="AV778" s="338"/>
      <c r="AW778" s="338"/>
      <c r="AX778" s="338"/>
      <c r="AY778" s="338"/>
      <c r="AZ778" s="338"/>
      <c r="BA778" s="338"/>
      <c r="BB778" s="338"/>
      <c r="BC778" s="338"/>
      <c r="BD778" s="338"/>
      <c r="BE778" s="338"/>
      <c r="BF778" s="338"/>
      <c r="BG778" s="338"/>
      <c r="BH778" s="338"/>
      <c r="BI778" s="338"/>
      <c r="BJ778" s="338"/>
      <c r="BK778" s="338"/>
      <c r="BL778" s="338"/>
      <c r="BM778" s="338"/>
      <c r="BN778" s="338"/>
      <c r="BO778" s="338"/>
      <c r="BP778" s="338"/>
      <c r="BQ778" s="338"/>
      <c r="BR778" s="338"/>
      <c r="BS778" s="338"/>
      <c r="BT778" s="338"/>
      <c r="BU778" s="338"/>
      <c r="BV778" s="338"/>
      <c r="BW778" s="338"/>
      <c r="BX778" s="338"/>
      <c r="BY778" s="338"/>
      <c r="BZ778" s="338"/>
      <c r="CA778" s="338"/>
      <c r="CB778" s="338"/>
      <c r="CC778" s="338"/>
      <c r="CD778" s="338"/>
      <c r="CE778" s="338"/>
      <c r="CF778" s="338"/>
      <c r="CG778" s="338"/>
      <c r="CH778" s="338"/>
      <c r="CI778" s="338"/>
      <c r="CJ778" s="338"/>
      <c r="CK778" s="338"/>
      <c r="CL778" s="338"/>
    </row>
    <row r="779" ht="14.2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40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  <c r="AV779" s="338"/>
      <c r="AW779" s="338"/>
      <c r="AX779" s="338"/>
      <c r="AY779" s="338"/>
      <c r="AZ779" s="338"/>
      <c r="BA779" s="338"/>
      <c r="BB779" s="338"/>
      <c r="BC779" s="338"/>
      <c r="BD779" s="338"/>
      <c r="BE779" s="338"/>
      <c r="BF779" s="338"/>
      <c r="BG779" s="338"/>
      <c r="BH779" s="338"/>
      <c r="BI779" s="338"/>
      <c r="BJ779" s="338"/>
      <c r="BK779" s="338"/>
      <c r="BL779" s="338"/>
      <c r="BM779" s="338"/>
      <c r="BN779" s="338"/>
      <c r="BO779" s="338"/>
      <c r="BP779" s="338"/>
      <c r="BQ779" s="338"/>
      <c r="BR779" s="338"/>
      <c r="BS779" s="338"/>
      <c r="BT779" s="338"/>
      <c r="BU779" s="338"/>
      <c r="BV779" s="338"/>
      <c r="BW779" s="338"/>
      <c r="BX779" s="338"/>
      <c r="BY779" s="338"/>
      <c r="BZ779" s="338"/>
      <c r="CA779" s="338"/>
      <c r="CB779" s="338"/>
      <c r="CC779" s="338"/>
      <c r="CD779" s="338"/>
      <c r="CE779" s="338"/>
      <c r="CF779" s="338"/>
      <c r="CG779" s="338"/>
      <c r="CH779" s="338"/>
      <c r="CI779" s="338"/>
      <c r="CJ779" s="338"/>
      <c r="CK779" s="338"/>
      <c r="CL779" s="338"/>
    </row>
    <row r="780" ht="14.2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40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  <c r="AV780" s="338"/>
      <c r="AW780" s="338"/>
      <c r="AX780" s="338"/>
      <c r="AY780" s="338"/>
      <c r="AZ780" s="338"/>
      <c r="BA780" s="338"/>
      <c r="BB780" s="338"/>
      <c r="BC780" s="338"/>
      <c r="BD780" s="338"/>
      <c r="BE780" s="338"/>
      <c r="BF780" s="338"/>
      <c r="BG780" s="338"/>
      <c r="BH780" s="338"/>
      <c r="BI780" s="338"/>
      <c r="BJ780" s="338"/>
      <c r="BK780" s="338"/>
      <c r="BL780" s="338"/>
      <c r="BM780" s="338"/>
      <c r="BN780" s="338"/>
      <c r="BO780" s="338"/>
      <c r="BP780" s="338"/>
      <c r="BQ780" s="338"/>
      <c r="BR780" s="338"/>
      <c r="BS780" s="338"/>
      <c r="BT780" s="338"/>
      <c r="BU780" s="338"/>
      <c r="BV780" s="338"/>
      <c r="BW780" s="338"/>
      <c r="BX780" s="338"/>
      <c r="BY780" s="338"/>
      <c r="BZ780" s="338"/>
      <c r="CA780" s="338"/>
      <c r="CB780" s="338"/>
      <c r="CC780" s="338"/>
      <c r="CD780" s="338"/>
      <c r="CE780" s="338"/>
      <c r="CF780" s="338"/>
      <c r="CG780" s="338"/>
      <c r="CH780" s="338"/>
      <c r="CI780" s="338"/>
      <c r="CJ780" s="338"/>
      <c r="CK780" s="338"/>
      <c r="CL780" s="338"/>
    </row>
    <row r="781" ht="14.2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40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  <c r="AV781" s="338"/>
      <c r="AW781" s="338"/>
      <c r="AX781" s="338"/>
      <c r="AY781" s="338"/>
      <c r="AZ781" s="338"/>
      <c r="BA781" s="338"/>
      <c r="BB781" s="338"/>
      <c r="BC781" s="338"/>
      <c r="BD781" s="338"/>
      <c r="BE781" s="338"/>
      <c r="BF781" s="338"/>
      <c r="BG781" s="338"/>
      <c r="BH781" s="338"/>
      <c r="BI781" s="338"/>
      <c r="BJ781" s="338"/>
      <c r="BK781" s="338"/>
      <c r="BL781" s="338"/>
      <c r="BM781" s="338"/>
      <c r="BN781" s="338"/>
      <c r="BO781" s="338"/>
      <c r="BP781" s="338"/>
      <c r="BQ781" s="338"/>
      <c r="BR781" s="338"/>
      <c r="BS781" s="338"/>
      <c r="BT781" s="338"/>
      <c r="BU781" s="338"/>
      <c r="BV781" s="338"/>
      <c r="BW781" s="338"/>
      <c r="BX781" s="338"/>
      <c r="BY781" s="338"/>
      <c r="BZ781" s="338"/>
      <c r="CA781" s="338"/>
      <c r="CB781" s="338"/>
      <c r="CC781" s="338"/>
      <c r="CD781" s="338"/>
      <c r="CE781" s="338"/>
      <c r="CF781" s="338"/>
      <c r="CG781" s="338"/>
      <c r="CH781" s="338"/>
      <c r="CI781" s="338"/>
      <c r="CJ781" s="338"/>
      <c r="CK781" s="338"/>
      <c r="CL781" s="338"/>
    </row>
    <row r="782" ht="14.2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40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  <c r="AV782" s="338"/>
      <c r="AW782" s="338"/>
      <c r="AX782" s="338"/>
      <c r="AY782" s="338"/>
      <c r="AZ782" s="338"/>
      <c r="BA782" s="338"/>
      <c r="BB782" s="338"/>
      <c r="BC782" s="338"/>
      <c r="BD782" s="338"/>
      <c r="BE782" s="338"/>
      <c r="BF782" s="338"/>
      <c r="BG782" s="338"/>
      <c r="BH782" s="338"/>
      <c r="BI782" s="338"/>
      <c r="BJ782" s="338"/>
      <c r="BK782" s="338"/>
      <c r="BL782" s="338"/>
      <c r="BM782" s="338"/>
      <c r="BN782" s="338"/>
      <c r="BO782" s="338"/>
      <c r="BP782" s="338"/>
      <c r="BQ782" s="338"/>
      <c r="BR782" s="338"/>
      <c r="BS782" s="338"/>
      <c r="BT782" s="338"/>
      <c r="BU782" s="338"/>
      <c r="BV782" s="338"/>
      <c r="BW782" s="338"/>
      <c r="BX782" s="338"/>
      <c r="BY782" s="338"/>
      <c r="BZ782" s="338"/>
      <c r="CA782" s="338"/>
      <c r="CB782" s="338"/>
      <c r="CC782" s="338"/>
      <c r="CD782" s="338"/>
      <c r="CE782" s="338"/>
      <c r="CF782" s="338"/>
      <c r="CG782" s="338"/>
      <c r="CH782" s="338"/>
      <c r="CI782" s="338"/>
      <c r="CJ782" s="338"/>
      <c r="CK782" s="338"/>
      <c r="CL782" s="338"/>
    </row>
    <row r="783" ht="14.2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40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  <c r="AW783" s="338"/>
      <c r="AX783" s="338"/>
      <c r="AY783" s="338"/>
      <c r="AZ783" s="338"/>
      <c r="BA783" s="338"/>
      <c r="BB783" s="338"/>
      <c r="BC783" s="338"/>
      <c r="BD783" s="338"/>
      <c r="BE783" s="338"/>
      <c r="BF783" s="338"/>
      <c r="BG783" s="338"/>
      <c r="BH783" s="338"/>
      <c r="BI783" s="338"/>
      <c r="BJ783" s="338"/>
      <c r="BK783" s="338"/>
      <c r="BL783" s="338"/>
      <c r="BM783" s="338"/>
      <c r="BN783" s="338"/>
      <c r="BO783" s="338"/>
      <c r="BP783" s="338"/>
      <c r="BQ783" s="338"/>
      <c r="BR783" s="338"/>
      <c r="BS783" s="338"/>
      <c r="BT783" s="338"/>
      <c r="BU783" s="338"/>
      <c r="BV783" s="338"/>
      <c r="BW783" s="338"/>
      <c r="BX783" s="338"/>
      <c r="BY783" s="338"/>
      <c r="BZ783" s="338"/>
      <c r="CA783" s="338"/>
      <c r="CB783" s="338"/>
      <c r="CC783" s="338"/>
      <c r="CD783" s="338"/>
      <c r="CE783" s="338"/>
      <c r="CF783" s="338"/>
      <c r="CG783" s="338"/>
      <c r="CH783" s="338"/>
      <c r="CI783" s="338"/>
      <c r="CJ783" s="338"/>
      <c r="CK783" s="338"/>
      <c r="CL783" s="338"/>
    </row>
    <row r="784" ht="14.2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40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  <c r="AV784" s="338"/>
      <c r="AW784" s="338"/>
      <c r="AX784" s="338"/>
      <c r="AY784" s="338"/>
      <c r="AZ784" s="338"/>
      <c r="BA784" s="338"/>
      <c r="BB784" s="338"/>
      <c r="BC784" s="338"/>
      <c r="BD784" s="338"/>
      <c r="BE784" s="338"/>
      <c r="BF784" s="338"/>
      <c r="BG784" s="338"/>
      <c r="BH784" s="338"/>
      <c r="BI784" s="338"/>
      <c r="BJ784" s="338"/>
      <c r="BK784" s="338"/>
      <c r="BL784" s="338"/>
      <c r="BM784" s="338"/>
      <c r="BN784" s="338"/>
      <c r="BO784" s="338"/>
      <c r="BP784" s="338"/>
      <c r="BQ784" s="338"/>
      <c r="BR784" s="338"/>
      <c r="BS784" s="338"/>
      <c r="BT784" s="338"/>
      <c r="BU784" s="338"/>
      <c r="BV784" s="338"/>
      <c r="BW784" s="338"/>
      <c r="BX784" s="338"/>
      <c r="BY784" s="338"/>
      <c r="BZ784" s="338"/>
      <c r="CA784" s="338"/>
      <c r="CB784" s="338"/>
      <c r="CC784" s="338"/>
      <c r="CD784" s="338"/>
      <c r="CE784" s="338"/>
      <c r="CF784" s="338"/>
      <c r="CG784" s="338"/>
      <c r="CH784" s="338"/>
      <c r="CI784" s="338"/>
      <c r="CJ784" s="338"/>
      <c r="CK784" s="338"/>
      <c r="CL784" s="338"/>
    </row>
    <row r="785" ht="14.2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40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  <c r="AV785" s="338"/>
      <c r="AW785" s="338"/>
      <c r="AX785" s="338"/>
      <c r="AY785" s="338"/>
      <c r="AZ785" s="338"/>
      <c r="BA785" s="338"/>
      <c r="BB785" s="338"/>
      <c r="BC785" s="338"/>
      <c r="BD785" s="338"/>
      <c r="BE785" s="338"/>
      <c r="BF785" s="338"/>
      <c r="BG785" s="338"/>
      <c r="BH785" s="338"/>
      <c r="BI785" s="338"/>
      <c r="BJ785" s="338"/>
      <c r="BK785" s="338"/>
      <c r="BL785" s="338"/>
      <c r="BM785" s="338"/>
      <c r="BN785" s="338"/>
      <c r="BO785" s="338"/>
      <c r="BP785" s="338"/>
      <c r="BQ785" s="338"/>
      <c r="BR785" s="338"/>
      <c r="BS785" s="338"/>
      <c r="BT785" s="338"/>
      <c r="BU785" s="338"/>
      <c r="BV785" s="338"/>
      <c r="BW785" s="338"/>
      <c r="BX785" s="338"/>
      <c r="BY785" s="338"/>
      <c r="BZ785" s="338"/>
      <c r="CA785" s="338"/>
      <c r="CB785" s="338"/>
      <c r="CC785" s="338"/>
      <c r="CD785" s="338"/>
      <c r="CE785" s="338"/>
      <c r="CF785" s="338"/>
      <c r="CG785" s="338"/>
      <c r="CH785" s="338"/>
      <c r="CI785" s="338"/>
      <c r="CJ785" s="338"/>
      <c r="CK785" s="338"/>
      <c r="CL785" s="338"/>
    </row>
    <row r="786" ht="14.2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40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  <c r="AV786" s="338"/>
      <c r="AW786" s="338"/>
      <c r="AX786" s="338"/>
      <c r="AY786" s="338"/>
      <c r="AZ786" s="338"/>
      <c r="BA786" s="338"/>
      <c r="BB786" s="338"/>
      <c r="BC786" s="338"/>
      <c r="BD786" s="338"/>
      <c r="BE786" s="338"/>
      <c r="BF786" s="338"/>
      <c r="BG786" s="338"/>
      <c r="BH786" s="338"/>
      <c r="BI786" s="338"/>
      <c r="BJ786" s="338"/>
      <c r="BK786" s="338"/>
      <c r="BL786" s="338"/>
      <c r="BM786" s="338"/>
      <c r="BN786" s="338"/>
      <c r="BO786" s="338"/>
      <c r="BP786" s="338"/>
      <c r="BQ786" s="338"/>
      <c r="BR786" s="338"/>
      <c r="BS786" s="338"/>
      <c r="BT786" s="338"/>
      <c r="BU786" s="338"/>
      <c r="BV786" s="338"/>
      <c r="BW786" s="338"/>
      <c r="BX786" s="338"/>
      <c r="BY786" s="338"/>
      <c r="BZ786" s="338"/>
      <c r="CA786" s="338"/>
      <c r="CB786" s="338"/>
      <c r="CC786" s="338"/>
      <c r="CD786" s="338"/>
      <c r="CE786" s="338"/>
      <c r="CF786" s="338"/>
      <c r="CG786" s="338"/>
      <c r="CH786" s="338"/>
      <c r="CI786" s="338"/>
      <c r="CJ786" s="338"/>
      <c r="CK786" s="338"/>
      <c r="CL786" s="338"/>
    </row>
    <row r="787" ht="14.2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40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  <c r="AV787" s="338"/>
      <c r="AW787" s="338"/>
      <c r="AX787" s="338"/>
      <c r="AY787" s="338"/>
      <c r="AZ787" s="338"/>
      <c r="BA787" s="338"/>
      <c r="BB787" s="338"/>
      <c r="BC787" s="338"/>
      <c r="BD787" s="338"/>
      <c r="BE787" s="338"/>
      <c r="BF787" s="338"/>
      <c r="BG787" s="338"/>
      <c r="BH787" s="338"/>
      <c r="BI787" s="338"/>
      <c r="BJ787" s="338"/>
      <c r="BK787" s="338"/>
      <c r="BL787" s="338"/>
      <c r="BM787" s="338"/>
      <c r="BN787" s="338"/>
      <c r="BO787" s="338"/>
      <c r="BP787" s="338"/>
      <c r="BQ787" s="338"/>
      <c r="BR787" s="338"/>
      <c r="BS787" s="338"/>
      <c r="BT787" s="338"/>
      <c r="BU787" s="338"/>
      <c r="BV787" s="338"/>
      <c r="BW787" s="338"/>
      <c r="BX787" s="338"/>
      <c r="BY787" s="338"/>
      <c r="BZ787" s="338"/>
      <c r="CA787" s="338"/>
      <c r="CB787" s="338"/>
      <c r="CC787" s="338"/>
      <c r="CD787" s="338"/>
      <c r="CE787" s="338"/>
      <c r="CF787" s="338"/>
      <c r="CG787" s="338"/>
      <c r="CH787" s="338"/>
      <c r="CI787" s="338"/>
      <c r="CJ787" s="338"/>
      <c r="CK787" s="338"/>
      <c r="CL787" s="338"/>
    </row>
    <row r="788" ht="14.2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40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  <c r="AV788" s="338"/>
      <c r="AW788" s="338"/>
      <c r="AX788" s="338"/>
      <c r="AY788" s="338"/>
      <c r="AZ788" s="338"/>
      <c r="BA788" s="338"/>
      <c r="BB788" s="338"/>
      <c r="BC788" s="338"/>
      <c r="BD788" s="338"/>
      <c r="BE788" s="338"/>
      <c r="BF788" s="338"/>
      <c r="BG788" s="338"/>
      <c r="BH788" s="338"/>
      <c r="BI788" s="338"/>
      <c r="BJ788" s="338"/>
      <c r="BK788" s="338"/>
      <c r="BL788" s="338"/>
      <c r="BM788" s="338"/>
      <c r="BN788" s="338"/>
      <c r="BO788" s="338"/>
      <c r="BP788" s="338"/>
      <c r="BQ788" s="338"/>
      <c r="BR788" s="338"/>
      <c r="BS788" s="338"/>
      <c r="BT788" s="338"/>
      <c r="BU788" s="338"/>
      <c r="BV788" s="338"/>
      <c r="BW788" s="338"/>
      <c r="BX788" s="338"/>
      <c r="BY788" s="338"/>
      <c r="BZ788" s="338"/>
      <c r="CA788" s="338"/>
      <c r="CB788" s="338"/>
      <c r="CC788" s="338"/>
      <c r="CD788" s="338"/>
      <c r="CE788" s="338"/>
      <c r="CF788" s="338"/>
      <c r="CG788" s="338"/>
      <c r="CH788" s="338"/>
      <c r="CI788" s="338"/>
      <c r="CJ788" s="338"/>
      <c r="CK788" s="338"/>
      <c r="CL788" s="338"/>
    </row>
    <row r="789" ht="14.2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40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  <c r="AV789" s="338"/>
      <c r="AW789" s="338"/>
      <c r="AX789" s="338"/>
      <c r="AY789" s="338"/>
      <c r="AZ789" s="338"/>
      <c r="BA789" s="338"/>
      <c r="BB789" s="338"/>
      <c r="BC789" s="338"/>
      <c r="BD789" s="338"/>
      <c r="BE789" s="338"/>
      <c r="BF789" s="338"/>
      <c r="BG789" s="338"/>
      <c r="BH789" s="338"/>
      <c r="BI789" s="338"/>
      <c r="BJ789" s="338"/>
      <c r="BK789" s="338"/>
      <c r="BL789" s="338"/>
      <c r="BM789" s="338"/>
      <c r="BN789" s="338"/>
      <c r="BO789" s="338"/>
      <c r="BP789" s="338"/>
      <c r="BQ789" s="338"/>
      <c r="BR789" s="338"/>
      <c r="BS789" s="338"/>
      <c r="BT789" s="338"/>
      <c r="BU789" s="338"/>
      <c r="BV789" s="338"/>
      <c r="BW789" s="338"/>
      <c r="BX789" s="338"/>
      <c r="BY789" s="338"/>
      <c r="BZ789" s="338"/>
      <c r="CA789" s="338"/>
      <c r="CB789" s="338"/>
      <c r="CC789" s="338"/>
      <c r="CD789" s="338"/>
      <c r="CE789" s="338"/>
      <c r="CF789" s="338"/>
      <c r="CG789" s="338"/>
      <c r="CH789" s="338"/>
      <c r="CI789" s="338"/>
      <c r="CJ789" s="338"/>
      <c r="CK789" s="338"/>
      <c r="CL789" s="338"/>
    </row>
    <row r="790" ht="14.2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40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  <c r="AV790" s="338"/>
      <c r="AW790" s="338"/>
      <c r="AX790" s="338"/>
      <c r="AY790" s="338"/>
      <c r="AZ790" s="338"/>
      <c r="BA790" s="338"/>
      <c r="BB790" s="338"/>
      <c r="BC790" s="338"/>
      <c r="BD790" s="338"/>
      <c r="BE790" s="338"/>
      <c r="BF790" s="338"/>
      <c r="BG790" s="338"/>
      <c r="BH790" s="338"/>
      <c r="BI790" s="338"/>
      <c r="BJ790" s="338"/>
      <c r="BK790" s="338"/>
      <c r="BL790" s="338"/>
      <c r="BM790" s="338"/>
      <c r="BN790" s="338"/>
      <c r="BO790" s="338"/>
      <c r="BP790" s="338"/>
      <c r="BQ790" s="338"/>
      <c r="BR790" s="338"/>
      <c r="BS790" s="338"/>
      <c r="BT790" s="338"/>
      <c r="BU790" s="338"/>
      <c r="BV790" s="338"/>
      <c r="BW790" s="338"/>
      <c r="BX790" s="338"/>
      <c r="BY790" s="338"/>
      <c r="BZ790" s="338"/>
      <c r="CA790" s="338"/>
      <c r="CB790" s="338"/>
      <c r="CC790" s="338"/>
      <c r="CD790" s="338"/>
      <c r="CE790" s="338"/>
      <c r="CF790" s="338"/>
      <c r="CG790" s="338"/>
      <c r="CH790" s="338"/>
      <c r="CI790" s="338"/>
      <c r="CJ790" s="338"/>
      <c r="CK790" s="338"/>
      <c r="CL790" s="338"/>
    </row>
    <row r="791" ht="14.2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40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  <c r="AV791" s="338"/>
      <c r="AW791" s="338"/>
      <c r="AX791" s="338"/>
      <c r="AY791" s="338"/>
      <c r="AZ791" s="338"/>
      <c r="BA791" s="338"/>
      <c r="BB791" s="338"/>
      <c r="BC791" s="338"/>
      <c r="BD791" s="338"/>
      <c r="BE791" s="338"/>
      <c r="BF791" s="338"/>
      <c r="BG791" s="338"/>
      <c r="BH791" s="338"/>
      <c r="BI791" s="338"/>
      <c r="BJ791" s="338"/>
      <c r="BK791" s="338"/>
      <c r="BL791" s="338"/>
      <c r="BM791" s="338"/>
      <c r="BN791" s="338"/>
      <c r="BO791" s="338"/>
      <c r="BP791" s="338"/>
      <c r="BQ791" s="338"/>
      <c r="BR791" s="338"/>
      <c r="BS791" s="338"/>
      <c r="BT791" s="338"/>
      <c r="BU791" s="338"/>
      <c r="BV791" s="338"/>
      <c r="BW791" s="338"/>
      <c r="BX791" s="338"/>
      <c r="BY791" s="338"/>
      <c r="BZ791" s="338"/>
      <c r="CA791" s="338"/>
      <c r="CB791" s="338"/>
      <c r="CC791" s="338"/>
      <c r="CD791" s="338"/>
      <c r="CE791" s="338"/>
      <c r="CF791" s="338"/>
      <c r="CG791" s="338"/>
      <c r="CH791" s="338"/>
      <c r="CI791" s="338"/>
      <c r="CJ791" s="338"/>
      <c r="CK791" s="338"/>
      <c r="CL791" s="338"/>
    </row>
    <row r="792" ht="14.2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40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  <c r="AV792" s="338"/>
      <c r="AW792" s="338"/>
      <c r="AX792" s="338"/>
      <c r="AY792" s="338"/>
      <c r="AZ792" s="338"/>
      <c r="BA792" s="338"/>
      <c r="BB792" s="338"/>
      <c r="BC792" s="338"/>
      <c r="BD792" s="338"/>
      <c r="BE792" s="338"/>
      <c r="BF792" s="338"/>
      <c r="BG792" s="338"/>
      <c r="BH792" s="338"/>
      <c r="BI792" s="338"/>
      <c r="BJ792" s="338"/>
      <c r="BK792" s="338"/>
      <c r="BL792" s="338"/>
      <c r="BM792" s="338"/>
      <c r="BN792" s="338"/>
      <c r="BO792" s="338"/>
      <c r="BP792" s="338"/>
      <c r="BQ792" s="338"/>
      <c r="BR792" s="338"/>
      <c r="BS792" s="338"/>
      <c r="BT792" s="338"/>
      <c r="BU792" s="338"/>
      <c r="BV792" s="338"/>
      <c r="BW792" s="338"/>
      <c r="BX792" s="338"/>
      <c r="BY792" s="338"/>
      <c r="BZ792" s="338"/>
      <c r="CA792" s="338"/>
      <c r="CB792" s="338"/>
      <c r="CC792" s="338"/>
      <c r="CD792" s="338"/>
      <c r="CE792" s="338"/>
      <c r="CF792" s="338"/>
      <c r="CG792" s="338"/>
      <c r="CH792" s="338"/>
      <c r="CI792" s="338"/>
      <c r="CJ792" s="338"/>
      <c r="CK792" s="338"/>
      <c r="CL792" s="338"/>
    </row>
    <row r="793" ht="14.2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40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  <c r="AV793" s="338"/>
      <c r="AW793" s="338"/>
      <c r="AX793" s="338"/>
      <c r="AY793" s="338"/>
      <c r="AZ793" s="338"/>
      <c r="BA793" s="338"/>
      <c r="BB793" s="338"/>
      <c r="BC793" s="338"/>
      <c r="BD793" s="338"/>
      <c r="BE793" s="338"/>
      <c r="BF793" s="338"/>
      <c r="BG793" s="338"/>
      <c r="BH793" s="338"/>
      <c r="BI793" s="338"/>
      <c r="BJ793" s="338"/>
      <c r="BK793" s="338"/>
      <c r="BL793" s="338"/>
      <c r="BM793" s="338"/>
      <c r="BN793" s="338"/>
      <c r="BO793" s="338"/>
      <c r="BP793" s="338"/>
      <c r="BQ793" s="338"/>
      <c r="BR793" s="338"/>
      <c r="BS793" s="338"/>
      <c r="BT793" s="338"/>
      <c r="BU793" s="338"/>
      <c r="BV793" s="338"/>
      <c r="BW793" s="338"/>
      <c r="BX793" s="338"/>
      <c r="BY793" s="338"/>
      <c r="BZ793" s="338"/>
      <c r="CA793" s="338"/>
      <c r="CB793" s="338"/>
      <c r="CC793" s="338"/>
      <c r="CD793" s="338"/>
      <c r="CE793" s="338"/>
      <c r="CF793" s="338"/>
      <c r="CG793" s="338"/>
      <c r="CH793" s="338"/>
      <c r="CI793" s="338"/>
      <c r="CJ793" s="338"/>
      <c r="CK793" s="338"/>
      <c r="CL793" s="338"/>
    </row>
    <row r="794" ht="14.2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40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  <c r="AV794" s="338"/>
      <c r="AW794" s="338"/>
      <c r="AX794" s="338"/>
      <c r="AY794" s="338"/>
      <c r="AZ794" s="338"/>
      <c r="BA794" s="338"/>
      <c r="BB794" s="338"/>
      <c r="BC794" s="338"/>
      <c r="BD794" s="338"/>
      <c r="BE794" s="338"/>
      <c r="BF794" s="338"/>
      <c r="BG794" s="338"/>
      <c r="BH794" s="338"/>
      <c r="BI794" s="338"/>
      <c r="BJ794" s="338"/>
      <c r="BK794" s="338"/>
      <c r="BL794" s="338"/>
      <c r="BM794" s="338"/>
      <c r="BN794" s="338"/>
      <c r="BO794" s="338"/>
      <c r="BP794" s="338"/>
      <c r="BQ794" s="338"/>
      <c r="BR794" s="338"/>
      <c r="BS794" s="338"/>
      <c r="BT794" s="338"/>
      <c r="BU794" s="338"/>
      <c r="BV794" s="338"/>
      <c r="BW794" s="338"/>
      <c r="BX794" s="338"/>
      <c r="BY794" s="338"/>
      <c r="BZ794" s="338"/>
      <c r="CA794" s="338"/>
      <c r="CB794" s="338"/>
      <c r="CC794" s="338"/>
      <c r="CD794" s="338"/>
      <c r="CE794" s="338"/>
      <c r="CF794" s="338"/>
      <c r="CG794" s="338"/>
      <c r="CH794" s="338"/>
      <c r="CI794" s="338"/>
      <c r="CJ794" s="338"/>
      <c r="CK794" s="338"/>
      <c r="CL794" s="338"/>
    </row>
    <row r="795" ht="14.2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40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  <c r="AV795" s="338"/>
      <c r="AW795" s="338"/>
      <c r="AX795" s="338"/>
      <c r="AY795" s="338"/>
      <c r="AZ795" s="338"/>
      <c r="BA795" s="338"/>
      <c r="BB795" s="338"/>
      <c r="BC795" s="338"/>
      <c r="BD795" s="338"/>
      <c r="BE795" s="338"/>
      <c r="BF795" s="338"/>
      <c r="BG795" s="338"/>
      <c r="BH795" s="338"/>
      <c r="BI795" s="338"/>
      <c r="BJ795" s="338"/>
      <c r="BK795" s="338"/>
      <c r="BL795" s="338"/>
      <c r="BM795" s="338"/>
      <c r="BN795" s="338"/>
      <c r="BO795" s="338"/>
      <c r="BP795" s="338"/>
      <c r="BQ795" s="338"/>
      <c r="BR795" s="338"/>
      <c r="BS795" s="338"/>
      <c r="BT795" s="338"/>
      <c r="BU795" s="338"/>
      <c r="BV795" s="338"/>
      <c r="BW795" s="338"/>
      <c r="BX795" s="338"/>
      <c r="BY795" s="338"/>
      <c r="BZ795" s="338"/>
      <c r="CA795" s="338"/>
      <c r="CB795" s="338"/>
      <c r="CC795" s="338"/>
      <c r="CD795" s="338"/>
      <c r="CE795" s="338"/>
      <c r="CF795" s="338"/>
      <c r="CG795" s="338"/>
      <c r="CH795" s="338"/>
      <c r="CI795" s="338"/>
      <c r="CJ795" s="338"/>
      <c r="CK795" s="338"/>
      <c r="CL795" s="338"/>
    </row>
    <row r="796" ht="14.2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40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  <c r="AV796" s="338"/>
      <c r="AW796" s="338"/>
      <c r="AX796" s="338"/>
      <c r="AY796" s="338"/>
      <c r="AZ796" s="338"/>
      <c r="BA796" s="338"/>
      <c r="BB796" s="338"/>
      <c r="BC796" s="338"/>
      <c r="BD796" s="338"/>
      <c r="BE796" s="338"/>
      <c r="BF796" s="338"/>
      <c r="BG796" s="338"/>
      <c r="BH796" s="338"/>
      <c r="BI796" s="338"/>
      <c r="BJ796" s="338"/>
      <c r="BK796" s="338"/>
      <c r="BL796" s="338"/>
      <c r="BM796" s="338"/>
      <c r="BN796" s="338"/>
      <c r="BO796" s="338"/>
      <c r="BP796" s="338"/>
      <c r="BQ796" s="338"/>
      <c r="BR796" s="338"/>
      <c r="BS796" s="338"/>
      <c r="BT796" s="338"/>
      <c r="BU796" s="338"/>
      <c r="BV796" s="338"/>
      <c r="BW796" s="338"/>
      <c r="BX796" s="338"/>
      <c r="BY796" s="338"/>
      <c r="BZ796" s="338"/>
      <c r="CA796" s="338"/>
      <c r="CB796" s="338"/>
      <c r="CC796" s="338"/>
      <c r="CD796" s="338"/>
      <c r="CE796" s="338"/>
      <c r="CF796" s="338"/>
      <c r="CG796" s="338"/>
      <c r="CH796" s="338"/>
      <c r="CI796" s="338"/>
      <c r="CJ796" s="338"/>
      <c r="CK796" s="338"/>
      <c r="CL796" s="338"/>
    </row>
    <row r="797" ht="14.2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40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  <c r="AV797" s="338"/>
      <c r="AW797" s="338"/>
      <c r="AX797" s="338"/>
      <c r="AY797" s="338"/>
      <c r="AZ797" s="338"/>
      <c r="BA797" s="338"/>
      <c r="BB797" s="338"/>
      <c r="BC797" s="338"/>
      <c r="BD797" s="338"/>
      <c r="BE797" s="338"/>
      <c r="BF797" s="338"/>
      <c r="BG797" s="338"/>
      <c r="BH797" s="338"/>
      <c r="BI797" s="338"/>
      <c r="BJ797" s="338"/>
      <c r="BK797" s="338"/>
      <c r="BL797" s="338"/>
      <c r="BM797" s="338"/>
      <c r="BN797" s="338"/>
      <c r="BO797" s="338"/>
      <c r="BP797" s="338"/>
      <c r="BQ797" s="338"/>
      <c r="BR797" s="338"/>
      <c r="BS797" s="338"/>
      <c r="BT797" s="338"/>
      <c r="BU797" s="338"/>
      <c r="BV797" s="338"/>
      <c r="BW797" s="338"/>
      <c r="BX797" s="338"/>
      <c r="BY797" s="338"/>
      <c r="BZ797" s="338"/>
      <c r="CA797" s="338"/>
      <c r="CB797" s="338"/>
      <c r="CC797" s="338"/>
      <c r="CD797" s="338"/>
      <c r="CE797" s="338"/>
      <c r="CF797" s="338"/>
      <c r="CG797" s="338"/>
      <c r="CH797" s="338"/>
      <c r="CI797" s="338"/>
      <c r="CJ797" s="338"/>
      <c r="CK797" s="338"/>
      <c r="CL797" s="338"/>
    </row>
    <row r="798" ht="14.2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40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  <c r="AV798" s="338"/>
      <c r="AW798" s="338"/>
      <c r="AX798" s="338"/>
      <c r="AY798" s="338"/>
      <c r="AZ798" s="338"/>
      <c r="BA798" s="338"/>
      <c r="BB798" s="338"/>
      <c r="BC798" s="338"/>
      <c r="BD798" s="338"/>
      <c r="BE798" s="338"/>
      <c r="BF798" s="338"/>
      <c r="BG798" s="338"/>
      <c r="BH798" s="338"/>
      <c r="BI798" s="338"/>
      <c r="BJ798" s="338"/>
      <c r="BK798" s="338"/>
      <c r="BL798" s="338"/>
      <c r="BM798" s="338"/>
      <c r="BN798" s="338"/>
      <c r="BO798" s="338"/>
      <c r="BP798" s="338"/>
      <c r="BQ798" s="338"/>
      <c r="BR798" s="338"/>
      <c r="BS798" s="338"/>
      <c r="BT798" s="338"/>
      <c r="BU798" s="338"/>
      <c r="BV798" s="338"/>
      <c r="BW798" s="338"/>
      <c r="BX798" s="338"/>
      <c r="BY798" s="338"/>
      <c r="BZ798" s="338"/>
      <c r="CA798" s="338"/>
      <c r="CB798" s="338"/>
      <c r="CC798" s="338"/>
      <c r="CD798" s="338"/>
      <c r="CE798" s="338"/>
      <c r="CF798" s="338"/>
      <c r="CG798" s="338"/>
      <c r="CH798" s="338"/>
      <c r="CI798" s="338"/>
      <c r="CJ798" s="338"/>
      <c r="CK798" s="338"/>
      <c r="CL798" s="338"/>
    </row>
    <row r="799" ht="14.2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40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  <c r="AV799" s="338"/>
      <c r="AW799" s="338"/>
      <c r="AX799" s="338"/>
      <c r="AY799" s="338"/>
      <c r="AZ799" s="338"/>
      <c r="BA799" s="338"/>
      <c r="BB799" s="338"/>
      <c r="BC799" s="338"/>
      <c r="BD799" s="338"/>
      <c r="BE799" s="338"/>
      <c r="BF799" s="338"/>
      <c r="BG799" s="338"/>
      <c r="BH799" s="338"/>
      <c r="BI799" s="338"/>
      <c r="BJ799" s="338"/>
      <c r="BK799" s="338"/>
      <c r="BL799" s="338"/>
      <c r="BM799" s="338"/>
      <c r="BN799" s="338"/>
      <c r="BO799" s="338"/>
      <c r="BP799" s="338"/>
      <c r="BQ799" s="338"/>
      <c r="BR799" s="338"/>
      <c r="BS799" s="338"/>
      <c r="BT799" s="338"/>
      <c r="BU799" s="338"/>
      <c r="BV799" s="338"/>
      <c r="BW799" s="338"/>
      <c r="BX799" s="338"/>
      <c r="BY799" s="338"/>
      <c r="BZ799" s="338"/>
      <c r="CA799" s="338"/>
      <c r="CB799" s="338"/>
      <c r="CC799" s="338"/>
      <c r="CD799" s="338"/>
      <c r="CE799" s="338"/>
      <c r="CF799" s="338"/>
      <c r="CG799" s="338"/>
      <c r="CH799" s="338"/>
      <c r="CI799" s="338"/>
      <c r="CJ799" s="338"/>
      <c r="CK799" s="338"/>
      <c r="CL799" s="338"/>
    </row>
    <row r="800" ht="14.2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40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  <c r="AV800" s="338"/>
      <c r="AW800" s="338"/>
      <c r="AX800" s="338"/>
      <c r="AY800" s="338"/>
      <c r="AZ800" s="338"/>
      <c r="BA800" s="338"/>
      <c r="BB800" s="338"/>
      <c r="BC800" s="338"/>
      <c r="BD800" s="338"/>
      <c r="BE800" s="338"/>
      <c r="BF800" s="338"/>
      <c r="BG800" s="338"/>
      <c r="BH800" s="338"/>
      <c r="BI800" s="338"/>
      <c r="BJ800" s="338"/>
      <c r="BK800" s="338"/>
      <c r="BL800" s="338"/>
      <c r="BM800" s="338"/>
      <c r="BN800" s="338"/>
      <c r="BO800" s="338"/>
      <c r="BP800" s="338"/>
      <c r="BQ800" s="338"/>
      <c r="BR800" s="338"/>
      <c r="BS800" s="338"/>
      <c r="BT800" s="338"/>
      <c r="BU800" s="338"/>
      <c r="BV800" s="338"/>
      <c r="BW800" s="338"/>
      <c r="BX800" s="338"/>
      <c r="BY800" s="338"/>
      <c r="BZ800" s="338"/>
      <c r="CA800" s="338"/>
      <c r="CB800" s="338"/>
      <c r="CC800" s="338"/>
      <c r="CD800" s="338"/>
      <c r="CE800" s="338"/>
      <c r="CF800" s="338"/>
      <c r="CG800" s="338"/>
      <c r="CH800" s="338"/>
      <c r="CI800" s="338"/>
      <c r="CJ800" s="338"/>
      <c r="CK800" s="338"/>
      <c r="CL800" s="338"/>
    </row>
    <row r="801" ht="14.2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40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  <c r="AV801" s="338"/>
      <c r="AW801" s="338"/>
      <c r="AX801" s="338"/>
      <c r="AY801" s="338"/>
      <c r="AZ801" s="338"/>
      <c r="BA801" s="338"/>
      <c r="BB801" s="338"/>
      <c r="BC801" s="338"/>
      <c r="BD801" s="338"/>
      <c r="BE801" s="338"/>
      <c r="BF801" s="338"/>
      <c r="BG801" s="338"/>
      <c r="BH801" s="338"/>
      <c r="BI801" s="338"/>
      <c r="BJ801" s="338"/>
      <c r="BK801" s="338"/>
      <c r="BL801" s="338"/>
      <c r="BM801" s="338"/>
      <c r="BN801" s="338"/>
      <c r="BO801" s="338"/>
      <c r="BP801" s="338"/>
      <c r="BQ801" s="338"/>
      <c r="BR801" s="338"/>
      <c r="BS801" s="338"/>
      <c r="BT801" s="338"/>
      <c r="BU801" s="338"/>
      <c r="BV801" s="338"/>
      <c r="BW801" s="338"/>
      <c r="BX801" s="338"/>
      <c r="BY801" s="338"/>
      <c r="BZ801" s="338"/>
      <c r="CA801" s="338"/>
      <c r="CB801" s="338"/>
      <c r="CC801" s="338"/>
      <c r="CD801" s="338"/>
      <c r="CE801" s="338"/>
      <c r="CF801" s="338"/>
      <c r="CG801" s="338"/>
      <c r="CH801" s="338"/>
      <c r="CI801" s="338"/>
      <c r="CJ801" s="338"/>
      <c r="CK801" s="338"/>
      <c r="CL801" s="338"/>
    </row>
    <row r="802" ht="14.2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40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  <c r="AV802" s="338"/>
      <c r="AW802" s="338"/>
      <c r="AX802" s="338"/>
      <c r="AY802" s="338"/>
      <c r="AZ802" s="338"/>
      <c r="BA802" s="338"/>
      <c r="BB802" s="338"/>
      <c r="BC802" s="338"/>
      <c r="BD802" s="338"/>
      <c r="BE802" s="338"/>
      <c r="BF802" s="338"/>
      <c r="BG802" s="338"/>
      <c r="BH802" s="338"/>
      <c r="BI802" s="338"/>
      <c r="BJ802" s="338"/>
      <c r="BK802" s="338"/>
      <c r="BL802" s="338"/>
      <c r="BM802" s="338"/>
      <c r="BN802" s="338"/>
      <c r="BO802" s="338"/>
      <c r="BP802" s="338"/>
      <c r="BQ802" s="338"/>
      <c r="BR802" s="338"/>
      <c r="BS802" s="338"/>
      <c r="BT802" s="338"/>
      <c r="BU802" s="338"/>
      <c r="BV802" s="338"/>
      <c r="BW802" s="338"/>
      <c r="BX802" s="338"/>
      <c r="BY802" s="338"/>
      <c r="BZ802" s="338"/>
      <c r="CA802" s="338"/>
      <c r="CB802" s="338"/>
      <c r="CC802" s="338"/>
      <c r="CD802" s="338"/>
      <c r="CE802" s="338"/>
      <c r="CF802" s="338"/>
      <c r="CG802" s="338"/>
      <c r="CH802" s="338"/>
      <c r="CI802" s="338"/>
      <c r="CJ802" s="338"/>
      <c r="CK802" s="338"/>
      <c r="CL802" s="338"/>
    </row>
    <row r="803" ht="14.2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40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  <c r="AV803" s="338"/>
      <c r="AW803" s="338"/>
      <c r="AX803" s="338"/>
      <c r="AY803" s="338"/>
      <c r="AZ803" s="338"/>
      <c r="BA803" s="338"/>
      <c r="BB803" s="338"/>
      <c r="BC803" s="338"/>
      <c r="BD803" s="338"/>
      <c r="BE803" s="338"/>
      <c r="BF803" s="338"/>
      <c r="BG803" s="338"/>
      <c r="BH803" s="338"/>
      <c r="BI803" s="338"/>
      <c r="BJ803" s="338"/>
      <c r="BK803" s="338"/>
      <c r="BL803" s="338"/>
      <c r="BM803" s="338"/>
      <c r="BN803" s="338"/>
      <c r="BO803" s="338"/>
      <c r="BP803" s="338"/>
      <c r="BQ803" s="338"/>
      <c r="BR803" s="338"/>
      <c r="BS803" s="338"/>
      <c r="BT803" s="338"/>
      <c r="BU803" s="338"/>
      <c r="BV803" s="338"/>
      <c r="BW803" s="338"/>
      <c r="BX803" s="338"/>
      <c r="BY803" s="338"/>
      <c r="BZ803" s="338"/>
      <c r="CA803" s="338"/>
      <c r="CB803" s="338"/>
      <c r="CC803" s="338"/>
      <c r="CD803" s="338"/>
      <c r="CE803" s="338"/>
      <c r="CF803" s="338"/>
      <c r="CG803" s="338"/>
      <c r="CH803" s="338"/>
      <c r="CI803" s="338"/>
      <c r="CJ803" s="338"/>
      <c r="CK803" s="338"/>
      <c r="CL803" s="338"/>
    </row>
    <row r="804" ht="14.2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40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  <c r="AV804" s="338"/>
      <c r="AW804" s="338"/>
      <c r="AX804" s="338"/>
      <c r="AY804" s="338"/>
      <c r="AZ804" s="338"/>
      <c r="BA804" s="338"/>
      <c r="BB804" s="338"/>
      <c r="BC804" s="338"/>
      <c r="BD804" s="338"/>
      <c r="BE804" s="338"/>
      <c r="BF804" s="338"/>
      <c r="BG804" s="338"/>
      <c r="BH804" s="338"/>
      <c r="BI804" s="338"/>
      <c r="BJ804" s="338"/>
      <c r="BK804" s="338"/>
      <c r="BL804" s="338"/>
      <c r="BM804" s="338"/>
      <c r="BN804" s="338"/>
      <c r="BO804" s="338"/>
      <c r="BP804" s="338"/>
      <c r="BQ804" s="338"/>
      <c r="BR804" s="338"/>
      <c r="BS804" s="338"/>
      <c r="BT804" s="338"/>
      <c r="BU804" s="338"/>
      <c r="BV804" s="338"/>
      <c r="BW804" s="338"/>
      <c r="BX804" s="338"/>
      <c r="BY804" s="338"/>
      <c r="BZ804" s="338"/>
      <c r="CA804" s="338"/>
      <c r="CB804" s="338"/>
      <c r="CC804" s="338"/>
      <c r="CD804" s="338"/>
      <c r="CE804" s="338"/>
      <c r="CF804" s="338"/>
      <c r="CG804" s="338"/>
      <c r="CH804" s="338"/>
      <c r="CI804" s="338"/>
      <c r="CJ804" s="338"/>
      <c r="CK804" s="338"/>
      <c r="CL804" s="338"/>
    </row>
    <row r="805" ht="14.2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40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  <c r="AV805" s="338"/>
      <c r="AW805" s="338"/>
      <c r="AX805" s="338"/>
      <c r="AY805" s="338"/>
      <c r="AZ805" s="338"/>
      <c r="BA805" s="338"/>
      <c r="BB805" s="338"/>
      <c r="BC805" s="338"/>
      <c r="BD805" s="338"/>
      <c r="BE805" s="338"/>
      <c r="BF805" s="338"/>
      <c r="BG805" s="338"/>
      <c r="BH805" s="338"/>
      <c r="BI805" s="338"/>
      <c r="BJ805" s="338"/>
      <c r="BK805" s="338"/>
      <c r="BL805" s="338"/>
      <c r="BM805" s="338"/>
      <c r="BN805" s="338"/>
      <c r="BO805" s="338"/>
      <c r="BP805" s="338"/>
      <c r="BQ805" s="338"/>
      <c r="BR805" s="338"/>
      <c r="BS805" s="338"/>
      <c r="BT805" s="338"/>
      <c r="BU805" s="338"/>
      <c r="BV805" s="338"/>
      <c r="BW805" s="338"/>
      <c r="BX805" s="338"/>
      <c r="BY805" s="338"/>
      <c r="BZ805" s="338"/>
      <c r="CA805" s="338"/>
      <c r="CB805" s="338"/>
      <c r="CC805" s="338"/>
      <c r="CD805" s="338"/>
      <c r="CE805" s="338"/>
      <c r="CF805" s="338"/>
      <c r="CG805" s="338"/>
      <c r="CH805" s="338"/>
      <c r="CI805" s="338"/>
      <c r="CJ805" s="338"/>
      <c r="CK805" s="338"/>
      <c r="CL805" s="338"/>
    </row>
    <row r="806" ht="14.2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40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  <c r="AV806" s="338"/>
      <c r="AW806" s="338"/>
      <c r="AX806" s="338"/>
      <c r="AY806" s="338"/>
      <c r="AZ806" s="338"/>
      <c r="BA806" s="338"/>
      <c r="BB806" s="338"/>
      <c r="BC806" s="338"/>
      <c r="BD806" s="338"/>
      <c r="BE806" s="338"/>
      <c r="BF806" s="338"/>
      <c r="BG806" s="338"/>
      <c r="BH806" s="338"/>
      <c r="BI806" s="338"/>
      <c r="BJ806" s="338"/>
      <c r="BK806" s="338"/>
      <c r="BL806" s="338"/>
      <c r="BM806" s="338"/>
      <c r="BN806" s="338"/>
      <c r="BO806" s="338"/>
      <c r="BP806" s="338"/>
      <c r="BQ806" s="338"/>
      <c r="BR806" s="338"/>
      <c r="BS806" s="338"/>
      <c r="BT806" s="338"/>
      <c r="BU806" s="338"/>
      <c r="BV806" s="338"/>
      <c r="BW806" s="338"/>
      <c r="BX806" s="338"/>
      <c r="BY806" s="338"/>
      <c r="BZ806" s="338"/>
      <c r="CA806" s="338"/>
      <c r="CB806" s="338"/>
      <c r="CC806" s="338"/>
      <c r="CD806" s="338"/>
      <c r="CE806" s="338"/>
      <c r="CF806" s="338"/>
      <c r="CG806" s="338"/>
      <c r="CH806" s="338"/>
      <c r="CI806" s="338"/>
      <c r="CJ806" s="338"/>
      <c r="CK806" s="338"/>
      <c r="CL806" s="338"/>
    </row>
    <row r="807" ht="14.2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40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  <c r="AV807" s="338"/>
      <c r="AW807" s="338"/>
      <c r="AX807" s="338"/>
      <c r="AY807" s="338"/>
      <c r="AZ807" s="338"/>
      <c r="BA807" s="338"/>
      <c r="BB807" s="338"/>
      <c r="BC807" s="338"/>
      <c r="BD807" s="338"/>
      <c r="BE807" s="338"/>
      <c r="BF807" s="338"/>
      <c r="BG807" s="338"/>
      <c r="BH807" s="338"/>
      <c r="BI807" s="338"/>
      <c r="BJ807" s="338"/>
      <c r="BK807" s="338"/>
      <c r="BL807" s="338"/>
      <c r="BM807" s="338"/>
      <c r="BN807" s="338"/>
      <c r="BO807" s="338"/>
      <c r="BP807" s="338"/>
      <c r="BQ807" s="338"/>
      <c r="BR807" s="338"/>
      <c r="BS807" s="338"/>
      <c r="BT807" s="338"/>
      <c r="BU807" s="338"/>
      <c r="BV807" s="338"/>
      <c r="BW807" s="338"/>
      <c r="BX807" s="338"/>
      <c r="BY807" s="338"/>
      <c r="BZ807" s="338"/>
      <c r="CA807" s="338"/>
      <c r="CB807" s="338"/>
      <c r="CC807" s="338"/>
      <c r="CD807" s="338"/>
      <c r="CE807" s="338"/>
      <c r="CF807" s="338"/>
      <c r="CG807" s="338"/>
      <c r="CH807" s="338"/>
      <c r="CI807" s="338"/>
      <c r="CJ807" s="338"/>
      <c r="CK807" s="338"/>
      <c r="CL807" s="338"/>
    </row>
    <row r="808" ht="14.2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40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  <c r="AV808" s="338"/>
      <c r="AW808" s="338"/>
      <c r="AX808" s="338"/>
      <c r="AY808" s="338"/>
      <c r="AZ808" s="338"/>
      <c r="BA808" s="338"/>
      <c r="BB808" s="338"/>
      <c r="BC808" s="338"/>
      <c r="BD808" s="338"/>
      <c r="BE808" s="338"/>
      <c r="BF808" s="338"/>
      <c r="BG808" s="338"/>
      <c r="BH808" s="338"/>
      <c r="BI808" s="338"/>
      <c r="BJ808" s="338"/>
      <c r="BK808" s="338"/>
      <c r="BL808" s="338"/>
      <c r="BM808" s="338"/>
      <c r="BN808" s="338"/>
      <c r="BO808" s="338"/>
      <c r="BP808" s="338"/>
      <c r="BQ808" s="338"/>
      <c r="BR808" s="338"/>
      <c r="BS808" s="338"/>
      <c r="BT808" s="338"/>
      <c r="BU808" s="338"/>
      <c r="BV808" s="338"/>
      <c r="BW808" s="338"/>
      <c r="BX808" s="338"/>
      <c r="BY808" s="338"/>
      <c r="BZ808" s="338"/>
      <c r="CA808" s="338"/>
      <c r="CB808" s="338"/>
      <c r="CC808" s="338"/>
      <c r="CD808" s="338"/>
      <c r="CE808" s="338"/>
      <c r="CF808" s="338"/>
      <c r="CG808" s="338"/>
      <c r="CH808" s="338"/>
      <c r="CI808" s="338"/>
      <c r="CJ808" s="338"/>
      <c r="CK808" s="338"/>
      <c r="CL808" s="338"/>
    </row>
    <row r="809" ht="14.2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40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  <c r="AV809" s="338"/>
      <c r="AW809" s="338"/>
      <c r="AX809" s="338"/>
      <c r="AY809" s="338"/>
      <c r="AZ809" s="338"/>
      <c r="BA809" s="338"/>
      <c r="BB809" s="338"/>
      <c r="BC809" s="338"/>
      <c r="BD809" s="338"/>
      <c r="BE809" s="338"/>
      <c r="BF809" s="338"/>
      <c r="BG809" s="338"/>
      <c r="BH809" s="338"/>
      <c r="BI809" s="338"/>
      <c r="BJ809" s="338"/>
      <c r="BK809" s="338"/>
      <c r="BL809" s="338"/>
      <c r="BM809" s="338"/>
      <c r="BN809" s="338"/>
      <c r="BO809" s="338"/>
      <c r="BP809" s="338"/>
      <c r="BQ809" s="338"/>
      <c r="BR809" s="338"/>
      <c r="BS809" s="338"/>
      <c r="BT809" s="338"/>
      <c r="BU809" s="338"/>
      <c r="BV809" s="338"/>
      <c r="BW809" s="338"/>
      <c r="BX809" s="338"/>
      <c r="BY809" s="338"/>
      <c r="BZ809" s="338"/>
      <c r="CA809" s="338"/>
      <c r="CB809" s="338"/>
      <c r="CC809" s="338"/>
      <c r="CD809" s="338"/>
      <c r="CE809" s="338"/>
      <c r="CF809" s="338"/>
      <c r="CG809" s="338"/>
      <c r="CH809" s="338"/>
      <c r="CI809" s="338"/>
      <c r="CJ809" s="338"/>
      <c r="CK809" s="338"/>
      <c r="CL809" s="338"/>
    </row>
    <row r="810" ht="14.2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40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  <c r="AV810" s="338"/>
      <c r="AW810" s="338"/>
      <c r="AX810" s="338"/>
      <c r="AY810" s="338"/>
      <c r="AZ810" s="338"/>
      <c r="BA810" s="338"/>
      <c r="BB810" s="338"/>
      <c r="BC810" s="338"/>
      <c r="BD810" s="338"/>
      <c r="BE810" s="338"/>
      <c r="BF810" s="338"/>
      <c r="BG810" s="338"/>
      <c r="BH810" s="338"/>
      <c r="BI810" s="338"/>
      <c r="BJ810" s="338"/>
      <c r="BK810" s="338"/>
      <c r="BL810" s="338"/>
      <c r="BM810" s="338"/>
      <c r="BN810" s="338"/>
      <c r="BO810" s="338"/>
      <c r="BP810" s="338"/>
      <c r="BQ810" s="338"/>
      <c r="BR810" s="338"/>
      <c r="BS810" s="338"/>
      <c r="BT810" s="338"/>
      <c r="BU810" s="338"/>
      <c r="BV810" s="338"/>
      <c r="BW810" s="338"/>
      <c r="BX810" s="338"/>
      <c r="BY810" s="338"/>
      <c r="BZ810" s="338"/>
      <c r="CA810" s="338"/>
      <c r="CB810" s="338"/>
      <c r="CC810" s="338"/>
      <c r="CD810" s="338"/>
      <c r="CE810" s="338"/>
      <c r="CF810" s="338"/>
      <c r="CG810" s="338"/>
      <c r="CH810" s="338"/>
      <c r="CI810" s="338"/>
      <c r="CJ810" s="338"/>
      <c r="CK810" s="338"/>
      <c r="CL810" s="338"/>
    </row>
    <row r="811" ht="14.2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40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  <c r="AV811" s="338"/>
      <c r="AW811" s="338"/>
      <c r="AX811" s="338"/>
      <c r="AY811" s="338"/>
      <c r="AZ811" s="338"/>
      <c r="BA811" s="338"/>
      <c r="BB811" s="338"/>
      <c r="BC811" s="338"/>
      <c r="BD811" s="338"/>
      <c r="BE811" s="338"/>
      <c r="BF811" s="338"/>
      <c r="BG811" s="338"/>
      <c r="BH811" s="338"/>
      <c r="BI811" s="338"/>
      <c r="BJ811" s="338"/>
      <c r="BK811" s="338"/>
      <c r="BL811" s="338"/>
      <c r="BM811" s="338"/>
      <c r="BN811" s="338"/>
      <c r="BO811" s="338"/>
      <c r="BP811" s="338"/>
      <c r="BQ811" s="338"/>
      <c r="BR811" s="338"/>
      <c r="BS811" s="338"/>
      <c r="BT811" s="338"/>
      <c r="BU811" s="338"/>
      <c r="BV811" s="338"/>
      <c r="BW811" s="338"/>
      <c r="BX811" s="338"/>
      <c r="BY811" s="338"/>
      <c r="BZ811" s="338"/>
      <c r="CA811" s="338"/>
      <c r="CB811" s="338"/>
      <c r="CC811" s="338"/>
      <c r="CD811" s="338"/>
      <c r="CE811" s="338"/>
      <c r="CF811" s="338"/>
      <c r="CG811" s="338"/>
      <c r="CH811" s="338"/>
      <c r="CI811" s="338"/>
      <c r="CJ811" s="338"/>
      <c r="CK811" s="338"/>
      <c r="CL811" s="338"/>
    </row>
    <row r="812" ht="14.2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40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  <c r="AV812" s="338"/>
      <c r="AW812" s="338"/>
      <c r="AX812" s="338"/>
      <c r="AY812" s="338"/>
      <c r="AZ812" s="338"/>
      <c r="BA812" s="338"/>
      <c r="BB812" s="338"/>
      <c r="BC812" s="338"/>
      <c r="BD812" s="338"/>
      <c r="BE812" s="338"/>
      <c r="BF812" s="338"/>
      <c r="BG812" s="338"/>
      <c r="BH812" s="338"/>
      <c r="BI812" s="338"/>
      <c r="BJ812" s="338"/>
      <c r="BK812" s="338"/>
      <c r="BL812" s="338"/>
      <c r="BM812" s="338"/>
      <c r="BN812" s="338"/>
      <c r="BO812" s="338"/>
      <c r="BP812" s="338"/>
      <c r="BQ812" s="338"/>
      <c r="BR812" s="338"/>
      <c r="BS812" s="338"/>
      <c r="BT812" s="338"/>
      <c r="BU812" s="338"/>
      <c r="BV812" s="338"/>
      <c r="BW812" s="338"/>
      <c r="BX812" s="338"/>
      <c r="BY812" s="338"/>
      <c r="BZ812" s="338"/>
      <c r="CA812" s="338"/>
      <c r="CB812" s="338"/>
      <c r="CC812" s="338"/>
      <c r="CD812" s="338"/>
      <c r="CE812" s="338"/>
      <c r="CF812" s="338"/>
      <c r="CG812" s="338"/>
      <c r="CH812" s="338"/>
      <c r="CI812" s="338"/>
      <c r="CJ812" s="338"/>
      <c r="CK812" s="338"/>
      <c r="CL812" s="338"/>
    </row>
    <row r="813" ht="14.2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40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  <c r="AV813" s="338"/>
      <c r="AW813" s="338"/>
      <c r="AX813" s="338"/>
      <c r="AY813" s="338"/>
      <c r="AZ813" s="338"/>
      <c r="BA813" s="338"/>
      <c r="BB813" s="338"/>
      <c r="BC813" s="338"/>
      <c r="BD813" s="338"/>
      <c r="BE813" s="338"/>
      <c r="BF813" s="338"/>
      <c r="BG813" s="338"/>
      <c r="BH813" s="338"/>
      <c r="BI813" s="338"/>
      <c r="BJ813" s="338"/>
      <c r="BK813" s="338"/>
      <c r="BL813" s="338"/>
      <c r="BM813" s="338"/>
      <c r="BN813" s="338"/>
      <c r="BO813" s="338"/>
      <c r="BP813" s="338"/>
      <c r="BQ813" s="338"/>
      <c r="BR813" s="338"/>
      <c r="BS813" s="338"/>
      <c r="BT813" s="338"/>
      <c r="BU813" s="338"/>
      <c r="BV813" s="338"/>
      <c r="BW813" s="338"/>
      <c r="BX813" s="338"/>
      <c r="BY813" s="338"/>
      <c r="BZ813" s="338"/>
      <c r="CA813" s="338"/>
      <c r="CB813" s="338"/>
      <c r="CC813" s="338"/>
      <c r="CD813" s="338"/>
      <c r="CE813" s="338"/>
      <c r="CF813" s="338"/>
      <c r="CG813" s="338"/>
      <c r="CH813" s="338"/>
      <c r="CI813" s="338"/>
      <c r="CJ813" s="338"/>
      <c r="CK813" s="338"/>
      <c r="CL813" s="338"/>
    </row>
    <row r="814" ht="14.2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40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  <c r="AV814" s="338"/>
      <c r="AW814" s="338"/>
      <c r="AX814" s="338"/>
      <c r="AY814" s="338"/>
      <c r="AZ814" s="338"/>
      <c r="BA814" s="338"/>
      <c r="BB814" s="338"/>
      <c r="BC814" s="338"/>
      <c r="BD814" s="338"/>
      <c r="BE814" s="338"/>
      <c r="BF814" s="338"/>
      <c r="BG814" s="338"/>
      <c r="BH814" s="338"/>
      <c r="BI814" s="338"/>
      <c r="BJ814" s="338"/>
      <c r="BK814" s="338"/>
      <c r="BL814" s="338"/>
      <c r="BM814" s="338"/>
      <c r="BN814" s="338"/>
      <c r="BO814" s="338"/>
      <c r="BP814" s="338"/>
      <c r="BQ814" s="338"/>
      <c r="BR814" s="338"/>
      <c r="BS814" s="338"/>
      <c r="BT814" s="338"/>
      <c r="BU814" s="338"/>
      <c r="BV814" s="338"/>
      <c r="BW814" s="338"/>
      <c r="BX814" s="338"/>
      <c r="BY814" s="338"/>
      <c r="BZ814" s="338"/>
      <c r="CA814" s="338"/>
      <c r="CB814" s="338"/>
      <c r="CC814" s="338"/>
      <c r="CD814" s="338"/>
      <c r="CE814" s="338"/>
      <c r="CF814" s="338"/>
      <c r="CG814" s="338"/>
      <c r="CH814" s="338"/>
      <c r="CI814" s="338"/>
      <c r="CJ814" s="338"/>
      <c r="CK814" s="338"/>
      <c r="CL814" s="338"/>
    </row>
    <row r="815" ht="14.2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40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  <c r="AV815" s="338"/>
      <c r="AW815" s="338"/>
      <c r="AX815" s="338"/>
      <c r="AY815" s="338"/>
      <c r="AZ815" s="338"/>
      <c r="BA815" s="338"/>
      <c r="BB815" s="338"/>
      <c r="BC815" s="338"/>
      <c r="BD815" s="338"/>
      <c r="BE815" s="338"/>
      <c r="BF815" s="338"/>
      <c r="BG815" s="338"/>
      <c r="BH815" s="338"/>
      <c r="BI815" s="338"/>
      <c r="BJ815" s="338"/>
      <c r="BK815" s="338"/>
      <c r="BL815" s="338"/>
      <c r="BM815" s="338"/>
      <c r="BN815" s="338"/>
      <c r="BO815" s="338"/>
      <c r="BP815" s="338"/>
      <c r="BQ815" s="338"/>
      <c r="BR815" s="338"/>
      <c r="BS815" s="338"/>
      <c r="BT815" s="338"/>
      <c r="BU815" s="338"/>
      <c r="BV815" s="338"/>
      <c r="BW815" s="338"/>
      <c r="BX815" s="338"/>
      <c r="BY815" s="338"/>
      <c r="BZ815" s="338"/>
      <c r="CA815" s="338"/>
      <c r="CB815" s="338"/>
      <c r="CC815" s="338"/>
      <c r="CD815" s="338"/>
      <c r="CE815" s="338"/>
      <c r="CF815" s="338"/>
      <c r="CG815" s="338"/>
      <c r="CH815" s="338"/>
      <c r="CI815" s="338"/>
      <c r="CJ815" s="338"/>
      <c r="CK815" s="338"/>
      <c r="CL815" s="338"/>
    </row>
    <row r="816" ht="14.2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40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  <c r="AV816" s="338"/>
      <c r="AW816" s="338"/>
      <c r="AX816" s="338"/>
      <c r="AY816" s="338"/>
      <c r="AZ816" s="338"/>
      <c r="BA816" s="338"/>
      <c r="BB816" s="338"/>
      <c r="BC816" s="338"/>
      <c r="BD816" s="338"/>
      <c r="BE816" s="338"/>
      <c r="BF816" s="338"/>
      <c r="BG816" s="338"/>
      <c r="BH816" s="338"/>
      <c r="BI816" s="338"/>
      <c r="BJ816" s="338"/>
      <c r="BK816" s="338"/>
      <c r="BL816" s="338"/>
      <c r="BM816" s="338"/>
      <c r="BN816" s="338"/>
      <c r="BO816" s="338"/>
      <c r="BP816" s="338"/>
      <c r="BQ816" s="338"/>
      <c r="BR816" s="338"/>
      <c r="BS816" s="338"/>
      <c r="BT816" s="338"/>
      <c r="BU816" s="338"/>
      <c r="BV816" s="338"/>
      <c r="BW816" s="338"/>
      <c r="BX816" s="338"/>
      <c r="BY816" s="338"/>
      <c r="BZ816" s="338"/>
      <c r="CA816" s="338"/>
      <c r="CB816" s="338"/>
      <c r="CC816" s="338"/>
      <c r="CD816" s="338"/>
      <c r="CE816" s="338"/>
      <c r="CF816" s="338"/>
      <c r="CG816" s="338"/>
      <c r="CH816" s="338"/>
      <c r="CI816" s="338"/>
      <c r="CJ816" s="338"/>
      <c r="CK816" s="338"/>
      <c r="CL816" s="338"/>
    </row>
    <row r="817" ht="14.2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40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  <c r="AV817" s="338"/>
      <c r="AW817" s="338"/>
      <c r="AX817" s="338"/>
      <c r="AY817" s="338"/>
      <c r="AZ817" s="338"/>
      <c r="BA817" s="338"/>
      <c r="BB817" s="338"/>
      <c r="BC817" s="338"/>
      <c r="BD817" s="338"/>
      <c r="BE817" s="338"/>
      <c r="BF817" s="338"/>
      <c r="BG817" s="338"/>
      <c r="BH817" s="338"/>
      <c r="BI817" s="338"/>
      <c r="BJ817" s="338"/>
      <c r="BK817" s="338"/>
      <c r="BL817" s="338"/>
      <c r="BM817" s="338"/>
      <c r="BN817" s="338"/>
      <c r="BO817" s="338"/>
      <c r="BP817" s="338"/>
      <c r="BQ817" s="338"/>
      <c r="BR817" s="338"/>
      <c r="BS817" s="338"/>
      <c r="BT817" s="338"/>
      <c r="BU817" s="338"/>
      <c r="BV817" s="338"/>
      <c r="BW817" s="338"/>
      <c r="BX817" s="338"/>
      <c r="BY817" s="338"/>
      <c r="BZ817" s="338"/>
      <c r="CA817" s="338"/>
      <c r="CB817" s="338"/>
      <c r="CC817" s="338"/>
      <c r="CD817" s="338"/>
      <c r="CE817" s="338"/>
      <c r="CF817" s="338"/>
      <c r="CG817" s="338"/>
      <c r="CH817" s="338"/>
      <c r="CI817" s="338"/>
      <c r="CJ817" s="338"/>
      <c r="CK817" s="338"/>
      <c r="CL817" s="338"/>
    </row>
    <row r="818" ht="14.2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40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  <c r="AV818" s="338"/>
      <c r="AW818" s="338"/>
      <c r="AX818" s="338"/>
      <c r="AY818" s="338"/>
      <c r="AZ818" s="338"/>
      <c r="BA818" s="338"/>
      <c r="BB818" s="338"/>
      <c r="BC818" s="338"/>
      <c r="BD818" s="338"/>
      <c r="BE818" s="338"/>
      <c r="BF818" s="338"/>
      <c r="BG818" s="338"/>
      <c r="BH818" s="338"/>
      <c r="BI818" s="338"/>
      <c r="BJ818" s="338"/>
      <c r="BK818" s="338"/>
      <c r="BL818" s="338"/>
      <c r="BM818" s="338"/>
      <c r="BN818" s="338"/>
      <c r="BO818" s="338"/>
      <c r="BP818" s="338"/>
      <c r="BQ818" s="338"/>
      <c r="BR818" s="338"/>
      <c r="BS818" s="338"/>
      <c r="BT818" s="338"/>
      <c r="BU818" s="338"/>
      <c r="BV818" s="338"/>
      <c r="BW818" s="338"/>
      <c r="BX818" s="338"/>
      <c r="BY818" s="338"/>
      <c r="BZ818" s="338"/>
      <c r="CA818" s="338"/>
      <c r="CB818" s="338"/>
      <c r="CC818" s="338"/>
      <c r="CD818" s="338"/>
      <c r="CE818" s="338"/>
      <c r="CF818" s="338"/>
      <c r="CG818" s="338"/>
      <c r="CH818" s="338"/>
      <c r="CI818" s="338"/>
      <c r="CJ818" s="338"/>
      <c r="CK818" s="338"/>
      <c r="CL818" s="338"/>
    </row>
    <row r="819" ht="14.2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40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  <c r="AV819" s="338"/>
      <c r="AW819" s="338"/>
      <c r="AX819" s="338"/>
      <c r="AY819" s="338"/>
      <c r="AZ819" s="338"/>
      <c r="BA819" s="338"/>
      <c r="BB819" s="338"/>
      <c r="BC819" s="338"/>
      <c r="BD819" s="338"/>
      <c r="BE819" s="338"/>
      <c r="BF819" s="338"/>
      <c r="BG819" s="338"/>
      <c r="BH819" s="338"/>
      <c r="BI819" s="338"/>
      <c r="BJ819" s="338"/>
      <c r="BK819" s="338"/>
      <c r="BL819" s="338"/>
      <c r="BM819" s="338"/>
      <c r="BN819" s="338"/>
      <c r="BO819" s="338"/>
      <c r="BP819" s="338"/>
      <c r="BQ819" s="338"/>
      <c r="BR819" s="338"/>
      <c r="BS819" s="338"/>
      <c r="BT819" s="338"/>
      <c r="BU819" s="338"/>
      <c r="BV819" s="338"/>
      <c r="BW819" s="338"/>
      <c r="BX819" s="338"/>
      <c r="BY819" s="338"/>
      <c r="BZ819" s="338"/>
      <c r="CA819" s="338"/>
      <c r="CB819" s="338"/>
      <c r="CC819" s="338"/>
      <c r="CD819" s="338"/>
      <c r="CE819" s="338"/>
      <c r="CF819" s="338"/>
      <c r="CG819" s="338"/>
      <c r="CH819" s="338"/>
      <c r="CI819" s="338"/>
      <c r="CJ819" s="338"/>
      <c r="CK819" s="338"/>
      <c r="CL819" s="338"/>
    </row>
    <row r="820" ht="14.2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40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  <c r="AV820" s="338"/>
      <c r="AW820" s="338"/>
      <c r="AX820" s="338"/>
      <c r="AY820" s="338"/>
      <c r="AZ820" s="338"/>
      <c r="BA820" s="338"/>
      <c r="BB820" s="338"/>
      <c r="BC820" s="338"/>
      <c r="BD820" s="338"/>
      <c r="BE820" s="338"/>
      <c r="BF820" s="338"/>
      <c r="BG820" s="338"/>
      <c r="BH820" s="338"/>
      <c r="BI820" s="338"/>
      <c r="BJ820" s="338"/>
      <c r="BK820" s="338"/>
      <c r="BL820" s="338"/>
      <c r="BM820" s="338"/>
      <c r="BN820" s="338"/>
      <c r="BO820" s="338"/>
      <c r="BP820" s="338"/>
      <c r="BQ820" s="338"/>
      <c r="BR820" s="338"/>
      <c r="BS820" s="338"/>
      <c r="BT820" s="338"/>
      <c r="BU820" s="338"/>
      <c r="BV820" s="338"/>
      <c r="BW820" s="338"/>
      <c r="BX820" s="338"/>
      <c r="BY820" s="338"/>
      <c r="BZ820" s="338"/>
      <c r="CA820" s="338"/>
      <c r="CB820" s="338"/>
      <c r="CC820" s="338"/>
      <c r="CD820" s="338"/>
      <c r="CE820" s="338"/>
      <c r="CF820" s="338"/>
      <c r="CG820" s="338"/>
      <c r="CH820" s="338"/>
      <c r="CI820" s="338"/>
      <c r="CJ820" s="338"/>
      <c r="CK820" s="338"/>
      <c r="CL820" s="338"/>
    </row>
    <row r="821" ht="14.2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40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  <c r="AV821" s="338"/>
      <c r="AW821" s="338"/>
      <c r="AX821" s="338"/>
      <c r="AY821" s="338"/>
      <c r="AZ821" s="338"/>
      <c r="BA821" s="338"/>
      <c r="BB821" s="338"/>
      <c r="BC821" s="338"/>
      <c r="BD821" s="338"/>
      <c r="BE821" s="338"/>
      <c r="BF821" s="338"/>
      <c r="BG821" s="338"/>
      <c r="BH821" s="338"/>
      <c r="BI821" s="338"/>
      <c r="BJ821" s="338"/>
      <c r="BK821" s="338"/>
      <c r="BL821" s="338"/>
      <c r="BM821" s="338"/>
      <c r="BN821" s="338"/>
      <c r="BO821" s="338"/>
      <c r="BP821" s="338"/>
      <c r="BQ821" s="338"/>
      <c r="BR821" s="338"/>
      <c r="BS821" s="338"/>
      <c r="BT821" s="338"/>
      <c r="BU821" s="338"/>
      <c r="BV821" s="338"/>
      <c r="BW821" s="338"/>
      <c r="BX821" s="338"/>
      <c r="BY821" s="338"/>
      <c r="BZ821" s="338"/>
      <c r="CA821" s="338"/>
      <c r="CB821" s="338"/>
      <c r="CC821" s="338"/>
      <c r="CD821" s="338"/>
      <c r="CE821" s="338"/>
      <c r="CF821" s="338"/>
      <c r="CG821" s="338"/>
      <c r="CH821" s="338"/>
      <c r="CI821" s="338"/>
      <c r="CJ821" s="338"/>
      <c r="CK821" s="338"/>
      <c r="CL821" s="338"/>
    </row>
    <row r="822" ht="14.2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40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  <c r="AV822" s="338"/>
      <c r="AW822" s="338"/>
      <c r="AX822" s="338"/>
      <c r="AY822" s="338"/>
      <c r="AZ822" s="338"/>
      <c r="BA822" s="338"/>
      <c r="BB822" s="338"/>
      <c r="BC822" s="338"/>
      <c r="BD822" s="338"/>
      <c r="BE822" s="338"/>
      <c r="BF822" s="338"/>
      <c r="BG822" s="338"/>
      <c r="BH822" s="338"/>
      <c r="BI822" s="338"/>
      <c r="BJ822" s="338"/>
      <c r="BK822" s="338"/>
      <c r="BL822" s="338"/>
      <c r="BM822" s="338"/>
      <c r="BN822" s="338"/>
      <c r="BO822" s="338"/>
      <c r="BP822" s="338"/>
      <c r="BQ822" s="338"/>
      <c r="BR822" s="338"/>
      <c r="BS822" s="338"/>
      <c r="BT822" s="338"/>
      <c r="BU822" s="338"/>
      <c r="BV822" s="338"/>
      <c r="BW822" s="338"/>
      <c r="BX822" s="338"/>
      <c r="BY822" s="338"/>
      <c r="BZ822" s="338"/>
      <c r="CA822" s="338"/>
      <c r="CB822" s="338"/>
      <c r="CC822" s="338"/>
      <c r="CD822" s="338"/>
      <c r="CE822" s="338"/>
      <c r="CF822" s="338"/>
      <c r="CG822" s="338"/>
      <c r="CH822" s="338"/>
      <c r="CI822" s="338"/>
      <c r="CJ822" s="338"/>
      <c r="CK822" s="338"/>
      <c r="CL822" s="338"/>
    </row>
    <row r="823" ht="14.2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40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  <c r="AV823" s="338"/>
      <c r="AW823" s="338"/>
      <c r="AX823" s="338"/>
      <c r="AY823" s="338"/>
      <c r="AZ823" s="338"/>
      <c r="BA823" s="338"/>
      <c r="BB823" s="338"/>
      <c r="BC823" s="338"/>
      <c r="BD823" s="338"/>
      <c r="BE823" s="338"/>
      <c r="BF823" s="338"/>
      <c r="BG823" s="338"/>
      <c r="BH823" s="338"/>
      <c r="BI823" s="338"/>
      <c r="BJ823" s="338"/>
      <c r="BK823" s="338"/>
      <c r="BL823" s="338"/>
      <c r="BM823" s="338"/>
      <c r="BN823" s="338"/>
      <c r="BO823" s="338"/>
      <c r="BP823" s="338"/>
      <c r="BQ823" s="338"/>
      <c r="BR823" s="338"/>
      <c r="BS823" s="338"/>
      <c r="BT823" s="338"/>
      <c r="BU823" s="338"/>
      <c r="BV823" s="338"/>
      <c r="BW823" s="338"/>
      <c r="BX823" s="338"/>
      <c r="BY823" s="338"/>
      <c r="BZ823" s="338"/>
      <c r="CA823" s="338"/>
      <c r="CB823" s="338"/>
      <c r="CC823" s="338"/>
      <c r="CD823" s="338"/>
      <c r="CE823" s="338"/>
      <c r="CF823" s="338"/>
      <c r="CG823" s="338"/>
      <c r="CH823" s="338"/>
      <c r="CI823" s="338"/>
      <c r="CJ823" s="338"/>
      <c r="CK823" s="338"/>
      <c r="CL823" s="338"/>
    </row>
    <row r="824" ht="14.2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40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  <c r="AV824" s="338"/>
      <c r="AW824" s="338"/>
      <c r="AX824" s="338"/>
      <c r="AY824" s="338"/>
      <c r="AZ824" s="338"/>
      <c r="BA824" s="338"/>
      <c r="BB824" s="338"/>
      <c r="BC824" s="338"/>
      <c r="BD824" s="338"/>
      <c r="BE824" s="338"/>
      <c r="BF824" s="338"/>
      <c r="BG824" s="338"/>
      <c r="BH824" s="338"/>
      <c r="BI824" s="338"/>
      <c r="BJ824" s="338"/>
      <c r="BK824" s="338"/>
      <c r="BL824" s="338"/>
      <c r="BM824" s="338"/>
      <c r="BN824" s="338"/>
      <c r="BO824" s="338"/>
      <c r="BP824" s="338"/>
      <c r="BQ824" s="338"/>
      <c r="BR824" s="338"/>
      <c r="BS824" s="338"/>
      <c r="BT824" s="338"/>
      <c r="BU824" s="338"/>
      <c r="BV824" s="338"/>
      <c r="BW824" s="338"/>
      <c r="BX824" s="338"/>
      <c r="BY824" s="338"/>
      <c r="BZ824" s="338"/>
      <c r="CA824" s="338"/>
      <c r="CB824" s="338"/>
      <c r="CC824" s="338"/>
      <c r="CD824" s="338"/>
      <c r="CE824" s="338"/>
      <c r="CF824" s="338"/>
      <c r="CG824" s="338"/>
      <c r="CH824" s="338"/>
      <c r="CI824" s="338"/>
      <c r="CJ824" s="338"/>
      <c r="CK824" s="338"/>
      <c r="CL824" s="338"/>
    </row>
    <row r="825" ht="14.2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40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  <c r="AV825" s="338"/>
      <c r="AW825" s="338"/>
      <c r="AX825" s="338"/>
      <c r="AY825" s="338"/>
      <c r="AZ825" s="338"/>
      <c r="BA825" s="338"/>
      <c r="BB825" s="338"/>
      <c r="BC825" s="338"/>
      <c r="BD825" s="338"/>
      <c r="BE825" s="338"/>
      <c r="BF825" s="338"/>
      <c r="BG825" s="338"/>
      <c r="BH825" s="338"/>
      <c r="BI825" s="338"/>
      <c r="BJ825" s="338"/>
      <c r="BK825" s="338"/>
      <c r="BL825" s="338"/>
      <c r="BM825" s="338"/>
      <c r="BN825" s="338"/>
      <c r="BO825" s="338"/>
      <c r="BP825" s="338"/>
      <c r="BQ825" s="338"/>
      <c r="BR825" s="338"/>
      <c r="BS825" s="338"/>
      <c r="BT825" s="338"/>
      <c r="BU825" s="338"/>
      <c r="BV825" s="338"/>
      <c r="BW825" s="338"/>
      <c r="BX825" s="338"/>
      <c r="BY825" s="338"/>
      <c r="BZ825" s="338"/>
      <c r="CA825" s="338"/>
      <c r="CB825" s="338"/>
      <c r="CC825" s="338"/>
      <c r="CD825" s="338"/>
      <c r="CE825" s="338"/>
      <c r="CF825" s="338"/>
      <c r="CG825" s="338"/>
      <c r="CH825" s="338"/>
      <c r="CI825" s="338"/>
      <c r="CJ825" s="338"/>
      <c r="CK825" s="338"/>
      <c r="CL825" s="338"/>
    </row>
    <row r="826" ht="14.2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40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  <c r="AV826" s="338"/>
      <c r="AW826" s="338"/>
      <c r="AX826" s="338"/>
      <c r="AY826" s="338"/>
      <c r="AZ826" s="338"/>
      <c r="BA826" s="338"/>
      <c r="BB826" s="338"/>
      <c r="BC826" s="338"/>
      <c r="BD826" s="338"/>
      <c r="BE826" s="338"/>
      <c r="BF826" s="338"/>
      <c r="BG826" s="338"/>
      <c r="BH826" s="338"/>
      <c r="BI826" s="338"/>
      <c r="BJ826" s="338"/>
      <c r="BK826" s="338"/>
      <c r="BL826" s="338"/>
      <c r="BM826" s="338"/>
      <c r="BN826" s="338"/>
      <c r="BO826" s="338"/>
      <c r="BP826" s="338"/>
      <c r="BQ826" s="338"/>
      <c r="BR826" s="338"/>
      <c r="BS826" s="338"/>
      <c r="BT826" s="338"/>
      <c r="BU826" s="338"/>
      <c r="BV826" s="338"/>
      <c r="BW826" s="338"/>
      <c r="BX826" s="338"/>
      <c r="BY826" s="338"/>
      <c r="BZ826" s="338"/>
      <c r="CA826" s="338"/>
      <c r="CB826" s="338"/>
      <c r="CC826" s="338"/>
      <c r="CD826" s="338"/>
      <c r="CE826" s="338"/>
      <c r="CF826" s="338"/>
      <c r="CG826" s="338"/>
      <c r="CH826" s="338"/>
      <c r="CI826" s="338"/>
      <c r="CJ826" s="338"/>
      <c r="CK826" s="338"/>
      <c r="CL826" s="338"/>
    </row>
    <row r="827" ht="14.2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40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  <c r="AV827" s="338"/>
      <c r="AW827" s="338"/>
      <c r="AX827" s="338"/>
      <c r="AY827" s="338"/>
      <c r="AZ827" s="338"/>
      <c r="BA827" s="338"/>
      <c r="BB827" s="338"/>
      <c r="BC827" s="338"/>
      <c r="BD827" s="338"/>
      <c r="BE827" s="338"/>
      <c r="BF827" s="338"/>
      <c r="BG827" s="338"/>
      <c r="BH827" s="338"/>
      <c r="BI827" s="338"/>
      <c r="BJ827" s="338"/>
      <c r="BK827" s="338"/>
      <c r="BL827" s="338"/>
      <c r="BM827" s="338"/>
      <c r="BN827" s="338"/>
      <c r="BO827" s="338"/>
      <c r="BP827" s="338"/>
      <c r="BQ827" s="338"/>
      <c r="BR827" s="338"/>
      <c r="BS827" s="338"/>
      <c r="BT827" s="338"/>
      <c r="BU827" s="338"/>
      <c r="BV827" s="338"/>
      <c r="BW827" s="338"/>
      <c r="BX827" s="338"/>
      <c r="BY827" s="338"/>
      <c r="BZ827" s="338"/>
      <c r="CA827" s="338"/>
      <c r="CB827" s="338"/>
      <c r="CC827" s="338"/>
      <c r="CD827" s="338"/>
      <c r="CE827" s="338"/>
      <c r="CF827" s="338"/>
      <c r="CG827" s="338"/>
      <c r="CH827" s="338"/>
      <c r="CI827" s="338"/>
      <c r="CJ827" s="338"/>
      <c r="CK827" s="338"/>
      <c r="CL827" s="338"/>
    </row>
    <row r="828" ht="14.2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40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  <c r="AV828" s="338"/>
      <c r="AW828" s="338"/>
      <c r="AX828" s="338"/>
      <c r="AY828" s="338"/>
      <c r="AZ828" s="338"/>
      <c r="BA828" s="338"/>
      <c r="BB828" s="338"/>
      <c r="BC828" s="338"/>
      <c r="BD828" s="338"/>
      <c r="BE828" s="338"/>
      <c r="BF828" s="338"/>
      <c r="BG828" s="338"/>
      <c r="BH828" s="338"/>
      <c r="BI828" s="338"/>
      <c r="BJ828" s="338"/>
      <c r="BK828" s="338"/>
      <c r="BL828" s="338"/>
      <c r="BM828" s="338"/>
      <c r="BN828" s="338"/>
      <c r="BO828" s="338"/>
      <c r="BP828" s="338"/>
      <c r="BQ828" s="338"/>
      <c r="BR828" s="338"/>
      <c r="BS828" s="338"/>
      <c r="BT828" s="338"/>
      <c r="BU828" s="338"/>
      <c r="BV828" s="338"/>
      <c r="BW828" s="338"/>
      <c r="BX828" s="338"/>
      <c r="BY828" s="338"/>
      <c r="BZ828" s="338"/>
      <c r="CA828" s="338"/>
      <c r="CB828" s="338"/>
      <c r="CC828" s="338"/>
      <c r="CD828" s="338"/>
      <c r="CE828" s="338"/>
      <c r="CF828" s="338"/>
      <c r="CG828" s="338"/>
      <c r="CH828" s="338"/>
      <c r="CI828" s="338"/>
      <c r="CJ828" s="338"/>
      <c r="CK828" s="338"/>
      <c r="CL828" s="338"/>
    </row>
    <row r="829" ht="14.2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40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  <c r="AV829" s="338"/>
      <c r="AW829" s="338"/>
      <c r="AX829" s="338"/>
      <c r="AY829" s="338"/>
      <c r="AZ829" s="338"/>
      <c r="BA829" s="338"/>
      <c r="BB829" s="338"/>
      <c r="BC829" s="338"/>
      <c r="BD829" s="338"/>
      <c r="BE829" s="338"/>
      <c r="BF829" s="338"/>
      <c r="BG829" s="338"/>
      <c r="BH829" s="338"/>
      <c r="BI829" s="338"/>
      <c r="BJ829" s="338"/>
      <c r="BK829" s="338"/>
      <c r="BL829" s="338"/>
      <c r="BM829" s="338"/>
      <c r="BN829" s="338"/>
      <c r="BO829" s="338"/>
      <c r="BP829" s="338"/>
      <c r="BQ829" s="338"/>
      <c r="BR829" s="338"/>
      <c r="BS829" s="338"/>
      <c r="BT829" s="338"/>
      <c r="BU829" s="338"/>
      <c r="BV829" s="338"/>
      <c r="BW829" s="338"/>
      <c r="BX829" s="338"/>
      <c r="BY829" s="338"/>
      <c r="BZ829" s="338"/>
      <c r="CA829" s="338"/>
      <c r="CB829" s="338"/>
      <c r="CC829" s="338"/>
      <c r="CD829" s="338"/>
      <c r="CE829" s="338"/>
      <c r="CF829" s="338"/>
      <c r="CG829" s="338"/>
      <c r="CH829" s="338"/>
      <c r="CI829" s="338"/>
      <c r="CJ829" s="338"/>
      <c r="CK829" s="338"/>
      <c r="CL829" s="338"/>
    </row>
    <row r="830" ht="14.2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40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  <c r="AV830" s="338"/>
      <c r="AW830" s="338"/>
      <c r="AX830" s="338"/>
      <c r="AY830" s="338"/>
      <c r="AZ830" s="338"/>
      <c r="BA830" s="338"/>
      <c r="BB830" s="338"/>
      <c r="BC830" s="338"/>
      <c r="BD830" s="338"/>
      <c r="BE830" s="338"/>
      <c r="BF830" s="338"/>
      <c r="BG830" s="338"/>
      <c r="BH830" s="338"/>
      <c r="BI830" s="338"/>
      <c r="BJ830" s="338"/>
      <c r="BK830" s="338"/>
      <c r="BL830" s="338"/>
      <c r="BM830" s="338"/>
      <c r="BN830" s="338"/>
      <c r="BO830" s="338"/>
      <c r="BP830" s="338"/>
      <c r="BQ830" s="338"/>
      <c r="BR830" s="338"/>
      <c r="BS830" s="338"/>
      <c r="BT830" s="338"/>
      <c r="BU830" s="338"/>
      <c r="BV830" s="338"/>
      <c r="BW830" s="338"/>
      <c r="BX830" s="338"/>
      <c r="BY830" s="338"/>
      <c r="BZ830" s="338"/>
      <c r="CA830" s="338"/>
      <c r="CB830" s="338"/>
      <c r="CC830" s="338"/>
      <c r="CD830" s="338"/>
      <c r="CE830" s="338"/>
      <c r="CF830" s="338"/>
      <c r="CG830" s="338"/>
      <c r="CH830" s="338"/>
      <c r="CI830" s="338"/>
      <c r="CJ830" s="338"/>
      <c r="CK830" s="338"/>
      <c r="CL830" s="338"/>
    </row>
    <row r="831" ht="14.2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40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  <c r="AV831" s="338"/>
      <c r="AW831" s="338"/>
      <c r="AX831" s="338"/>
      <c r="AY831" s="338"/>
      <c r="AZ831" s="338"/>
      <c r="BA831" s="338"/>
      <c r="BB831" s="338"/>
      <c r="BC831" s="338"/>
      <c r="BD831" s="338"/>
      <c r="BE831" s="338"/>
      <c r="BF831" s="338"/>
      <c r="BG831" s="338"/>
      <c r="BH831" s="338"/>
      <c r="BI831" s="338"/>
      <c r="BJ831" s="338"/>
      <c r="BK831" s="338"/>
      <c r="BL831" s="338"/>
      <c r="BM831" s="338"/>
      <c r="BN831" s="338"/>
      <c r="BO831" s="338"/>
      <c r="BP831" s="338"/>
      <c r="BQ831" s="338"/>
      <c r="BR831" s="338"/>
      <c r="BS831" s="338"/>
      <c r="BT831" s="338"/>
      <c r="BU831" s="338"/>
      <c r="BV831" s="338"/>
      <c r="BW831" s="338"/>
      <c r="BX831" s="338"/>
      <c r="BY831" s="338"/>
      <c r="BZ831" s="338"/>
      <c r="CA831" s="338"/>
      <c r="CB831" s="338"/>
      <c r="CC831" s="338"/>
      <c r="CD831" s="338"/>
      <c r="CE831" s="338"/>
      <c r="CF831" s="338"/>
      <c r="CG831" s="338"/>
      <c r="CH831" s="338"/>
      <c r="CI831" s="338"/>
      <c r="CJ831" s="338"/>
      <c r="CK831" s="338"/>
      <c r="CL831" s="338"/>
    </row>
    <row r="832" ht="14.2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40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  <c r="AV832" s="338"/>
      <c r="AW832" s="338"/>
      <c r="AX832" s="338"/>
      <c r="AY832" s="338"/>
      <c r="AZ832" s="338"/>
      <c r="BA832" s="338"/>
      <c r="BB832" s="338"/>
      <c r="BC832" s="338"/>
      <c r="BD832" s="338"/>
      <c r="BE832" s="338"/>
      <c r="BF832" s="338"/>
      <c r="BG832" s="338"/>
      <c r="BH832" s="338"/>
      <c r="BI832" s="338"/>
      <c r="BJ832" s="338"/>
      <c r="BK832" s="338"/>
      <c r="BL832" s="338"/>
      <c r="BM832" s="338"/>
      <c r="BN832" s="338"/>
      <c r="BO832" s="338"/>
      <c r="BP832" s="338"/>
      <c r="BQ832" s="338"/>
      <c r="BR832" s="338"/>
      <c r="BS832" s="338"/>
      <c r="BT832" s="338"/>
      <c r="BU832" s="338"/>
      <c r="BV832" s="338"/>
      <c r="BW832" s="338"/>
      <c r="BX832" s="338"/>
      <c r="BY832" s="338"/>
      <c r="BZ832" s="338"/>
      <c r="CA832" s="338"/>
      <c r="CB832" s="338"/>
      <c r="CC832" s="338"/>
      <c r="CD832" s="338"/>
      <c r="CE832" s="338"/>
      <c r="CF832" s="338"/>
      <c r="CG832" s="338"/>
      <c r="CH832" s="338"/>
      <c r="CI832" s="338"/>
      <c r="CJ832" s="338"/>
      <c r="CK832" s="338"/>
      <c r="CL832" s="338"/>
    </row>
    <row r="833" ht="14.2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40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  <c r="AV833" s="338"/>
      <c r="AW833" s="338"/>
      <c r="AX833" s="338"/>
      <c r="AY833" s="338"/>
      <c r="AZ833" s="338"/>
      <c r="BA833" s="338"/>
      <c r="BB833" s="338"/>
      <c r="BC833" s="338"/>
      <c r="BD833" s="338"/>
      <c r="BE833" s="338"/>
      <c r="BF833" s="338"/>
      <c r="BG833" s="338"/>
      <c r="BH833" s="338"/>
      <c r="BI833" s="338"/>
      <c r="BJ833" s="338"/>
      <c r="BK833" s="338"/>
      <c r="BL833" s="338"/>
      <c r="BM833" s="338"/>
      <c r="BN833" s="338"/>
      <c r="BO833" s="338"/>
      <c r="BP833" s="338"/>
      <c r="BQ833" s="338"/>
      <c r="BR833" s="338"/>
      <c r="BS833" s="338"/>
      <c r="BT833" s="338"/>
      <c r="BU833" s="338"/>
      <c r="BV833" s="338"/>
      <c r="BW833" s="338"/>
      <c r="BX833" s="338"/>
      <c r="BY833" s="338"/>
      <c r="BZ833" s="338"/>
      <c r="CA833" s="338"/>
      <c r="CB833" s="338"/>
      <c r="CC833" s="338"/>
      <c r="CD833" s="338"/>
      <c r="CE833" s="338"/>
      <c r="CF833" s="338"/>
      <c r="CG833" s="338"/>
      <c r="CH833" s="338"/>
      <c r="CI833" s="338"/>
      <c r="CJ833" s="338"/>
      <c r="CK833" s="338"/>
      <c r="CL833" s="338"/>
    </row>
    <row r="834" ht="14.2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40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  <c r="AV834" s="338"/>
      <c r="AW834" s="338"/>
      <c r="AX834" s="338"/>
      <c r="AY834" s="338"/>
      <c r="AZ834" s="338"/>
      <c r="BA834" s="338"/>
      <c r="BB834" s="338"/>
      <c r="BC834" s="338"/>
      <c r="BD834" s="338"/>
      <c r="BE834" s="338"/>
      <c r="BF834" s="338"/>
      <c r="BG834" s="338"/>
      <c r="BH834" s="338"/>
      <c r="BI834" s="338"/>
      <c r="BJ834" s="338"/>
      <c r="BK834" s="338"/>
      <c r="BL834" s="338"/>
      <c r="BM834" s="338"/>
      <c r="BN834" s="338"/>
      <c r="BO834" s="338"/>
      <c r="BP834" s="338"/>
      <c r="BQ834" s="338"/>
      <c r="BR834" s="338"/>
      <c r="BS834" s="338"/>
      <c r="BT834" s="338"/>
      <c r="BU834" s="338"/>
      <c r="BV834" s="338"/>
      <c r="BW834" s="338"/>
      <c r="BX834" s="338"/>
      <c r="BY834" s="338"/>
      <c r="BZ834" s="338"/>
      <c r="CA834" s="338"/>
      <c r="CB834" s="338"/>
      <c r="CC834" s="338"/>
      <c r="CD834" s="338"/>
      <c r="CE834" s="338"/>
      <c r="CF834" s="338"/>
      <c r="CG834" s="338"/>
      <c r="CH834" s="338"/>
      <c r="CI834" s="338"/>
      <c r="CJ834" s="338"/>
      <c r="CK834" s="338"/>
      <c r="CL834" s="338"/>
    </row>
    <row r="835" ht="14.2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40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  <c r="AV835" s="338"/>
      <c r="AW835" s="338"/>
      <c r="AX835" s="338"/>
      <c r="AY835" s="338"/>
      <c r="AZ835" s="338"/>
      <c r="BA835" s="338"/>
      <c r="BB835" s="338"/>
      <c r="BC835" s="338"/>
      <c r="BD835" s="338"/>
      <c r="BE835" s="338"/>
      <c r="BF835" s="338"/>
      <c r="BG835" s="338"/>
      <c r="BH835" s="338"/>
      <c r="BI835" s="338"/>
      <c r="BJ835" s="338"/>
      <c r="BK835" s="338"/>
      <c r="BL835" s="338"/>
      <c r="BM835" s="338"/>
      <c r="BN835" s="338"/>
      <c r="BO835" s="338"/>
      <c r="BP835" s="338"/>
      <c r="BQ835" s="338"/>
      <c r="BR835" s="338"/>
      <c r="BS835" s="338"/>
      <c r="BT835" s="338"/>
      <c r="BU835" s="338"/>
      <c r="BV835" s="338"/>
      <c r="BW835" s="338"/>
      <c r="BX835" s="338"/>
      <c r="BY835" s="338"/>
      <c r="BZ835" s="338"/>
      <c r="CA835" s="338"/>
      <c r="CB835" s="338"/>
      <c r="CC835" s="338"/>
      <c r="CD835" s="338"/>
      <c r="CE835" s="338"/>
      <c r="CF835" s="338"/>
      <c r="CG835" s="338"/>
      <c r="CH835" s="338"/>
      <c r="CI835" s="338"/>
      <c r="CJ835" s="338"/>
      <c r="CK835" s="338"/>
      <c r="CL835" s="338"/>
    </row>
    <row r="836" ht="14.2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40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  <c r="AV836" s="338"/>
      <c r="AW836" s="338"/>
      <c r="AX836" s="338"/>
      <c r="AY836" s="338"/>
      <c r="AZ836" s="338"/>
      <c r="BA836" s="338"/>
      <c r="BB836" s="338"/>
      <c r="BC836" s="338"/>
      <c r="BD836" s="338"/>
      <c r="BE836" s="338"/>
      <c r="BF836" s="338"/>
      <c r="BG836" s="338"/>
      <c r="BH836" s="338"/>
      <c r="BI836" s="338"/>
      <c r="BJ836" s="338"/>
      <c r="BK836" s="338"/>
      <c r="BL836" s="338"/>
      <c r="BM836" s="338"/>
      <c r="BN836" s="338"/>
      <c r="BO836" s="338"/>
      <c r="BP836" s="338"/>
      <c r="BQ836" s="338"/>
      <c r="BR836" s="338"/>
      <c r="BS836" s="338"/>
      <c r="BT836" s="338"/>
      <c r="BU836" s="338"/>
      <c r="BV836" s="338"/>
      <c r="BW836" s="338"/>
      <c r="BX836" s="338"/>
      <c r="BY836" s="338"/>
      <c r="BZ836" s="338"/>
      <c r="CA836" s="338"/>
      <c r="CB836" s="338"/>
      <c r="CC836" s="338"/>
      <c r="CD836" s="338"/>
      <c r="CE836" s="338"/>
      <c r="CF836" s="338"/>
      <c r="CG836" s="338"/>
      <c r="CH836" s="338"/>
      <c r="CI836" s="338"/>
      <c r="CJ836" s="338"/>
      <c r="CK836" s="338"/>
      <c r="CL836" s="338"/>
    </row>
    <row r="837" ht="14.2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40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  <c r="AV837" s="338"/>
      <c r="AW837" s="338"/>
      <c r="AX837" s="338"/>
      <c r="AY837" s="338"/>
      <c r="AZ837" s="338"/>
      <c r="BA837" s="338"/>
      <c r="BB837" s="338"/>
      <c r="BC837" s="338"/>
      <c r="BD837" s="338"/>
      <c r="BE837" s="338"/>
      <c r="BF837" s="338"/>
      <c r="BG837" s="338"/>
      <c r="BH837" s="338"/>
      <c r="BI837" s="338"/>
      <c r="BJ837" s="338"/>
      <c r="BK837" s="338"/>
      <c r="BL837" s="338"/>
      <c r="BM837" s="338"/>
      <c r="BN837" s="338"/>
      <c r="BO837" s="338"/>
      <c r="BP837" s="338"/>
      <c r="BQ837" s="338"/>
      <c r="BR837" s="338"/>
      <c r="BS837" s="338"/>
      <c r="BT837" s="338"/>
      <c r="BU837" s="338"/>
      <c r="BV837" s="338"/>
      <c r="BW837" s="338"/>
      <c r="BX837" s="338"/>
      <c r="BY837" s="338"/>
      <c r="BZ837" s="338"/>
      <c r="CA837" s="338"/>
      <c r="CB837" s="338"/>
      <c r="CC837" s="338"/>
      <c r="CD837" s="338"/>
      <c r="CE837" s="338"/>
      <c r="CF837" s="338"/>
      <c r="CG837" s="338"/>
      <c r="CH837" s="338"/>
      <c r="CI837" s="338"/>
      <c r="CJ837" s="338"/>
      <c r="CK837" s="338"/>
      <c r="CL837" s="338"/>
    </row>
    <row r="838" ht="14.2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40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  <c r="AV838" s="338"/>
      <c r="AW838" s="338"/>
      <c r="AX838" s="338"/>
      <c r="AY838" s="338"/>
      <c r="AZ838" s="338"/>
      <c r="BA838" s="338"/>
      <c r="BB838" s="338"/>
      <c r="BC838" s="338"/>
      <c r="BD838" s="338"/>
      <c r="BE838" s="338"/>
      <c r="BF838" s="338"/>
      <c r="BG838" s="338"/>
      <c r="BH838" s="338"/>
      <c r="BI838" s="338"/>
      <c r="BJ838" s="338"/>
      <c r="BK838" s="338"/>
      <c r="BL838" s="338"/>
      <c r="BM838" s="338"/>
      <c r="BN838" s="338"/>
      <c r="BO838" s="338"/>
      <c r="BP838" s="338"/>
      <c r="BQ838" s="338"/>
      <c r="BR838" s="338"/>
      <c r="BS838" s="338"/>
      <c r="BT838" s="338"/>
      <c r="BU838" s="338"/>
      <c r="BV838" s="338"/>
      <c r="BW838" s="338"/>
      <c r="BX838" s="338"/>
      <c r="BY838" s="338"/>
      <c r="BZ838" s="338"/>
      <c r="CA838" s="338"/>
      <c r="CB838" s="338"/>
      <c r="CC838" s="338"/>
      <c r="CD838" s="338"/>
      <c r="CE838" s="338"/>
      <c r="CF838" s="338"/>
      <c r="CG838" s="338"/>
      <c r="CH838" s="338"/>
      <c r="CI838" s="338"/>
      <c r="CJ838" s="338"/>
      <c r="CK838" s="338"/>
      <c r="CL838" s="338"/>
    </row>
    <row r="839" ht="14.2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40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  <c r="AV839" s="338"/>
      <c r="AW839" s="338"/>
      <c r="AX839" s="338"/>
      <c r="AY839" s="338"/>
      <c r="AZ839" s="338"/>
      <c r="BA839" s="338"/>
      <c r="BB839" s="338"/>
      <c r="BC839" s="338"/>
      <c r="BD839" s="338"/>
      <c r="BE839" s="338"/>
      <c r="BF839" s="338"/>
      <c r="BG839" s="338"/>
      <c r="BH839" s="338"/>
      <c r="BI839" s="338"/>
      <c r="BJ839" s="338"/>
      <c r="BK839" s="338"/>
      <c r="BL839" s="338"/>
      <c r="BM839" s="338"/>
      <c r="BN839" s="338"/>
      <c r="BO839" s="338"/>
      <c r="BP839" s="338"/>
      <c r="BQ839" s="338"/>
      <c r="BR839" s="338"/>
      <c r="BS839" s="338"/>
      <c r="BT839" s="338"/>
      <c r="BU839" s="338"/>
      <c r="BV839" s="338"/>
      <c r="BW839" s="338"/>
      <c r="BX839" s="338"/>
      <c r="BY839" s="338"/>
      <c r="BZ839" s="338"/>
      <c r="CA839" s="338"/>
      <c r="CB839" s="338"/>
      <c r="CC839" s="338"/>
      <c r="CD839" s="338"/>
      <c r="CE839" s="338"/>
      <c r="CF839" s="338"/>
      <c r="CG839" s="338"/>
      <c r="CH839" s="338"/>
      <c r="CI839" s="338"/>
      <c r="CJ839" s="338"/>
      <c r="CK839" s="338"/>
      <c r="CL839" s="338"/>
    </row>
    <row r="840" ht="14.2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40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  <c r="AV840" s="338"/>
      <c r="AW840" s="338"/>
      <c r="AX840" s="338"/>
      <c r="AY840" s="338"/>
      <c r="AZ840" s="338"/>
      <c r="BA840" s="338"/>
      <c r="BB840" s="338"/>
      <c r="BC840" s="338"/>
      <c r="BD840" s="338"/>
      <c r="BE840" s="338"/>
      <c r="BF840" s="338"/>
      <c r="BG840" s="338"/>
      <c r="BH840" s="338"/>
      <c r="BI840" s="338"/>
      <c r="BJ840" s="338"/>
      <c r="BK840" s="338"/>
      <c r="BL840" s="338"/>
      <c r="BM840" s="338"/>
      <c r="BN840" s="338"/>
      <c r="BO840" s="338"/>
      <c r="BP840" s="338"/>
      <c r="BQ840" s="338"/>
      <c r="BR840" s="338"/>
      <c r="BS840" s="338"/>
      <c r="BT840" s="338"/>
      <c r="BU840" s="338"/>
      <c r="BV840" s="338"/>
      <c r="BW840" s="338"/>
      <c r="BX840" s="338"/>
      <c r="BY840" s="338"/>
      <c r="BZ840" s="338"/>
      <c r="CA840" s="338"/>
      <c r="CB840" s="338"/>
      <c r="CC840" s="338"/>
      <c r="CD840" s="338"/>
      <c r="CE840" s="338"/>
      <c r="CF840" s="338"/>
      <c r="CG840" s="338"/>
      <c r="CH840" s="338"/>
      <c r="CI840" s="338"/>
      <c r="CJ840" s="338"/>
      <c r="CK840" s="338"/>
      <c r="CL840" s="338"/>
    </row>
    <row r="841" ht="14.2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40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  <c r="AV841" s="338"/>
      <c r="AW841" s="338"/>
      <c r="AX841" s="338"/>
      <c r="AY841" s="338"/>
      <c r="AZ841" s="338"/>
      <c r="BA841" s="338"/>
      <c r="BB841" s="338"/>
      <c r="BC841" s="338"/>
      <c r="BD841" s="338"/>
      <c r="BE841" s="338"/>
      <c r="BF841" s="338"/>
      <c r="BG841" s="338"/>
      <c r="BH841" s="338"/>
      <c r="BI841" s="338"/>
      <c r="BJ841" s="338"/>
      <c r="BK841" s="338"/>
      <c r="BL841" s="338"/>
      <c r="BM841" s="338"/>
      <c r="BN841" s="338"/>
      <c r="BO841" s="338"/>
      <c r="BP841" s="338"/>
      <c r="BQ841" s="338"/>
      <c r="BR841" s="338"/>
      <c r="BS841" s="338"/>
      <c r="BT841" s="338"/>
      <c r="BU841" s="338"/>
      <c r="BV841" s="338"/>
      <c r="BW841" s="338"/>
      <c r="BX841" s="338"/>
      <c r="BY841" s="338"/>
      <c r="BZ841" s="338"/>
      <c r="CA841" s="338"/>
      <c r="CB841" s="338"/>
      <c r="CC841" s="338"/>
      <c r="CD841" s="338"/>
      <c r="CE841" s="338"/>
      <c r="CF841" s="338"/>
      <c r="CG841" s="338"/>
      <c r="CH841" s="338"/>
      <c r="CI841" s="338"/>
      <c r="CJ841" s="338"/>
      <c r="CK841" s="338"/>
      <c r="CL841" s="338"/>
    </row>
    <row r="842" ht="14.2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40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  <c r="AV842" s="338"/>
      <c r="AW842" s="338"/>
      <c r="AX842" s="338"/>
      <c r="AY842" s="338"/>
      <c r="AZ842" s="338"/>
      <c r="BA842" s="338"/>
      <c r="BB842" s="338"/>
      <c r="BC842" s="338"/>
      <c r="BD842" s="338"/>
      <c r="BE842" s="338"/>
      <c r="BF842" s="338"/>
      <c r="BG842" s="338"/>
      <c r="BH842" s="338"/>
      <c r="BI842" s="338"/>
      <c r="BJ842" s="338"/>
      <c r="BK842" s="338"/>
      <c r="BL842" s="338"/>
      <c r="BM842" s="338"/>
      <c r="BN842" s="338"/>
      <c r="BO842" s="338"/>
      <c r="BP842" s="338"/>
      <c r="BQ842" s="338"/>
      <c r="BR842" s="338"/>
      <c r="BS842" s="338"/>
      <c r="BT842" s="338"/>
      <c r="BU842" s="338"/>
      <c r="BV842" s="338"/>
      <c r="BW842" s="338"/>
      <c r="BX842" s="338"/>
      <c r="BY842" s="338"/>
      <c r="BZ842" s="338"/>
      <c r="CA842" s="338"/>
      <c r="CB842" s="338"/>
      <c r="CC842" s="338"/>
      <c r="CD842" s="338"/>
      <c r="CE842" s="338"/>
      <c r="CF842" s="338"/>
      <c r="CG842" s="338"/>
      <c r="CH842" s="338"/>
      <c r="CI842" s="338"/>
      <c r="CJ842" s="338"/>
      <c r="CK842" s="338"/>
      <c r="CL842" s="338"/>
    </row>
    <row r="843" ht="14.2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40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  <c r="AV843" s="338"/>
      <c r="AW843" s="338"/>
      <c r="AX843" s="338"/>
      <c r="AY843" s="338"/>
      <c r="AZ843" s="338"/>
      <c r="BA843" s="338"/>
      <c r="BB843" s="338"/>
      <c r="BC843" s="338"/>
      <c r="BD843" s="338"/>
      <c r="BE843" s="338"/>
      <c r="BF843" s="338"/>
      <c r="BG843" s="338"/>
      <c r="BH843" s="338"/>
      <c r="BI843" s="338"/>
      <c r="BJ843" s="338"/>
      <c r="BK843" s="338"/>
      <c r="BL843" s="338"/>
      <c r="BM843" s="338"/>
      <c r="BN843" s="338"/>
      <c r="BO843" s="338"/>
      <c r="BP843" s="338"/>
      <c r="BQ843" s="338"/>
      <c r="BR843" s="338"/>
      <c r="BS843" s="338"/>
      <c r="BT843" s="338"/>
      <c r="BU843" s="338"/>
      <c r="BV843" s="338"/>
      <c r="BW843" s="338"/>
      <c r="BX843" s="338"/>
      <c r="BY843" s="338"/>
      <c r="BZ843" s="338"/>
      <c r="CA843" s="338"/>
      <c r="CB843" s="338"/>
      <c r="CC843" s="338"/>
      <c r="CD843" s="338"/>
      <c r="CE843" s="338"/>
      <c r="CF843" s="338"/>
      <c r="CG843" s="338"/>
      <c r="CH843" s="338"/>
      <c r="CI843" s="338"/>
      <c r="CJ843" s="338"/>
      <c r="CK843" s="338"/>
      <c r="CL843" s="338"/>
    </row>
    <row r="844" ht="14.2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40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  <c r="AV844" s="338"/>
      <c r="AW844" s="338"/>
      <c r="AX844" s="338"/>
      <c r="AY844" s="338"/>
      <c r="AZ844" s="338"/>
      <c r="BA844" s="338"/>
      <c r="BB844" s="338"/>
      <c r="BC844" s="338"/>
      <c r="BD844" s="338"/>
      <c r="BE844" s="338"/>
      <c r="BF844" s="338"/>
      <c r="BG844" s="338"/>
      <c r="BH844" s="338"/>
      <c r="BI844" s="338"/>
      <c r="BJ844" s="338"/>
      <c r="BK844" s="338"/>
      <c r="BL844" s="338"/>
      <c r="BM844" s="338"/>
      <c r="BN844" s="338"/>
      <c r="BO844" s="338"/>
      <c r="BP844" s="338"/>
      <c r="BQ844" s="338"/>
      <c r="BR844" s="338"/>
      <c r="BS844" s="338"/>
      <c r="BT844" s="338"/>
      <c r="BU844" s="338"/>
      <c r="BV844" s="338"/>
      <c r="BW844" s="338"/>
      <c r="BX844" s="338"/>
      <c r="BY844" s="338"/>
      <c r="BZ844" s="338"/>
      <c r="CA844" s="338"/>
      <c r="CB844" s="338"/>
      <c r="CC844" s="338"/>
      <c r="CD844" s="338"/>
      <c r="CE844" s="338"/>
      <c r="CF844" s="338"/>
      <c r="CG844" s="338"/>
      <c r="CH844" s="338"/>
      <c r="CI844" s="338"/>
      <c r="CJ844" s="338"/>
      <c r="CK844" s="338"/>
      <c r="CL844" s="338"/>
    </row>
    <row r="845" ht="14.2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40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  <c r="AV845" s="338"/>
      <c r="AW845" s="338"/>
      <c r="AX845" s="338"/>
      <c r="AY845" s="338"/>
      <c r="AZ845" s="338"/>
      <c r="BA845" s="338"/>
      <c r="BB845" s="338"/>
      <c r="BC845" s="338"/>
      <c r="BD845" s="338"/>
      <c r="BE845" s="338"/>
      <c r="BF845" s="338"/>
      <c r="BG845" s="338"/>
      <c r="BH845" s="338"/>
      <c r="BI845" s="338"/>
      <c r="BJ845" s="338"/>
      <c r="BK845" s="338"/>
      <c r="BL845" s="338"/>
      <c r="BM845" s="338"/>
      <c r="BN845" s="338"/>
      <c r="BO845" s="338"/>
      <c r="BP845" s="338"/>
      <c r="BQ845" s="338"/>
      <c r="BR845" s="338"/>
      <c r="BS845" s="338"/>
      <c r="BT845" s="338"/>
      <c r="BU845" s="338"/>
      <c r="BV845" s="338"/>
      <c r="BW845" s="338"/>
      <c r="BX845" s="338"/>
      <c r="BY845" s="338"/>
      <c r="BZ845" s="338"/>
      <c r="CA845" s="338"/>
      <c r="CB845" s="338"/>
      <c r="CC845" s="338"/>
      <c r="CD845" s="338"/>
      <c r="CE845" s="338"/>
      <c r="CF845" s="338"/>
      <c r="CG845" s="338"/>
      <c r="CH845" s="338"/>
      <c r="CI845" s="338"/>
      <c r="CJ845" s="338"/>
      <c r="CK845" s="338"/>
      <c r="CL845" s="338"/>
    </row>
    <row r="846" ht="14.2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40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  <c r="AV846" s="338"/>
      <c r="AW846" s="338"/>
      <c r="AX846" s="338"/>
      <c r="AY846" s="338"/>
      <c r="AZ846" s="338"/>
      <c r="BA846" s="338"/>
      <c r="BB846" s="338"/>
      <c r="BC846" s="338"/>
      <c r="BD846" s="338"/>
      <c r="BE846" s="338"/>
      <c r="BF846" s="338"/>
      <c r="BG846" s="338"/>
      <c r="BH846" s="338"/>
      <c r="BI846" s="338"/>
      <c r="BJ846" s="338"/>
      <c r="BK846" s="338"/>
      <c r="BL846" s="338"/>
      <c r="BM846" s="338"/>
      <c r="BN846" s="338"/>
      <c r="BO846" s="338"/>
      <c r="BP846" s="338"/>
      <c r="BQ846" s="338"/>
      <c r="BR846" s="338"/>
      <c r="BS846" s="338"/>
      <c r="BT846" s="338"/>
      <c r="BU846" s="338"/>
      <c r="BV846" s="338"/>
      <c r="BW846" s="338"/>
      <c r="BX846" s="338"/>
      <c r="BY846" s="338"/>
      <c r="BZ846" s="338"/>
      <c r="CA846" s="338"/>
      <c r="CB846" s="338"/>
      <c r="CC846" s="338"/>
      <c r="CD846" s="338"/>
      <c r="CE846" s="338"/>
      <c r="CF846" s="338"/>
      <c r="CG846" s="338"/>
      <c r="CH846" s="338"/>
      <c r="CI846" s="338"/>
      <c r="CJ846" s="338"/>
      <c r="CK846" s="338"/>
      <c r="CL846" s="338"/>
    </row>
    <row r="847" ht="14.2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40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  <c r="AV847" s="338"/>
      <c r="AW847" s="338"/>
      <c r="AX847" s="338"/>
      <c r="AY847" s="338"/>
      <c r="AZ847" s="338"/>
      <c r="BA847" s="338"/>
      <c r="BB847" s="338"/>
      <c r="BC847" s="338"/>
      <c r="BD847" s="338"/>
      <c r="BE847" s="338"/>
      <c r="BF847" s="338"/>
      <c r="BG847" s="338"/>
      <c r="BH847" s="338"/>
      <c r="BI847" s="338"/>
      <c r="BJ847" s="338"/>
      <c r="BK847" s="338"/>
      <c r="BL847" s="338"/>
      <c r="BM847" s="338"/>
      <c r="BN847" s="338"/>
      <c r="BO847" s="338"/>
      <c r="BP847" s="338"/>
      <c r="BQ847" s="338"/>
      <c r="BR847" s="338"/>
      <c r="BS847" s="338"/>
      <c r="BT847" s="338"/>
      <c r="BU847" s="338"/>
      <c r="BV847" s="338"/>
      <c r="BW847" s="338"/>
      <c r="BX847" s="338"/>
      <c r="BY847" s="338"/>
      <c r="BZ847" s="338"/>
      <c r="CA847" s="338"/>
      <c r="CB847" s="338"/>
      <c r="CC847" s="338"/>
      <c r="CD847" s="338"/>
      <c r="CE847" s="338"/>
      <c r="CF847" s="338"/>
      <c r="CG847" s="338"/>
      <c r="CH847" s="338"/>
      <c r="CI847" s="338"/>
      <c r="CJ847" s="338"/>
      <c r="CK847" s="338"/>
      <c r="CL847" s="338"/>
    </row>
    <row r="848" ht="14.2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40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  <c r="AV848" s="338"/>
      <c r="AW848" s="338"/>
      <c r="AX848" s="338"/>
      <c r="AY848" s="338"/>
      <c r="AZ848" s="338"/>
      <c r="BA848" s="338"/>
      <c r="BB848" s="338"/>
      <c r="BC848" s="338"/>
      <c r="BD848" s="338"/>
      <c r="BE848" s="338"/>
      <c r="BF848" s="338"/>
      <c r="BG848" s="338"/>
      <c r="BH848" s="338"/>
      <c r="BI848" s="338"/>
      <c r="BJ848" s="338"/>
      <c r="BK848" s="338"/>
      <c r="BL848" s="338"/>
      <c r="BM848" s="338"/>
      <c r="BN848" s="338"/>
      <c r="BO848" s="338"/>
      <c r="BP848" s="338"/>
      <c r="BQ848" s="338"/>
      <c r="BR848" s="338"/>
      <c r="BS848" s="338"/>
      <c r="BT848" s="338"/>
      <c r="BU848" s="338"/>
      <c r="BV848" s="338"/>
      <c r="BW848" s="338"/>
      <c r="BX848" s="338"/>
      <c r="BY848" s="338"/>
      <c r="BZ848" s="338"/>
      <c r="CA848" s="338"/>
      <c r="CB848" s="338"/>
      <c r="CC848" s="338"/>
      <c r="CD848" s="338"/>
      <c r="CE848" s="338"/>
      <c r="CF848" s="338"/>
      <c r="CG848" s="338"/>
      <c r="CH848" s="338"/>
      <c r="CI848" s="338"/>
      <c r="CJ848" s="338"/>
      <c r="CK848" s="338"/>
      <c r="CL848" s="338"/>
    </row>
    <row r="849" ht="14.2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40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  <c r="AV849" s="338"/>
      <c r="AW849" s="338"/>
      <c r="AX849" s="338"/>
      <c r="AY849" s="338"/>
      <c r="AZ849" s="338"/>
      <c r="BA849" s="338"/>
      <c r="BB849" s="338"/>
      <c r="BC849" s="338"/>
      <c r="BD849" s="338"/>
      <c r="BE849" s="338"/>
      <c r="BF849" s="338"/>
      <c r="BG849" s="338"/>
      <c r="BH849" s="338"/>
      <c r="BI849" s="338"/>
      <c r="BJ849" s="338"/>
      <c r="BK849" s="338"/>
      <c r="BL849" s="338"/>
      <c r="BM849" s="338"/>
      <c r="BN849" s="338"/>
      <c r="BO849" s="338"/>
      <c r="BP849" s="338"/>
      <c r="BQ849" s="338"/>
      <c r="BR849" s="338"/>
      <c r="BS849" s="338"/>
      <c r="BT849" s="338"/>
      <c r="BU849" s="338"/>
      <c r="BV849" s="338"/>
      <c r="BW849" s="338"/>
      <c r="BX849" s="338"/>
      <c r="BY849" s="338"/>
      <c r="BZ849" s="338"/>
      <c r="CA849" s="338"/>
      <c r="CB849" s="338"/>
      <c r="CC849" s="338"/>
      <c r="CD849" s="338"/>
      <c r="CE849" s="338"/>
      <c r="CF849" s="338"/>
      <c r="CG849" s="338"/>
      <c r="CH849" s="338"/>
      <c r="CI849" s="338"/>
      <c r="CJ849" s="338"/>
      <c r="CK849" s="338"/>
      <c r="CL849" s="338"/>
    </row>
    <row r="850" ht="14.2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40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  <c r="AV850" s="338"/>
      <c r="AW850" s="338"/>
      <c r="AX850" s="338"/>
      <c r="AY850" s="338"/>
      <c r="AZ850" s="338"/>
      <c r="BA850" s="338"/>
      <c r="BB850" s="338"/>
      <c r="BC850" s="338"/>
      <c r="BD850" s="338"/>
      <c r="BE850" s="338"/>
      <c r="BF850" s="338"/>
      <c r="BG850" s="338"/>
      <c r="BH850" s="338"/>
      <c r="BI850" s="338"/>
      <c r="BJ850" s="338"/>
      <c r="BK850" s="338"/>
      <c r="BL850" s="338"/>
      <c r="BM850" s="338"/>
      <c r="BN850" s="338"/>
      <c r="BO850" s="338"/>
      <c r="BP850" s="338"/>
      <c r="BQ850" s="338"/>
      <c r="BR850" s="338"/>
      <c r="BS850" s="338"/>
      <c r="BT850" s="338"/>
      <c r="BU850" s="338"/>
      <c r="BV850" s="338"/>
      <c r="BW850" s="338"/>
      <c r="BX850" s="338"/>
      <c r="BY850" s="338"/>
      <c r="BZ850" s="338"/>
      <c r="CA850" s="338"/>
      <c r="CB850" s="338"/>
      <c r="CC850" s="338"/>
      <c r="CD850" s="338"/>
      <c r="CE850" s="338"/>
      <c r="CF850" s="338"/>
      <c r="CG850" s="338"/>
      <c r="CH850" s="338"/>
      <c r="CI850" s="338"/>
      <c r="CJ850" s="338"/>
      <c r="CK850" s="338"/>
      <c r="CL850" s="338"/>
    </row>
    <row r="851" ht="14.2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40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  <c r="AV851" s="338"/>
      <c r="AW851" s="338"/>
      <c r="AX851" s="338"/>
      <c r="AY851" s="338"/>
      <c r="AZ851" s="338"/>
      <c r="BA851" s="338"/>
      <c r="BB851" s="338"/>
      <c r="BC851" s="338"/>
      <c r="BD851" s="338"/>
      <c r="BE851" s="338"/>
      <c r="BF851" s="338"/>
      <c r="BG851" s="338"/>
      <c r="BH851" s="338"/>
      <c r="BI851" s="338"/>
      <c r="BJ851" s="338"/>
      <c r="BK851" s="338"/>
      <c r="BL851" s="338"/>
      <c r="BM851" s="338"/>
      <c r="BN851" s="338"/>
      <c r="BO851" s="338"/>
      <c r="BP851" s="338"/>
      <c r="BQ851" s="338"/>
      <c r="BR851" s="338"/>
      <c r="BS851" s="338"/>
      <c r="BT851" s="338"/>
      <c r="BU851" s="338"/>
      <c r="BV851" s="338"/>
      <c r="BW851" s="338"/>
      <c r="BX851" s="338"/>
      <c r="BY851" s="338"/>
      <c r="BZ851" s="338"/>
      <c r="CA851" s="338"/>
      <c r="CB851" s="338"/>
      <c r="CC851" s="338"/>
      <c r="CD851" s="338"/>
      <c r="CE851" s="338"/>
      <c r="CF851" s="338"/>
      <c r="CG851" s="338"/>
      <c r="CH851" s="338"/>
      <c r="CI851" s="338"/>
      <c r="CJ851" s="338"/>
      <c r="CK851" s="338"/>
      <c r="CL851" s="338"/>
    </row>
    <row r="852" ht="14.2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40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  <c r="AV852" s="338"/>
      <c r="AW852" s="338"/>
      <c r="AX852" s="338"/>
      <c r="AY852" s="338"/>
      <c r="AZ852" s="338"/>
      <c r="BA852" s="338"/>
      <c r="BB852" s="338"/>
      <c r="BC852" s="338"/>
      <c r="BD852" s="338"/>
      <c r="BE852" s="338"/>
      <c r="BF852" s="338"/>
      <c r="BG852" s="338"/>
      <c r="BH852" s="338"/>
      <c r="BI852" s="338"/>
      <c r="BJ852" s="338"/>
      <c r="BK852" s="338"/>
      <c r="BL852" s="338"/>
      <c r="BM852" s="338"/>
      <c r="BN852" s="338"/>
      <c r="BO852" s="338"/>
      <c r="BP852" s="338"/>
      <c r="BQ852" s="338"/>
      <c r="BR852" s="338"/>
      <c r="BS852" s="338"/>
      <c r="BT852" s="338"/>
      <c r="BU852" s="338"/>
      <c r="BV852" s="338"/>
      <c r="BW852" s="338"/>
      <c r="BX852" s="338"/>
      <c r="BY852" s="338"/>
      <c r="BZ852" s="338"/>
      <c r="CA852" s="338"/>
      <c r="CB852" s="338"/>
      <c r="CC852" s="338"/>
      <c r="CD852" s="338"/>
      <c r="CE852" s="338"/>
      <c r="CF852" s="338"/>
      <c r="CG852" s="338"/>
      <c r="CH852" s="338"/>
      <c r="CI852" s="338"/>
      <c r="CJ852" s="338"/>
      <c r="CK852" s="338"/>
      <c r="CL852" s="338"/>
    </row>
    <row r="853" ht="14.2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40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  <c r="AV853" s="338"/>
      <c r="AW853" s="338"/>
      <c r="AX853" s="338"/>
      <c r="AY853" s="338"/>
      <c r="AZ853" s="338"/>
      <c r="BA853" s="338"/>
      <c r="BB853" s="338"/>
      <c r="BC853" s="338"/>
      <c r="BD853" s="338"/>
      <c r="BE853" s="338"/>
      <c r="BF853" s="338"/>
      <c r="BG853" s="338"/>
      <c r="BH853" s="338"/>
      <c r="BI853" s="338"/>
      <c r="BJ853" s="338"/>
      <c r="BK853" s="338"/>
      <c r="BL853" s="338"/>
      <c r="BM853" s="338"/>
      <c r="BN853" s="338"/>
      <c r="BO853" s="338"/>
      <c r="BP853" s="338"/>
      <c r="BQ853" s="338"/>
      <c r="BR853" s="338"/>
      <c r="BS853" s="338"/>
      <c r="BT853" s="338"/>
      <c r="BU853" s="338"/>
      <c r="BV853" s="338"/>
      <c r="BW853" s="338"/>
      <c r="BX853" s="338"/>
      <c r="BY853" s="338"/>
      <c r="BZ853" s="338"/>
      <c r="CA853" s="338"/>
      <c r="CB853" s="338"/>
      <c r="CC853" s="338"/>
      <c r="CD853" s="338"/>
      <c r="CE853" s="338"/>
      <c r="CF853" s="338"/>
      <c r="CG853" s="338"/>
      <c r="CH853" s="338"/>
      <c r="CI853" s="338"/>
      <c r="CJ853" s="338"/>
      <c r="CK853" s="338"/>
      <c r="CL853" s="338"/>
    </row>
    <row r="854" ht="14.2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40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  <c r="AV854" s="338"/>
      <c r="AW854" s="338"/>
      <c r="AX854" s="338"/>
      <c r="AY854" s="338"/>
      <c r="AZ854" s="338"/>
      <c r="BA854" s="338"/>
      <c r="BB854" s="338"/>
      <c r="BC854" s="338"/>
      <c r="BD854" s="338"/>
      <c r="BE854" s="338"/>
      <c r="BF854" s="338"/>
      <c r="BG854" s="338"/>
      <c r="BH854" s="338"/>
      <c r="BI854" s="338"/>
      <c r="BJ854" s="338"/>
      <c r="BK854" s="338"/>
      <c r="BL854" s="338"/>
      <c r="BM854" s="338"/>
      <c r="BN854" s="338"/>
      <c r="BO854" s="338"/>
      <c r="BP854" s="338"/>
      <c r="BQ854" s="338"/>
      <c r="BR854" s="338"/>
      <c r="BS854" s="338"/>
      <c r="BT854" s="338"/>
      <c r="BU854" s="338"/>
      <c r="BV854" s="338"/>
      <c r="BW854" s="338"/>
      <c r="BX854" s="338"/>
      <c r="BY854" s="338"/>
      <c r="BZ854" s="338"/>
      <c r="CA854" s="338"/>
      <c r="CB854" s="338"/>
      <c r="CC854" s="338"/>
      <c r="CD854" s="338"/>
      <c r="CE854" s="338"/>
      <c r="CF854" s="338"/>
      <c r="CG854" s="338"/>
      <c r="CH854" s="338"/>
      <c r="CI854" s="338"/>
      <c r="CJ854" s="338"/>
      <c r="CK854" s="338"/>
      <c r="CL854" s="338"/>
    </row>
    <row r="855" ht="14.2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40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  <c r="AV855" s="338"/>
      <c r="AW855" s="338"/>
      <c r="AX855" s="338"/>
      <c r="AY855" s="338"/>
      <c r="AZ855" s="338"/>
      <c r="BA855" s="338"/>
      <c r="BB855" s="338"/>
      <c r="BC855" s="338"/>
      <c r="BD855" s="338"/>
      <c r="BE855" s="338"/>
      <c r="BF855" s="338"/>
      <c r="BG855" s="338"/>
      <c r="BH855" s="338"/>
      <c r="BI855" s="338"/>
      <c r="BJ855" s="338"/>
      <c r="BK855" s="338"/>
      <c r="BL855" s="338"/>
      <c r="BM855" s="338"/>
      <c r="BN855" s="338"/>
      <c r="BO855" s="338"/>
      <c r="BP855" s="338"/>
      <c r="BQ855" s="338"/>
      <c r="BR855" s="338"/>
      <c r="BS855" s="338"/>
      <c r="BT855" s="338"/>
      <c r="BU855" s="338"/>
      <c r="BV855" s="338"/>
      <c r="BW855" s="338"/>
      <c r="BX855" s="338"/>
      <c r="BY855" s="338"/>
      <c r="BZ855" s="338"/>
      <c r="CA855" s="338"/>
      <c r="CB855" s="338"/>
      <c r="CC855" s="338"/>
      <c r="CD855" s="338"/>
      <c r="CE855" s="338"/>
      <c r="CF855" s="338"/>
      <c r="CG855" s="338"/>
      <c r="CH855" s="338"/>
      <c r="CI855" s="338"/>
      <c r="CJ855" s="338"/>
      <c r="CK855" s="338"/>
      <c r="CL855" s="338"/>
    </row>
    <row r="856" ht="14.2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40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  <c r="AV856" s="338"/>
      <c r="AW856" s="338"/>
      <c r="AX856" s="338"/>
      <c r="AY856" s="338"/>
      <c r="AZ856" s="338"/>
      <c r="BA856" s="338"/>
      <c r="BB856" s="338"/>
      <c r="BC856" s="338"/>
      <c r="BD856" s="338"/>
      <c r="BE856" s="338"/>
      <c r="BF856" s="338"/>
      <c r="BG856" s="338"/>
      <c r="BH856" s="338"/>
      <c r="BI856" s="338"/>
      <c r="BJ856" s="338"/>
      <c r="BK856" s="338"/>
      <c r="BL856" s="338"/>
      <c r="BM856" s="338"/>
      <c r="BN856" s="338"/>
      <c r="BO856" s="338"/>
      <c r="BP856" s="338"/>
      <c r="BQ856" s="338"/>
      <c r="BR856" s="338"/>
      <c r="BS856" s="338"/>
      <c r="BT856" s="338"/>
      <c r="BU856" s="338"/>
      <c r="BV856" s="338"/>
      <c r="BW856" s="338"/>
      <c r="BX856" s="338"/>
      <c r="BY856" s="338"/>
      <c r="BZ856" s="338"/>
      <c r="CA856" s="338"/>
      <c r="CB856" s="338"/>
      <c r="CC856" s="338"/>
      <c r="CD856" s="338"/>
      <c r="CE856" s="338"/>
      <c r="CF856" s="338"/>
      <c r="CG856" s="338"/>
      <c r="CH856" s="338"/>
      <c r="CI856" s="338"/>
      <c r="CJ856" s="338"/>
      <c r="CK856" s="338"/>
      <c r="CL856" s="338"/>
    </row>
    <row r="857" ht="14.2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40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  <c r="AV857" s="338"/>
      <c r="AW857" s="338"/>
      <c r="AX857" s="338"/>
      <c r="AY857" s="338"/>
      <c r="AZ857" s="338"/>
      <c r="BA857" s="338"/>
      <c r="BB857" s="338"/>
      <c r="BC857" s="338"/>
      <c r="BD857" s="338"/>
      <c r="BE857" s="338"/>
      <c r="BF857" s="338"/>
      <c r="BG857" s="338"/>
      <c r="BH857" s="338"/>
      <c r="BI857" s="338"/>
      <c r="BJ857" s="338"/>
      <c r="BK857" s="338"/>
      <c r="BL857" s="338"/>
      <c r="BM857" s="338"/>
      <c r="BN857" s="338"/>
      <c r="BO857" s="338"/>
      <c r="BP857" s="338"/>
      <c r="BQ857" s="338"/>
      <c r="BR857" s="338"/>
      <c r="BS857" s="338"/>
      <c r="BT857" s="338"/>
      <c r="BU857" s="338"/>
      <c r="BV857" s="338"/>
      <c r="BW857" s="338"/>
      <c r="BX857" s="338"/>
      <c r="BY857" s="338"/>
      <c r="BZ857" s="338"/>
      <c r="CA857" s="338"/>
      <c r="CB857" s="338"/>
      <c r="CC857" s="338"/>
      <c r="CD857" s="338"/>
      <c r="CE857" s="338"/>
      <c r="CF857" s="338"/>
      <c r="CG857" s="338"/>
      <c r="CH857" s="338"/>
      <c r="CI857" s="338"/>
      <c r="CJ857" s="338"/>
      <c r="CK857" s="338"/>
      <c r="CL857" s="338"/>
    </row>
    <row r="858" ht="14.2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40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  <c r="AV858" s="338"/>
      <c r="AW858" s="338"/>
      <c r="AX858" s="338"/>
      <c r="AY858" s="338"/>
      <c r="AZ858" s="338"/>
      <c r="BA858" s="338"/>
      <c r="BB858" s="338"/>
      <c r="BC858" s="338"/>
      <c r="BD858" s="338"/>
      <c r="BE858" s="338"/>
      <c r="BF858" s="338"/>
      <c r="BG858" s="338"/>
      <c r="BH858" s="338"/>
      <c r="BI858" s="338"/>
      <c r="BJ858" s="338"/>
      <c r="BK858" s="338"/>
      <c r="BL858" s="338"/>
      <c r="BM858" s="338"/>
      <c r="BN858" s="338"/>
      <c r="BO858" s="338"/>
      <c r="BP858" s="338"/>
      <c r="BQ858" s="338"/>
      <c r="BR858" s="338"/>
      <c r="BS858" s="338"/>
      <c r="BT858" s="338"/>
      <c r="BU858" s="338"/>
      <c r="BV858" s="338"/>
      <c r="BW858" s="338"/>
      <c r="BX858" s="338"/>
      <c r="BY858" s="338"/>
      <c r="BZ858" s="338"/>
      <c r="CA858" s="338"/>
      <c r="CB858" s="338"/>
      <c r="CC858" s="338"/>
      <c r="CD858" s="338"/>
      <c r="CE858" s="338"/>
      <c r="CF858" s="338"/>
      <c r="CG858" s="338"/>
      <c r="CH858" s="338"/>
      <c r="CI858" s="338"/>
      <c r="CJ858" s="338"/>
      <c r="CK858" s="338"/>
      <c r="CL858" s="338"/>
    </row>
    <row r="859" ht="14.2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40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  <c r="AV859" s="338"/>
      <c r="AW859" s="338"/>
      <c r="AX859" s="338"/>
      <c r="AY859" s="338"/>
      <c r="AZ859" s="338"/>
      <c r="BA859" s="338"/>
      <c r="BB859" s="338"/>
      <c r="BC859" s="338"/>
      <c r="BD859" s="338"/>
      <c r="BE859" s="338"/>
      <c r="BF859" s="338"/>
      <c r="BG859" s="338"/>
      <c r="BH859" s="338"/>
      <c r="BI859" s="338"/>
      <c r="BJ859" s="338"/>
      <c r="BK859" s="338"/>
      <c r="BL859" s="338"/>
      <c r="BM859" s="338"/>
      <c r="BN859" s="338"/>
      <c r="BO859" s="338"/>
      <c r="BP859" s="338"/>
      <c r="BQ859" s="338"/>
      <c r="BR859" s="338"/>
      <c r="BS859" s="338"/>
      <c r="BT859" s="338"/>
      <c r="BU859" s="338"/>
      <c r="BV859" s="338"/>
      <c r="BW859" s="338"/>
      <c r="BX859" s="338"/>
      <c r="BY859" s="338"/>
      <c r="BZ859" s="338"/>
      <c r="CA859" s="338"/>
      <c r="CB859" s="338"/>
      <c r="CC859" s="338"/>
      <c r="CD859" s="338"/>
      <c r="CE859" s="338"/>
      <c r="CF859" s="338"/>
      <c r="CG859" s="338"/>
      <c r="CH859" s="338"/>
      <c r="CI859" s="338"/>
      <c r="CJ859" s="338"/>
      <c r="CK859" s="338"/>
      <c r="CL859" s="338"/>
    </row>
    <row r="860" ht="14.2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40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  <c r="AV860" s="338"/>
      <c r="AW860" s="338"/>
      <c r="AX860" s="338"/>
      <c r="AY860" s="338"/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338"/>
      <c r="BV860" s="338"/>
      <c r="BW860" s="338"/>
      <c r="BX860" s="338"/>
      <c r="BY860" s="338"/>
      <c r="BZ860" s="338"/>
      <c r="CA860" s="338"/>
      <c r="CB860" s="338"/>
      <c r="CC860" s="338"/>
      <c r="CD860" s="338"/>
      <c r="CE860" s="338"/>
      <c r="CF860" s="338"/>
      <c r="CG860" s="338"/>
      <c r="CH860" s="338"/>
      <c r="CI860" s="338"/>
      <c r="CJ860" s="338"/>
      <c r="CK860" s="338"/>
      <c r="CL860" s="338"/>
    </row>
    <row r="861" ht="14.2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40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  <c r="AV861" s="338"/>
      <c r="AW861" s="338"/>
      <c r="AX861" s="338"/>
      <c r="AY861" s="338"/>
      <c r="AZ861" s="338"/>
      <c r="BA861" s="338"/>
      <c r="BB861" s="338"/>
      <c r="BC861" s="338"/>
      <c r="BD861" s="338"/>
      <c r="BE861" s="338"/>
      <c r="BF861" s="338"/>
      <c r="BG861" s="338"/>
      <c r="BH861" s="338"/>
      <c r="BI861" s="338"/>
      <c r="BJ861" s="338"/>
      <c r="BK861" s="338"/>
      <c r="BL861" s="338"/>
      <c r="BM861" s="338"/>
      <c r="BN861" s="338"/>
      <c r="BO861" s="338"/>
      <c r="BP861" s="338"/>
      <c r="BQ861" s="338"/>
      <c r="BR861" s="338"/>
      <c r="BS861" s="338"/>
      <c r="BT861" s="338"/>
      <c r="BU861" s="338"/>
      <c r="BV861" s="338"/>
      <c r="BW861" s="338"/>
      <c r="BX861" s="338"/>
      <c r="BY861" s="338"/>
      <c r="BZ861" s="338"/>
      <c r="CA861" s="338"/>
      <c r="CB861" s="338"/>
      <c r="CC861" s="338"/>
      <c r="CD861" s="338"/>
      <c r="CE861" s="338"/>
      <c r="CF861" s="338"/>
      <c r="CG861" s="338"/>
      <c r="CH861" s="338"/>
      <c r="CI861" s="338"/>
      <c r="CJ861" s="338"/>
      <c r="CK861" s="338"/>
      <c r="CL861" s="338"/>
    </row>
    <row r="862" ht="14.2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40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  <c r="AV862" s="338"/>
      <c r="AW862" s="338"/>
      <c r="AX862" s="338"/>
      <c r="AY862" s="338"/>
      <c r="AZ862" s="338"/>
      <c r="BA862" s="338"/>
      <c r="BB862" s="338"/>
      <c r="BC862" s="338"/>
      <c r="BD862" s="338"/>
      <c r="BE862" s="338"/>
      <c r="BF862" s="338"/>
      <c r="BG862" s="338"/>
      <c r="BH862" s="338"/>
      <c r="BI862" s="338"/>
      <c r="BJ862" s="338"/>
      <c r="BK862" s="338"/>
      <c r="BL862" s="338"/>
      <c r="BM862" s="338"/>
      <c r="BN862" s="338"/>
      <c r="BO862" s="338"/>
      <c r="BP862" s="338"/>
      <c r="BQ862" s="338"/>
      <c r="BR862" s="338"/>
      <c r="BS862" s="338"/>
      <c r="BT862" s="338"/>
      <c r="BU862" s="338"/>
      <c r="BV862" s="338"/>
      <c r="BW862" s="338"/>
      <c r="BX862" s="338"/>
      <c r="BY862" s="338"/>
      <c r="BZ862" s="338"/>
      <c r="CA862" s="338"/>
      <c r="CB862" s="338"/>
      <c r="CC862" s="338"/>
      <c r="CD862" s="338"/>
      <c r="CE862" s="338"/>
      <c r="CF862" s="338"/>
      <c r="CG862" s="338"/>
      <c r="CH862" s="338"/>
      <c r="CI862" s="338"/>
      <c r="CJ862" s="338"/>
      <c r="CK862" s="338"/>
      <c r="CL862" s="338"/>
    </row>
    <row r="863" ht="14.2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40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  <c r="AV863" s="338"/>
      <c r="AW863" s="338"/>
      <c r="AX863" s="338"/>
      <c r="AY863" s="338"/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338"/>
      <c r="BV863" s="338"/>
      <c r="BW863" s="338"/>
      <c r="BX863" s="338"/>
      <c r="BY863" s="338"/>
      <c r="BZ863" s="338"/>
      <c r="CA863" s="338"/>
      <c r="CB863" s="338"/>
      <c r="CC863" s="338"/>
      <c r="CD863" s="338"/>
      <c r="CE863" s="338"/>
      <c r="CF863" s="338"/>
      <c r="CG863" s="338"/>
      <c r="CH863" s="338"/>
      <c r="CI863" s="338"/>
      <c r="CJ863" s="338"/>
      <c r="CK863" s="338"/>
      <c r="CL863" s="338"/>
    </row>
    <row r="864" ht="14.2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40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  <c r="AV864" s="338"/>
      <c r="AW864" s="338"/>
      <c r="AX864" s="338"/>
      <c r="AY864" s="338"/>
      <c r="AZ864" s="338"/>
      <c r="BA864" s="338"/>
      <c r="BB864" s="338"/>
      <c r="BC864" s="338"/>
      <c r="BD864" s="338"/>
      <c r="BE864" s="338"/>
      <c r="BF864" s="338"/>
      <c r="BG864" s="338"/>
      <c r="BH864" s="338"/>
      <c r="BI864" s="338"/>
      <c r="BJ864" s="338"/>
      <c r="BK864" s="338"/>
      <c r="BL864" s="338"/>
      <c r="BM864" s="338"/>
      <c r="BN864" s="338"/>
      <c r="BO864" s="338"/>
      <c r="BP864" s="338"/>
      <c r="BQ864" s="338"/>
      <c r="BR864" s="338"/>
      <c r="BS864" s="338"/>
      <c r="BT864" s="338"/>
      <c r="BU864" s="338"/>
      <c r="BV864" s="338"/>
      <c r="BW864" s="338"/>
      <c r="BX864" s="338"/>
      <c r="BY864" s="338"/>
      <c r="BZ864" s="338"/>
      <c r="CA864" s="338"/>
      <c r="CB864" s="338"/>
      <c r="CC864" s="338"/>
      <c r="CD864" s="338"/>
      <c r="CE864" s="338"/>
      <c r="CF864" s="338"/>
      <c r="CG864" s="338"/>
      <c r="CH864" s="338"/>
      <c r="CI864" s="338"/>
      <c r="CJ864" s="338"/>
      <c r="CK864" s="338"/>
      <c r="CL864" s="338"/>
    </row>
    <row r="865" ht="14.2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40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  <c r="AV865" s="338"/>
      <c r="AW865" s="338"/>
      <c r="AX865" s="338"/>
      <c r="AY865" s="338"/>
      <c r="AZ865" s="338"/>
      <c r="BA865" s="338"/>
      <c r="BB865" s="338"/>
      <c r="BC865" s="338"/>
      <c r="BD865" s="338"/>
      <c r="BE865" s="338"/>
      <c r="BF865" s="338"/>
      <c r="BG865" s="338"/>
      <c r="BH865" s="338"/>
      <c r="BI865" s="338"/>
      <c r="BJ865" s="338"/>
      <c r="BK865" s="338"/>
      <c r="BL865" s="338"/>
      <c r="BM865" s="338"/>
      <c r="BN865" s="338"/>
      <c r="BO865" s="338"/>
      <c r="BP865" s="338"/>
      <c r="BQ865" s="338"/>
      <c r="BR865" s="338"/>
      <c r="BS865" s="338"/>
      <c r="BT865" s="338"/>
      <c r="BU865" s="338"/>
      <c r="BV865" s="338"/>
      <c r="BW865" s="338"/>
      <c r="BX865" s="338"/>
      <c r="BY865" s="338"/>
      <c r="BZ865" s="338"/>
      <c r="CA865" s="338"/>
      <c r="CB865" s="338"/>
      <c r="CC865" s="338"/>
      <c r="CD865" s="338"/>
      <c r="CE865" s="338"/>
      <c r="CF865" s="338"/>
      <c r="CG865" s="338"/>
      <c r="CH865" s="338"/>
      <c r="CI865" s="338"/>
      <c r="CJ865" s="338"/>
      <c r="CK865" s="338"/>
      <c r="CL865" s="338"/>
    </row>
    <row r="866" ht="14.2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40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  <c r="AV866" s="338"/>
      <c r="AW866" s="338"/>
      <c r="AX866" s="338"/>
      <c r="AY866" s="338"/>
      <c r="AZ866" s="338"/>
      <c r="BA866" s="338"/>
      <c r="BB866" s="338"/>
      <c r="BC866" s="338"/>
      <c r="BD866" s="338"/>
      <c r="BE866" s="338"/>
      <c r="BF866" s="338"/>
      <c r="BG866" s="338"/>
      <c r="BH866" s="338"/>
      <c r="BI866" s="338"/>
      <c r="BJ866" s="338"/>
      <c r="BK866" s="338"/>
      <c r="BL866" s="338"/>
      <c r="BM866" s="338"/>
      <c r="BN866" s="338"/>
      <c r="BO866" s="338"/>
      <c r="BP866" s="338"/>
      <c r="BQ866" s="338"/>
      <c r="BR866" s="338"/>
      <c r="BS866" s="338"/>
      <c r="BT866" s="338"/>
      <c r="BU866" s="338"/>
      <c r="BV866" s="338"/>
      <c r="BW866" s="338"/>
      <c r="BX866" s="338"/>
      <c r="BY866" s="338"/>
      <c r="BZ866" s="338"/>
      <c r="CA866" s="338"/>
      <c r="CB866" s="338"/>
      <c r="CC866" s="338"/>
      <c r="CD866" s="338"/>
      <c r="CE866" s="338"/>
      <c r="CF866" s="338"/>
      <c r="CG866" s="338"/>
      <c r="CH866" s="338"/>
      <c r="CI866" s="338"/>
      <c r="CJ866" s="338"/>
      <c r="CK866" s="338"/>
      <c r="CL866" s="338"/>
    </row>
    <row r="867" ht="14.2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40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  <c r="AV867" s="338"/>
      <c r="AW867" s="338"/>
      <c r="AX867" s="338"/>
      <c r="AY867" s="338"/>
      <c r="AZ867" s="338"/>
      <c r="BA867" s="338"/>
      <c r="BB867" s="338"/>
      <c r="BC867" s="338"/>
      <c r="BD867" s="338"/>
      <c r="BE867" s="338"/>
      <c r="BF867" s="338"/>
      <c r="BG867" s="338"/>
      <c r="BH867" s="338"/>
      <c r="BI867" s="338"/>
      <c r="BJ867" s="338"/>
      <c r="BK867" s="338"/>
      <c r="BL867" s="338"/>
      <c r="BM867" s="338"/>
      <c r="BN867" s="338"/>
      <c r="BO867" s="338"/>
      <c r="BP867" s="338"/>
      <c r="BQ867" s="338"/>
      <c r="BR867" s="338"/>
      <c r="BS867" s="338"/>
      <c r="BT867" s="338"/>
      <c r="BU867" s="338"/>
      <c r="BV867" s="338"/>
      <c r="BW867" s="338"/>
      <c r="BX867" s="338"/>
      <c r="BY867" s="338"/>
      <c r="BZ867" s="338"/>
      <c r="CA867" s="338"/>
      <c r="CB867" s="338"/>
      <c r="CC867" s="338"/>
      <c r="CD867" s="338"/>
      <c r="CE867" s="338"/>
      <c r="CF867" s="338"/>
      <c r="CG867" s="338"/>
      <c r="CH867" s="338"/>
      <c r="CI867" s="338"/>
      <c r="CJ867" s="338"/>
      <c r="CK867" s="338"/>
      <c r="CL867" s="338"/>
    </row>
    <row r="868" ht="14.2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40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  <c r="AV868" s="338"/>
      <c r="AW868" s="338"/>
      <c r="AX868" s="338"/>
      <c r="AY868" s="338"/>
      <c r="AZ868" s="338"/>
      <c r="BA868" s="338"/>
      <c r="BB868" s="338"/>
      <c r="BC868" s="338"/>
      <c r="BD868" s="338"/>
      <c r="BE868" s="338"/>
      <c r="BF868" s="338"/>
      <c r="BG868" s="338"/>
      <c r="BH868" s="338"/>
      <c r="BI868" s="338"/>
      <c r="BJ868" s="338"/>
      <c r="BK868" s="338"/>
      <c r="BL868" s="338"/>
      <c r="BM868" s="338"/>
      <c r="BN868" s="338"/>
      <c r="BO868" s="338"/>
      <c r="BP868" s="338"/>
      <c r="BQ868" s="338"/>
      <c r="BR868" s="338"/>
      <c r="BS868" s="338"/>
      <c r="BT868" s="338"/>
      <c r="BU868" s="338"/>
      <c r="BV868" s="338"/>
      <c r="BW868" s="338"/>
      <c r="BX868" s="338"/>
      <c r="BY868" s="338"/>
      <c r="BZ868" s="338"/>
      <c r="CA868" s="338"/>
      <c r="CB868" s="338"/>
      <c r="CC868" s="338"/>
      <c r="CD868" s="338"/>
      <c r="CE868" s="338"/>
      <c r="CF868" s="338"/>
      <c r="CG868" s="338"/>
      <c r="CH868" s="338"/>
      <c r="CI868" s="338"/>
      <c r="CJ868" s="338"/>
      <c r="CK868" s="338"/>
      <c r="CL868" s="338"/>
    </row>
    <row r="869" ht="14.2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40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  <c r="AV869" s="338"/>
      <c r="AW869" s="338"/>
      <c r="AX869" s="338"/>
      <c r="AY869" s="338"/>
      <c r="AZ869" s="338"/>
      <c r="BA869" s="338"/>
      <c r="BB869" s="338"/>
      <c r="BC869" s="338"/>
      <c r="BD869" s="338"/>
      <c r="BE869" s="338"/>
      <c r="BF869" s="338"/>
      <c r="BG869" s="338"/>
      <c r="BH869" s="338"/>
      <c r="BI869" s="338"/>
      <c r="BJ869" s="338"/>
      <c r="BK869" s="338"/>
      <c r="BL869" s="338"/>
      <c r="BM869" s="338"/>
      <c r="BN869" s="338"/>
      <c r="BO869" s="338"/>
      <c r="BP869" s="338"/>
      <c r="BQ869" s="338"/>
      <c r="BR869" s="338"/>
      <c r="BS869" s="338"/>
      <c r="BT869" s="338"/>
      <c r="BU869" s="338"/>
      <c r="BV869" s="338"/>
      <c r="BW869" s="338"/>
      <c r="BX869" s="338"/>
      <c r="BY869" s="338"/>
      <c r="BZ869" s="338"/>
      <c r="CA869" s="338"/>
      <c r="CB869" s="338"/>
      <c r="CC869" s="338"/>
      <c r="CD869" s="338"/>
      <c r="CE869" s="338"/>
      <c r="CF869" s="338"/>
      <c r="CG869" s="338"/>
      <c r="CH869" s="338"/>
      <c r="CI869" s="338"/>
      <c r="CJ869" s="338"/>
      <c r="CK869" s="338"/>
      <c r="CL869" s="338"/>
    </row>
    <row r="870" ht="14.2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40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  <c r="AV870" s="338"/>
      <c r="AW870" s="338"/>
      <c r="AX870" s="338"/>
      <c r="AY870" s="338"/>
      <c r="AZ870" s="338"/>
      <c r="BA870" s="338"/>
      <c r="BB870" s="338"/>
      <c r="BC870" s="338"/>
      <c r="BD870" s="338"/>
      <c r="BE870" s="338"/>
      <c r="BF870" s="338"/>
      <c r="BG870" s="338"/>
      <c r="BH870" s="338"/>
      <c r="BI870" s="338"/>
      <c r="BJ870" s="338"/>
      <c r="BK870" s="338"/>
      <c r="BL870" s="338"/>
      <c r="BM870" s="338"/>
      <c r="BN870" s="338"/>
      <c r="BO870" s="338"/>
      <c r="BP870" s="338"/>
      <c r="BQ870" s="338"/>
      <c r="BR870" s="338"/>
      <c r="BS870" s="338"/>
      <c r="BT870" s="338"/>
      <c r="BU870" s="338"/>
      <c r="BV870" s="338"/>
      <c r="BW870" s="338"/>
      <c r="BX870" s="338"/>
      <c r="BY870" s="338"/>
      <c r="BZ870" s="338"/>
      <c r="CA870" s="338"/>
      <c r="CB870" s="338"/>
      <c r="CC870" s="338"/>
      <c r="CD870" s="338"/>
      <c r="CE870" s="338"/>
      <c r="CF870" s="338"/>
      <c r="CG870" s="338"/>
      <c r="CH870" s="338"/>
      <c r="CI870" s="338"/>
      <c r="CJ870" s="338"/>
      <c r="CK870" s="338"/>
      <c r="CL870" s="338"/>
    </row>
    <row r="871" ht="14.2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40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  <c r="AV871" s="338"/>
      <c r="AW871" s="338"/>
      <c r="AX871" s="338"/>
      <c r="AY871" s="338"/>
      <c r="AZ871" s="338"/>
      <c r="BA871" s="338"/>
      <c r="BB871" s="338"/>
      <c r="BC871" s="338"/>
      <c r="BD871" s="338"/>
      <c r="BE871" s="338"/>
      <c r="BF871" s="338"/>
      <c r="BG871" s="338"/>
      <c r="BH871" s="338"/>
      <c r="BI871" s="338"/>
      <c r="BJ871" s="338"/>
      <c r="BK871" s="338"/>
      <c r="BL871" s="338"/>
      <c r="BM871" s="338"/>
      <c r="BN871" s="338"/>
      <c r="BO871" s="338"/>
      <c r="BP871" s="338"/>
      <c r="BQ871" s="338"/>
      <c r="BR871" s="338"/>
      <c r="BS871" s="338"/>
      <c r="BT871" s="338"/>
      <c r="BU871" s="338"/>
      <c r="BV871" s="338"/>
      <c r="BW871" s="338"/>
      <c r="BX871" s="338"/>
      <c r="BY871" s="338"/>
      <c r="BZ871" s="338"/>
      <c r="CA871" s="338"/>
      <c r="CB871" s="338"/>
      <c r="CC871" s="338"/>
      <c r="CD871" s="338"/>
      <c r="CE871" s="338"/>
      <c r="CF871" s="338"/>
      <c r="CG871" s="338"/>
      <c r="CH871" s="338"/>
      <c r="CI871" s="338"/>
      <c r="CJ871" s="338"/>
      <c r="CK871" s="338"/>
      <c r="CL871" s="338"/>
    </row>
    <row r="872" ht="14.2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40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  <c r="AV872" s="338"/>
      <c r="AW872" s="338"/>
      <c r="AX872" s="338"/>
      <c r="AY872" s="338"/>
      <c r="AZ872" s="338"/>
      <c r="BA872" s="338"/>
      <c r="BB872" s="338"/>
      <c r="BC872" s="338"/>
      <c r="BD872" s="338"/>
      <c r="BE872" s="338"/>
      <c r="BF872" s="338"/>
      <c r="BG872" s="338"/>
      <c r="BH872" s="338"/>
      <c r="BI872" s="338"/>
      <c r="BJ872" s="338"/>
      <c r="BK872" s="338"/>
      <c r="BL872" s="338"/>
      <c r="BM872" s="338"/>
      <c r="BN872" s="338"/>
      <c r="BO872" s="338"/>
      <c r="BP872" s="338"/>
      <c r="BQ872" s="338"/>
      <c r="BR872" s="338"/>
      <c r="BS872" s="338"/>
      <c r="BT872" s="338"/>
      <c r="BU872" s="338"/>
      <c r="BV872" s="338"/>
      <c r="BW872" s="338"/>
      <c r="BX872" s="338"/>
      <c r="BY872" s="338"/>
      <c r="BZ872" s="338"/>
      <c r="CA872" s="338"/>
      <c r="CB872" s="338"/>
      <c r="CC872" s="338"/>
      <c r="CD872" s="338"/>
      <c r="CE872" s="338"/>
      <c r="CF872" s="338"/>
      <c r="CG872" s="338"/>
      <c r="CH872" s="338"/>
      <c r="CI872" s="338"/>
      <c r="CJ872" s="338"/>
      <c r="CK872" s="338"/>
      <c r="CL872" s="338"/>
    </row>
    <row r="873" ht="14.2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40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  <c r="AV873" s="338"/>
      <c r="AW873" s="338"/>
      <c r="AX873" s="338"/>
      <c r="AY873" s="338"/>
      <c r="AZ873" s="338"/>
      <c r="BA873" s="338"/>
      <c r="BB873" s="338"/>
      <c r="BC873" s="338"/>
      <c r="BD873" s="338"/>
      <c r="BE873" s="338"/>
      <c r="BF873" s="338"/>
      <c r="BG873" s="338"/>
      <c r="BH873" s="338"/>
      <c r="BI873" s="338"/>
      <c r="BJ873" s="338"/>
      <c r="BK873" s="338"/>
      <c r="BL873" s="338"/>
      <c r="BM873" s="338"/>
      <c r="BN873" s="338"/>
      <c r="BO873" s="338"/>
      <c r="BP873" s="338"/>
      <c r="BQ873" s="338"/>
      <c r="BR873" s="338"/>
      <c r="BS873" s="338"/>
      <c r="BT873" s="338"/>
      <c r="BU873" s="338"/>
      <c r="BV873" s="338"/>
      <c r="BW873" s="338"/>
      <c r="BX873" s="338"/>
      <c r="BY873" s="338"/>
      <c r="BZ873" s="338"/>
      <c r="CA873" s="338"/>
      <c r="CB873" s="338"/>
      <c r="CC873" s="338"/>
      <c r="CD873" s="338"/>
      <c r="CE873" s="338"/>
      <c r="CF873" s="338"/>
      <c r="CG873" s="338"/>
      <c r="CH873" s="338"/>
      <c r="CI873" s="338"/>
      <c r="CJ873" s="338"/>
      <c r="CK873" s="338"/>
      <c r="CL873" s="338"/>
    </row>
    <row r="874" ht="14.2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40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  <c r="AV874" s="338"/>
      <c r="AW874" s="338"/>
      <c r="AX874" s="338"/>
      <c r="AY874" s="338"/>
      <c r="AZ874" s="338"/>
      <c r="BA874" s="338"/>
      <c r="BB874" s="338"/>
      <c r="BC874" s="338"/>
      <c r="BD874" s="338"/>
      <c r="BE874" s="338"/>
      <c r="BF874" s="338"/>
      <c r="BG874" s="338"/>
      <c r="BH874" s="338"/>
      <c r="BI874" s="338"/>
      <c r="BJ874" s="338"/>
      <c r="BK874" s="338"/>
      <c r="BL874" s="338"/>
      <c r="BM874" s="338"/>
      <c r="BN874" s="338"/>
      <c r="BO874" s="338"/>
      <c r="BP874" s="338"/>
      <c r="BQ874" s="338"/>
      <c r="BR874" s="338"/>
      <c r="BS874" s="338"/>
      <c r="BT874" s="338"/>
      <c r="BU874" s="338"/>
      <c r="BV874" s="338"/>
      <c r="BW874" s="338"/>
      <c r="BX874" s="338"/>
      <c r="BY874" s="338"/>
      <c r="BZ874" s="338"/>
      <c r="CA874" s="338"/>
      <c r="CB874" s="338"/>
      <c r="CC874" s="338"/>
      <c r="CD874" s="338"/>
      <c r="CE874" s="338"/>
      <c r="CF874" s="338"/>
      <c r="CG874" s="338"/>
      <c r="CH874" s="338"/>
      <c r="CI874" s="338"/>
      <c r="CJ874" s="338"/>
      <c r="CK874" s="338"/>
      <c r="CL874" s="338"/>
    </row>
    <row r="875" ht="14.2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40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  <c r="AV875" s="338"/>
      <c r="AW875" s="338"/>
      <c r="AX875" s="338"/>
      <c r="AY875" s="338"/>
      <c r="AZ875" s="338"/>
      <c r="BA875" s="338"/>
      <c r="BB875" s="338"/>
      <c r="BC875" s="338"/>
      <c r="BD875" s="338"/>
      <c r="BE875" s="338"/>
      <c r="BF875" s="338"/>
      <c r="BG875" s="338"/>
      <c r="BH875" s="338"/>
      <c r="BI875" s="338"/>
      <c r="BJ875" s="338"/>
      <c r="BK875" s="338"/>
      <c r="BL875" s="338"/>
      <c r="BM875" s="338"/>
      <c r="BN875" s="338"/>
      <c r="BO875" s="338"/>
      <c r="BP875" s="338"/>
      <c r="BQ875" s="338"/>
      <c r="BR875" s="338"/>
      <c r="BS875" s="338"/>
      <c r="BT875" s="338"/>
      <c r="BU875" s="338"/>
      <c r="BV875" s="338"/>
      <c r="BW875" s="338"/>
      <c r="BX875" s="338"/>
      <c r="BY875" s="338"/>
      <c r="BZ875" s="338"/>
      <c r="CA875" s="338"/>
      <c r="CB875" s="338"/>
      <c r="CC875" s="338"/>
      <c r="CD875" s="338"/>
      <c r="CE875" s="338"/>
      <c r="CF875" s="338"/>
      <c r="CG875" s="338"/>
      <c r="CH875" s="338"/>
      <c r="CI875" s="338"/>
      <c r="CJ875" s="338"/>
      <c r="CK875" s="338"/>
      <c r="CL875" s="338"/>
    </row>
    <row r="876" ht="14.2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40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  <c r="AV876" s="338"/>
      <c r="AW876" s="338"/>
      <c r="AX876" s="338"/>
      <c r="AY876" s="338"/>
      <c r="AZ876" s="338"/>
      <c r="BA876" s="338"/>
      <c r="BB876" s="338"/>
      <c r="BC876" s="338"/>
      <c r="BD876" s="338"/>
      <c r="BE876" s="338"/>
      <c r="BF876" s="338"/>
      <c r="BG876" s="338"/>
      <c r="BH876" s="338"/>
      <c r="BI876" s="338"/>
      <c r="BJ876" s="338"/>
      <c r="BK876" s="338"/>
      <c r="BL876" s="338"/>
      <c r="BM876" s="338"/>
      <c r="BN876" s="338"/>
      <c r="BO876" s="338"/>
      <c r="BP876" s="338"/>
      <c r="BQ876" s="338"/>
      <c r="BR876" s="338"/>
      <c r="BS876" s="338"/>
      <c r="BT876" s="338"/>
      <c r="BU876" s="338"/>
      <c r="BV876" s="338"/>
      <c r="BW876" s="338"/>
      <c r="BX876" s="338"/>
      <c r="BY876" s="338"/>
      <c r="BZ876" s="338"/>
      <c r="CA876" s="338"/>
      <c r="CB876" s="338"/>
      <c r="CC876" s="338"/>
      <c r="CD876" s="338"/>
      <c r="CE876" s="338"/>
      <c r="CF876" s="338"/>
      <c r="CG876" s="338"/>
      <c r="CH876" s="338"/>
      <c r="CI876" s="338"/>
      <c r="CJ876" s="338"/>
      <c r="CK876" s="338"/>
      <c r="CL876" s="338"/>
    </row>
    <row r="877" ht="14.2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40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  <c r="AV877" s="338"/>
      <c r="AW877" s="338"/>
      <c r="AX877" s="338"/>
      <c r="AY877" s="338"/>
      <c r="AZ877" s="338"/>
      <c r="BA877" s="338"/>
      <c r="BB877" s="338"/>
      <c r="BC877" s="338"/>
      <c r="BD877" s="338"/>
      <c r="BE877" s="338"/>
      <c r="BF877" s="338"/>
      <c r="BG877" s="338"/>
      <c r="BH877" s="338"/>
      <c r="BI877" s="338"/>
      <c r="BJ877" s="338"/>
      <c r="BK877" s="338"/>
      <c r="BL877" s="338"/>
      <c r="BM877" s="338"/>
      <c r="BN877" s="338"/>
      <c r="BO877" s="338"/>
      <c r="BP877" s="338"/>
      <c r="BQ877" s="338"/>
      <c r="BR877" s="338"/>
      <c r="BS877" s="338"/>
      <c r="BT877" s="338"/>
      <c r="BU877" s="338"/>
      <c r="BV877" s="338"/>
      <c r="BW877" s="338"/>
      <c r="BX877" s="338"/>
      <c r="BY877" s="338"/>
      <c r="BZ877" s="338"/>
      <c r="CA877" s="338"/>
      <c r="CB877" s="338"/>
      <c r="CC877" s="338"/>
      <c r="CD877" s="338"/>
      <c r="CE877" s="338"/>
      <c r="CF877" s="338"/>
      <c r="CG877" s="338"/>
      <c r="CH877" s="338"/>
      <c r="CI877" s="338"/>
      <c r="CJ877" s="338"/>
      <c r="CK877" s="338"/>
      <c r="CL877" s="338"/>
    </row>
    <row r="878" ht="14.2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40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  <c r="AV878" s="338"/>
      <c r="AW878" s="338"/>
      <c r="AX878" s="338"/>
      <c r="AY878" s="338"/>
      <c r="AZ878" s="338"/>
      <c r="BA878" s="338"/>
      <c r="BB878" s="338"/>
      <c r="BC878" s="338"/>
      <c r="BD878" s="338"/>
      <c r="BE878" s="338"/>
      <c r="BF878" s="338"/>
      <c r="BG878" s="338"/>
      <c r="BH878" s="338"/>
      <c r="BI878" s="338"/>
      <c r="BJ878" s="338"/>
      <c r="BK878" s="338"/>
      <c r="BL878" s="338"/>
      <c r="BM878" s="338"/>
      <c r="BN878" s="338"/>
      <c r="BO878" s="338"/>
      <c r="BP878" s="338"/>
      <c r="BQ878" s="338"/>
      <c r="BR878" s="338"/>
      <c r="BS878" s="338"/>
      <c r="BT878" s="338"/>
      <c r="BU878" s="338"/>
      <c r="BV878" s="338"/>
      <c r="BW878" s="338"/>
      <c r="BX878" s="338"/>
      <c r="BY878" s="338"/>
      <c r="BZ878" s="338"/>
      <c r="CA878" s="338"/>
      <c r="CB878" s="338"/>
      <c r="CC878" s="338"/>
      <c r="CD878" s="338"/>
      <c r="CE878" s="338"/>
      <c r="CF878" s="338"/>
      <c r="CG878" s="338"/>
      <c r="CH878" s="338"/>
      <c r="CI878" s="338"/>
      <c r="CJ878" s="338"/>
      <c r="CK878" s="338"/>
      <c r="CL878" s="338"/>
    </row>
    <row r="879" ht="14.2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40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  <c r="AV879" s="338"/>
      <c r="AW879" s="338"/>
      <c r="AX879" s="338"/>
      <c r="AY879" s="338"/>
      <c r="AZ879" s="338"/>
      <c r="BA879" s="338"/>
      <c r="BB879" s="338"/>
      <c r="BC879" s="338"/>
      <c r="BD879" s="338"/>
      <c r="BE879" s="338"/>
      <c r="BF879" s="338"/>
      <c r="BG879" s="338"/>
      <c r="BH879" s="338"/>
      <c r="BI879" s="338"/>
      <c r="BJ879" s="338"/>
      <c r="BK879" s="338"/>
      <c r="BL879" s="338"/>
      <c r="BM879" s="338"/>
      <c r="BN879" s="338"/>
      <c r="BO879" s="338"/>
      <c r="BP879" s="338"/>
      <c r="BQ879" s="338"/>
      <c r="BR879" s="338"/>
      <c r="BS879" s="338"/>
      <c r="BT879" s="338"/>
      <c r="BU879" s="338"/>
      <c r="BV879" s="338"/>
      <c r="BW879" s="338"/>
      <c r="BX879" s="338"/>
      <c r="BY879" s="338"/>
      <c r="BZ879" s="338"/>
      <c r="CA879" s="338"/>
      <c r="CB879" s="338"/>
      <c r="CC879" s="338"/>
      <c r="CD879" s="338"/>
      <c r="CE879" s="338"/>
      <c r="CF879" s="338"/>
      <c r="CG879" s="338"/>
      <c r="CH879" s="338"/>
      <c r="CI879" s="338"/>
      <c r="CJ879" s="338"/>
      <c r="CK879" s="338"/>
      <c r="CL879" s="338"/>
    </row>
    <row r="880" ht="14.2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40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  <c r="AV880" s="338"/>
      <c r="AW880" s="338"/>
      <c r="AX880" s="338"/>
      <c r="AY880" s="338"/>
      <c r="AZ880" s="338"/>
      <c r="BA880" s="338"/>
      <c r="BB880" s="338"/>
      <c r="BC880" s="338"/>
      <c r="BD880" s="338"/>
      <c r="BE880" s="338"/>
      <c r="BF880" s="338"/>
      <c r="BG880" s="338"/>
      <c r="BH880" s="338"/>
      <c r="BI880" s="338"/>
      <c r="BJ880" s="338"/>
      <c r="BK880" s="338"/>
      <c r="BL880" s="338"/>
      <c r="BM880" s="338"/>
      <c r="BN880" s="338"/>
      <c r="BO880" s="338"/>
      <c r="BP880" s="338"/>
      <c r="BQ880" s="338"/>
      <c r="BR880" s="338"/>
      <c r="BS880" s="338"/>
      <c r="BT880" s="338"/>
      <c r="BU880" s="338"/>
      <c r="BV880" s="338"/>
      <c r="BW880" s="338"/>
      <c r="BX880" s="338"/>
      <c r="BY880" s="338"/>
      <c r="BZ880" s="338"/>
      <c r="CA880" s="338"/>
      <c r="CB880" s="338"/>
      <c r="CC880" s="338"/>
      <c r="CD880" s="338"/>
      <c r="CE880" s="338"/>
      <c r="CF880" s="338"/>
      <c r="CG880" s="338"/>
      <c r="CH880" s="338"/>
      <c r="CI880" s="338"/>
      <c r="CJ880" s="338"/>
      <c r="CK880" s="338"/>
      <c r="CL880" s="338"/>
    </row>
    <row r="881" ht="14.2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40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  <c r="AV881" s="338"/>
      <c r="AW881" s="338"/>
      <c r="AX881" s="338"/>
      <c r="AY881" s="338"/>
      <c r="AZ881" s="338"/>
      <c r="BA881" s="338"/>
      <c r="BB881" s="338"/>
      <c r="BC881" s="338"/>
      <c r="BD881" s="338"/>
      <c r="BE881" s="338"/>
      <c r="BF881" s="338"/>
      <c r="BG881" s="338"/>
      <c r="BH881" s="338"/>
      <c r="BI881" s="338"/>
      <c r="BJ881" s="338"/>
      <c r="BK881" s="338"/>
      <c r="BL881" s="338"/>
      <c r="BM881" s="338"/>
      <c r="BN881" s="338"/>
      <c r="BO881" s="338"/>
      <c r="BP881" s="338"/>
      <c r="BQ881" s="338"/>
      <c r="BR881" s="338"/>
      <c r="BS881" s="338"/>
      <c r="BT881" s="338"/>
      <c r="BU881" s="338"/>
      <c r="BV881" s="338"/>
      <c r="BW881" s="338"/>
      <c r="BX881" s="338"/>
      <c r="BY881" s="338"/>
      <c r="BZ881" s="338"/>
      <c r="CA881" s="338"/>
      <c r="CB881" s="338"/>
      <c r="CC881" s="338"/>
      <c r="CD881" s="338"/>
      <c r="CE881" s="338"/>
      <c r="CF881" s="338"/>
      <c r="CG881" s="338"/>
      <c r="CH881" s="338"/>
      <c r="CI881" s="338"/>
      <c r="CJ881" s="338"/>
      <c r="CK881" s="338"/>
      <c r="CL881" s="338"/>
    </row>
    <row r="882" ht="14.2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40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  <c r="AV882" s="338"/>
      <c r="AW882" s="338"/>
      <c r="AX882" s="338"/>
      <c r="AY882" s="338"/>
      <c r="AZ882" s="338"/>
      <c r="BA882" s="338"/>
      <c r="BB882" s="338"/>
      <c r="BC882" s="338"/>
      <c r="BD882" s="338"/>
      <c r="BE882" s="338"/>
      <c r="BF882" s="338"/>
      <c r="BG882" s="338"/>
      <c r="BH882" s="338"/>
      <c r="BI882" s="338"/>
      <c r="BJ882" s="338"/>
      <c r="BK882" s="338"/>
      <c r="BL882" s="338"/>
      <c r="BM882" s="338"/>
      <c r="BN882" s="338"/>
      <c r="BO882" s="338"/>
      <c r="BP882" s="338"/>
      <c r="BQ882" s="338"/>
      <c r="BR882" s="338"/>
      <c r="BS882" s="338"/>
      <c r="BT882" s="338"/>
      <c r="BU882" s="338"/>
      <c r="BV882" s="338"/>
      <c r="BW882" s="338"/>
      <c r="BX882" s="338"/>
      <c r="BY882" s="338"/>
      <c r="BZ882" s="338"/>
      <c r="CA882" s="338"/>
      <c r="CB882" s="338"/>
      <c r="CC882" s="338"/>
      <c r="CD882" s="338"/>
      <c r="CE882" s="338"/>
      <c r="CF882" s="338"/>
      <c r="CG882" s="338"/>
      <c r="CH882" s="338"/>
      <c r="CI882" s="338"/>
      <c r="CJ882" s="338"/>
      <c r="CK882" s="338"/>
      <c r="CL882" s="338"/>
    </row>
    <row r="883" ht="14.2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40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  <c r="AV883" s="338"/>
      <c r="AW883" s="338"/>
      <c r="AX883" s="338"/>
      <c r="AY883" s="338"/>
      <c r="AZ883" s="338"/>
      <c r="BA883" s="338"/>
      <c r="BB883" s="338"/>
      <c r="BC883" s="338"/>
      <c r="BD883" s="338"/>
      <c r="BE883" s="338"/>
      <c r="BF883" s="338"/>
      <c r="BG883" s="338"/>
      <c r="BH883" s="338"/>
      <c r="BI883" s="338"/>
      <c r="BJ883" s="338"/>
      <c r="BK883" s="338"/>
      <c r="BL883" s="338"/>
      <c r="BM883" s="338"/>
      <c r="BN883" s="338"/>
      <c r="BO883" s="338"/>
      <c r="BP883" s="338"/>
      <c r="BQ883" s="338"/>
      <c r="BR883" s="338"/>
      <c r="BS883" s="338"/>
      <c r="BT883" s="338"/>
      <c r="BU883" s="338"/>
      <c r="BV883" s="338"/>
      <c r="BW883" s="338"/>
      <c r="BX883" s="338"/>
      <c r="BY883" s="338"/>
      <c r="BZ883" s="338"/>
      <c r="CA883" s="338"/>
      <c r="CB883" s="338"/>
      <c r="CC883" s="338"/>
      <c r="CD883" s="338"/>
      <c r="CE883" s="338"/>
      <c r="CF883" s="338"/>
      <c r="CG883" s="338"/>
      <c r="CH883" s="338"/>
      <c r="CI883" s="338"/>
      <c r="CJ883" s="338"/>
      <c r="CK883" s="338"/>
      <c r="CL883" s="338"/>
    </row>
    <row r="884" ht="14.2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40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  <c r="AV884" s="338"/>
      <c r="AW884" s="338"/>
      <c r="AX884" s="338"/>
      <c r="AY884" s="338"/>
      <c r="AZ884" s="338"/>
      <c r="BA884" s="338"/>
      <c r="BB884" s="338"/>
      <c r="BC884" s="338"/>
      <c r="BD884" s="338"/>
      <c r="BE884" s="338"/>
      <c r="BF884" s="338"/>
      <c r="BG884" s="338"/>
      <c r="BH884" s="338"/>
      <c r="BI884" s="338"/>
      <c r="BJ884" s="338"/>
      <c r="BK884" s="338"/>
      <c r="BL884" s="338"/>
      <c r="BM884" s="338"/>
      <c r="BN884" s="338"/>
      <c r="BO884" s="338"/>
      <c r="BP884" s="338"/>
      <c r="BQ884" s="338"/>
      <c r="BR884" s="338"/>
      <c r="BS884" s="338"/>
      <c r="BT884" s="338"/>
      <c r="BU884" s="338"/>
      <c r="BV884" s="338"/>
      <c r="BW884" s="338"/>
      <c r="BX884" s="338"/>
      <c r="BY884" s="338"/>
      <c r="BZ884" s="338"/>
      <c r="CA884" s="338"/>
      <c r="CB884" s="338"/>
      <c r="CC884" s="338"/>
      <c r="CD884" s="338"/>
      <c r="CE884" s="338"/>
      <c r="CF884" s="338"/>
      <c r="CG884" s="338"/>
      <c r="CH884" s="338"/>
      <c r="CI884" s="338"/>
      <c r="CJ884" s="338"/>
      <c r="CK884" s="338"/>
      <c r="CL884" s="338"/>
    </row>
    <row r="885" ht="14.2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40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  <c r="AV885" s="338"/>
      <c r="AW885" s="338"/>
      <c r="AX885" s="338"/>
      <c r="AY885" s="338"/>
      <c r="AZ885" s="338"/>
      <c r="BA885" s="338"/>
      <c r="BB885" s="338"/>
      <c r="BC885" s="338"/>
      <c r="BD885" s="338"/>
      <c r="BE885" s="338"/>
      <c r="BF885" s="338"/>
      <c r="BG885" s="338"/>
      <c r="BH885" s="338"/>
      <c r="BI885" s="338"/>
      <c r="BJ885" s="338"/>
      <c r="BK885" s="338"/>
      <c r="BL885" s="338"/>
      <c r="BM885" s="338"/>
      <c r="BN885" s="338"/>
      <c r="BO885" s="338"/>
      <c r="BP885" s="338"/>
      <c r="BQ885" s="338"/>
      <c r="BR885" s="338"/>
      <c r="BS885" s="338"/>
      <c r="BT885" s="338"/>
      <c r="BU885" s="338"/>
      <c r="BV885" s="338"/>
      <c r="BW885" s="338"/>
      <c r="BX885" s="338"/>
      <c r="BY885" s="338"/>
      <c r="BZ885" s="338"/>
      <c r="CA885" s="338"/>
      <c r="CB885" s="338"/>
      <c r="CC885" s="338"/>
      <c r="CD885" s="338"/>
      <c r="CE885" s="338"/>
      <c r="CF885" s="338"/>
      <c r="CG885" s="338"/>
      <c r="CH885" s="338"/>
      <c r="CI885" s="338"/>
      <c r="CJ885" s="338"/>
      <c r="CK885" s="338"/>
      <c r="CL885" s="338"/>
    </row>
    <row r="886" ht="14.2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40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  <c r="AV886" s="338"/>
      <c r="AW886" s="338"/>
      <c r="AX886" s="338"/>
      <c r="AY886" s="338"/>
      <c r="AZ886" s="338"/>
      <c r="BA886" s="338"/>
      <c r="BB886" s="338"/>
      <c r="BC886" s="338"/>
      <c r="BD886" s="338"/>
      <c r="BE886" s="338"/>
      <c r="BF886" s="338"/>
      <c r="BG886" s="338"/>
      <c r="BH886" s="338"/>
      <c r="BI886" s="338"/>
      <c r="BJ886" s="338"/>
      <c r="BK886" s="338"/>
      <c r="BL886" s="338"/>
      <c r="BM886" s="338"/>
      <c r="BN886" s="338"/>
      <c r="BO886" s="338"/>
      <c r="BP886" s="338"/>
      <c r="BQ886" s="338"/>
      <c r="BR886" s="338"/>
      <c r="BS886" s="338"/>
      <c r="BT886" s="338"/>
      <c r="BU886" s="338"/>
      <c r="BV886" s="338"/>
      <c r="BW886" s="338"/>
      <c r="BX886" s="338"/>
      <c r="BY886" s="338"/>
      <c r="BZ886" s="338"/>
      <c r="CA886" s="338"/>
      <c r="CB886" s="338"/>
      <c r="CC886" s="338"/>
      <c r="CD886" s="338"/>
      <c r="CE886" s="338"/>
      <c r="CF886" s="338"/>
      <c r="CG886" s="338"/>
      <c r="CH886" s="338"/>
      <c r="CI886" s="338"/>
      <c r="CJ886" s="338"/>
      <c r="CK886" s="338"/>
      <c r="CL886" s="338"/>
    </row>
    <row r="887" ht="14.2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40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  <c r="AV887" s="338"/>
      <c r="AW887" s="338"/>
      <c r="AX887" s="338"/>
      <c r="AY887" s="338"/>
      <c r="AZ887" s="338"/>
      <c r="BA887" s="338"/>
      <c r="BB887" s="338"/>
      <c r="BC887" s="338"/>
      <c r="BD887" s="338"/>
      <c r="BE887" s="338"/>
      <c r="BF887" s="338"/>
      <c r="BG887" s="338"/>
      <c r="BH887" s="338"/>
      <c r="BI887" s="338"/>
      <c r="BJ887" s="338"/>
      <c r="BK887" s="338"/>
      <c r="BL887" s="338"/>
      <c r="BM887" s="338"/>
      <c r="BN887" s="338"/>
      <c r="BO887" s="338"/>
      <c r="BP887" s="338"/>
      <c r="BQ887" s="338"/>
      <c r="BR887" s="338"/>
      <c r="BS887" s="338"/>
      <c r="BT887" s="338"/>
      <c r="BU887" s="338"/>
      <c r="BV887" s="338"/>
      <c r="BW887" s="338"/>
      <c r="BX887" s="338"/>
      <c r="BY887" s="338"/>
      <c r="BZ887" s="338"/>
      <c r="CA887" s="338"/>
      <c r="CB887" s="338"/>
      <c r="CC887" s="338"/>
      <c r="CD887" s="338"/>
      <c r="CE887" s="338"/>
      <c r="CF887" s="338"/>
      <c r="CG887" s="338"/>
      <c r="CH887" s="338"/>
      <c r="CI887" s="338"/>
      <c r="CJ887" s="338"/>
      <c r="CK887" s="338"/>
      <c r="CL887" s="338"/>
    </row>
    <row r="888" ht="14.2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40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  <c r="AV888" s="338"/>
      <c r="AW888" s="338"/>
      <c r="AX888" s="338"/>
      <c r="AY888" s="338"/>
      <c r="AZ888" s="338"/>
      <c r="BA888" s="338"/>
      <c r="BB888" s="338"/>
      <c r="BC888" s="338"/>
      <c r="BD888" s="338"/>
      <c r="BE888" s="338"/>
      <c r="BF888" s="338"/>
      <c r="BG888" s="338"/>
      <c r="BH888" s="338"/>
      <c r="BI888" s="338"/>
      <c r="BJ888" s="338"/>
      <c r="BK888" s="338"/>
      <c r="BL888" s="338"/>
      <c r="BM888" s="338"/>
      <c r="BN888" s="338"/>
      <c r="BO888" s="338"/>
      <c r="BP888" s="338"/>
      <c r="BQ888" s="338"/>
      <c r="BR888" s="338"/>
      <c r="BS888" s="338"/>
      <c r="BT888" s="338"/>
      <c r="BU888" s="338"/>
      <c r="BV888" s="338"/>
      <c r="BW888" s="338"/>
      <c r="BX888" s="338"/>
      <c r="BY888" s="338"/>
      <c r="BZ888" s="338"/>
      <c r="CA888" s="338"/>
      <c r="CB888" s="338"/>
      <c r="CC888" s="338"/>
      <c r="CD888" s="338"/>
      <c r="CE888" s="338"/>
      <c r="CF888" s="338"/>
      <c r="CG888" s="338"/>
      <c r="CH888" s="338"/>
      <c r="CI888" s="338"/>
      <c r="CJ888" s="338"/>
      <c r="CK888" s="338"/>
      <c r="CL888" s="338"/>
    </row>
    <row r="889" ht="14.2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40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  <c r="AV889" s="338"/>
      <c r="AW889" s="338"/>
      <c r="AX889" s="338"/>
      <c r="AY889" s="338"/>
      <c r="AZ889" s="338"/>
      <c r="BA889" s="338"/>
      <c r="BB889" s="338"/>
      <c r="BC889" s="338"/>
      <c r="BD889" s="338"/>
      <c r="BE889" s="338"/>
      <c r="BF889" s="338"/>
      <c r="BG889" s="338"/>
      <c r="BH889" s="338"/>
      <c r="BI889" s="338"/>
      <c r="BJ889" s="338"/>
      <c r="BK889" s="338"/>
      <c r="BL889" s="338"/>
      <c r="BM889" s="338"/>
      <c r="BN889" s="338"/>
      <c r="BO889" s="338"/>
      <c r="BP889" s="338"/>
      <c r="BQ889" s="338"/>
      <c r="BR889" s="338"/>
      <c r="BS889" s="338"/>
      <c r="BT889" s="338"/>
      <c r="BU889" s="338"/>
      <c r="BV889" s="338"/>
      <c r="BW889" s="338"/>
      <c r="BX889" s="338"/>
      <c r="BY889" s="338"/>
      <c r="BZ889" s="338"/>
      <c r="CA889" s="338"/>
      <c r="CB889" s="338"/>
      <c r="CC889" s="338"/>
      <c r="CD889" s="338"/>
      <c r="CE889" s="338"/>
      <c r="CF889" s="338"/>
      <c r="CG889" s="338"/>
      <c r="CH889" s="338"/>
      <c r="CI889" s="338"/>
      <c r="CJ889" s="338"/>
      <c r="CK889" s="338"/>
      <c r="CL889" s="338"/>
    </row>
    <row r="890" ht="14.2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40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  <c r="AV890" s="338"/>
      <c r="AW890" s="338"/>
      <c r="AX890" s="338"/>
      <c r="AY890" s="338"/>
      <c r="AZ890" s="338"/>
      <c r="BA890" s="338"/>
      <c r="BB890" s="338"/>
      <c r="BC890" s="338"/>
      <c r="BD890" s="338"/>
      <c r="BE890" s="338"/>
      <c r="BF890" s="338"/>
      <c r="BG890" s="338"/>
      <c r="BH890" s="338"/>
      <c r="BI890" s="338"/>
      <c r="BJ890" s="338"/>
      <c r="BK890" s="338"/>
      <c r="BL890" s="338"/>
      <c r="BM890" s="338"/>
      <c r="BN890" s="338"/>
      <c r="BO890" s="338"/>
      <c r="BP890" s="338"/>
      <c r="BQ890" s="338"/>
      <c r="BR890" s="338"/>
      <c r="BS890" s="338"/>
      <c r="BT890" s="338"/>
      <c r="BU890" s="338"/>
      <c r="BV890" s="338"/>
      <c r="BW890" s="338"/>
      <c r="BX890" s="338"/>
      <c r="BY890" s="338"/>
      <c r="BZ890" s="338"/>
      <c r="CA890" s="338"/>
      <c r="CB890" s="338"/>
      <c r="CC890" s="338"/>
      <c r="CD890" s="338"/>
      <c r="CE890" s="338"/>
      <c r="CF890" s="338"/>
      <c r="CG890" s="338"/>
      <c r="CH890" s="338"/>
      <c r="CI890" s="338"/>
      <c r="CJ890" s="338"/>
      <c r="CK890" s="338"/>
      <c r="CL890" s="338"/>
    </row>
    <row r="891" ht="14.2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40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  <c r="AV891" s="338"/>
      <c r="AW891" s="338"/>
      <c r="AX891" s="338"/>
      <c r="AY891" s="338"/>
      <c r="AZ891" s="338"/>
      <c r="BA891" s="338"/>
      <c r="BB891" s="338"/>
      <c r="BC891" s="338"/>
      <c r="BD891" s="338"/>
      <c r="BE891" s="338"/>
      <c r="BF891" s="338"/>
      <c r="BG891" s="338"/>
      <c r="BH891" s="338"/>
      <c r="BI891" s="338"/>
      <c r="BJ891" s="338"/>
      <c r="BK891" s="338"/>
      <c r="BL891" s="338"/>
      <c r="BM891" s="338"/>
      <c r="BN891" s="338"/>
      <c r="BO891" s="338"/>
      <c r="BP891" s="338"/>
      <c r="BQ891" s="338"/>
      <c r="BR891" s="338"/>
      <c r="BS891" s="338"/>
      <c r="BT891" s="338"/>
      <c r="BU891" s="338"/>
      <c r="BV891" s="338"/>
      <c r="BW891" s="338"/>
      <c r="BX891" s="338"/>
      <c r="BY891" s="338"/>
      <c r="BZ891" s="338"/>
      <c r="CA891" s="338"/>
      <c r="CB891" s="338"/>
      <c r="CC891" s="338"/>
      <c r="CD891" s="338"/>
      <c r="CE891" s="338"/>
      <c r="CF891" s="338"/>
      <c r="CG891" s="338"/>
      <c r="CH891" s="338"/>
      <c r="CI891" s="338"/>
      <c r="CJ891" s="338"/>
      <c r="CK891" s="338"/>
      <c r="CL891" s="338"/>
    </row>
    <row r="892" ht="14.2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40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  <c r="AV892" s="338"/>
      <c r="AW892" s="338"/>
      <c r="AX892" s="338"/>
      <c r="AY892" s="338"/>
      <c r="AZ892" s="338"/>
      <c r="BA892" s="338"/>
      <c r="BB892" s="338"/>
      <c r="BC892" s="338"/>
      <c r="BD892" s="338"/>
      <c r="BE892" s="338"/>
      <c r="BF892" s="338"/>
      <c r="BG892" s="338"/>
      <c r="BH892" s="338"/>
      <c r="BI892" s="338"/>
      <c r="BJ892" s="338"/>
      <c r="BK892" s="338"/>
      <c r="BL892" s="338"/>
      <c r="BM892" s="338"/>
      <c r="BN892" s="338"/>
      <c r="BO892" s="338"/>
      <c r="BP892" s="338"/>
      <c r="BQ892" s="338"/>
      <c r="BR892" s="338"/>
      <c r="BS892" s="338"/>
      <c r="BT892" s="338"/>
      <c r="BU892" s="338"/>
      <c r="BV892" s="338"/>
      <c r="BW892" s="338"/>
      <c r="BX892" s="338"/>
      <c r="BY892" s="338"/>
      <c r="BZ892" s="338"/>
      <c r="CA892" s="338"/>
      <c r="CB892" s="338"/>
      <c r="CC892" s="338"/>
      <c r="CD892" s="338"/>
      <c r="CE892" s="338"/>
      <c r="CF892" s="338"/>
      <c r="CG892" s="338"/>
      <c r="CH892" s="338"/>
      <c r="CI892" s="338"/>
      <c r="CJ892" s="338"/>
      <c r="CK892" s="338"/>
      <c r="CL892" s="338"/>
    </row>
    <row r="893" ht="14.2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40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  <c r="AV893" s="338"/>
      <c r="AW893" s="338"/>
      <c r="AX893" s="338"/>
      <c r="AY893" s="338"/>
      <c r="AZ893" s="338"/>
      <c r="BA893" s="338"/>
      <c r="BB893" s="338"/>
      <c r="BC893" s="338"/>
      <c r="BD893" s="338"/>
      <c r="BE893" s="338"/>
      <c r="BF893" s="338"/>
      <c r="BG893" s="338"/>
      <c r="BH893" s="338"/>
      <c r="BI893" s="338"/>
      <c r="BJ893" s="338"/>
      <c r="BK893" s="338"/>
      <c r="BL893" s="338"/>
      <c r="BM893" s="338"/>
      <c r="BN893" s="338"/>
      <c r="BO893" s="338"/>
      <c r="BP893" s="338"/>
      <c r="BQ893" s="338"/>
      <c r="BR893" s="338"/>
      <c r="BS893" s="338"/>
      <c r="BT893" s="338"/>
      <c r="BU893" s="338"/>
      <c r="BV893" s="338"/>
      <c r="BW893" s="338"/>
      <c r="BX893" s="338"/>
      <c r="BY893" s="338"/>
      <c r="BZ893" s="338"/>
      <c r="CA893" s="338"/>
      <c r="CB893" s="338"/>
      <c r="CC893" s="338"/>
      <c r="CD893" s="338"/>
      <c r="CE893" s="338"/>
      <c r="CF893" s="338"/>
      <c r="CG893" s="338"/>
      <c r="CH893" s="338"/>
      <c r="CI893" s="338"/>
      <c r="CJ893" s="338"/>
      <c r="CK893" s="338"/>
      <c r="CL893" s="338"/>
    </row>
    <row r="894" ht="14.2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40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  <c r="AV894" s="338"/>
      <c r="AW894" s="338"/>
      <c r="AX894" s="338"/>
      <c r="AY894" s="338"/>
      <c r="AZ894" s="338"/>
      <c r="BA894" s="338"/>
      <c r="BB894" s="338"/>
      <c r="BC894" s="338"/>
      <c r="BD894" s="338"/>
      <c r="BE894" s="338"/>
      <c r="BF894" s="338"/>
      <c r="BG894" s="338"/>
      <c r="BH894" s="338"/>
      <c r="BI894" s="338"/>
      <c r="BJ894" s="338"/>
      <c r="BK894" s="338"/>
      <c r="BL894" s="338"/>
      <c r="BM894" s="338"/>
      <c r="BN894" s="338"/>
      <c r="BO894" s="338"/>
      <c r="BP894" s="338"/>
      <c r="BQ894" s="338"/>
      <c r="BR894" s="338"/>
      <c r="BS894" s="338"/>
      <c r="BT894" s="338"/>
      <c r="BU894" s="338"/>
      <c r="BV894" s="338"/>
      <c r="BW894" s="338"/>
      <c r="BX894" s="338"/>
      <c r="BY894" s="338"/>
      <c r="BZ894" s="338"/>
      <c r="CA894" s="338"/>
      <c r="CB894" s="338"/>
      <c r="CC894" s="338"/>
      <c r="CD894" s="338"/>
      <c r="CE894" s="338"/>
      <c r="CF894" s="338"/>
      <c r="CG894" s="338"/>
      <c r="CH894" s="338"/>
      <c r="CI894" s="338"/>
      <c r="CJ894" s="338"/>
      <c r="CK894" s="338"/>
      <c r="CL894" s="338"/>
    </row>
    <row r="895" ht="14.2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40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  <c r="AV895" s="338"/>
      <c r="AW895" s="338"/>
      <c r="AX895" s="338"/>
      <c r="AY895" s="338"/>
      <c r="AZ895" s="338"/>
      <c r="BA895" s="338"/>
      <c r="BB895" s="338"/>
      <c r="BC895" s="338"/>
      <c r="BD895" s="338"/>
      <c r="BE895" s="338"/>
      <c r="BF895" s="338"/>
      <c r="BG895" s="338"/>
      <c r="BH895" s="338"/>
      <c r="BI895" s="338"/>
      <c r="BJ895" s="338"/>
      <c r="BK895" s="338"/>
      <c r="BL895" s="338"/>
      <c r="BM895" s="338"/>
      <c r="BN895" s="338"/>
      <c r="BO895" s="338"/>
      <c r="BP895" s="338"/>
      <c r="BQ895" s="338"/>
      <c r="BR895" s="338"/>
      <c r="BS895" s="338"/>
      <c r="BT895" s="338"/>
      <c r="BU895" s="338"/>
      <c r="BV895" s="338"/>
      <c r="BW895" s="338"/>
      <c r="BX895" s="338"/>
      <c r="BY895" s="338"/>
      <c r="BZ895" s="338"/>
      <c r="CA895" s="338"/>
      <c r="CB895" s="338"/>
      <c r="CC895" s="338"/>
      <c r="CD895" s="338"/>
      <c r="CE895" s="338"/>
      <c r="CF895" s="338"/>
      <c r="CG895" s="338"/>
      <c r="CH895" s="338"/>
      <c r="CI895" s="338"/>
      <c r="CJ895" s="338"/>
      <c r="CK895" s="338"/>
      <c r="CL895" s="338"/>
    </row>
    <row r="896" ht="14.2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40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  <c r="AV896" s="338"/>
      <c r="AW896" s="338"/>
      <c r="AX896" s="338"/>
      <c r="AY896" s="338"/>
      <c r="AZ896" s="338"/>
      <c r="BA896" s="338"/>
      <c r="BB896" s="338"/>
      <c r="BC896" s="338"/>
      <c r="BD896" s="338"/>
      <c r="BE896" s="338"/>
      <c r="BF896" s="338"/>
      <c r="BG896" s="338"/>
      <c r="BH896" s="338"/>
      <c r="BI896" s="338"/>
      <c r="BJ896" s="338"/>
      <c r="BK896" s="338"/>
      <c r="BL896" s="338"/>
      <c r="BM896" s="338"/>
      <c r="BN896" s="338"/>
      <c r="BO896" s="338"/>
      <c r="BP896" s="338"/>
      <c r="BQ896" s="338"/>
      <c r="BR896" s="338"/>
      <c r="BS896" s="338"/>
      <c r="BT896" s="338"/>
      <c r="BU896" s="338"/>
      <c r="BV896" s="338"/>
      <c r="BW896" s="338"/>
      <c r="BX896" s="338"/>
      <c r="BY896" s="338"/>
      <c r="BZ896" s="338"/>
      <c r="CA896" s="338"/>
      <c r="CB896" s="338"/>
      <c r="CC896" s="338"/>
      <c r="CD896" s="338"/>
      <c r="CE896" s="338"/>
      <c r="CF896" s="338"/>
      <c r="CG896" s="338"/>
      <c r="CH896" s="338"/>
      <c r="CI896" s="338"/>
      <c r="CJ896" s="338"/>
      <c r="CK896" s="338"/>
      <c r="CL896" s="338"/>
    </row>
    <row r="897" ht="14.2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40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  <c r="AV897" s="338"/>
      <c r="AW897" s="338"/>
      <c r="AX897" s="338"/>
      <c r="AY897" s="338"/>
      <c r="AZ897" s="338"/>
      <c r="BA897" s="338"/>
      <c r="BB897" s="338"/>
      <c r="BC897" s="338"/>
      <c r="BD897" s="338"/>
      <c r="BE897" s="338"/>
      <c r="BF897" s="338"/>
      <c r="BG897" s="338"/>
      <c r="BH897" s="338"/>
      <c r="BI897" s="338"/>
      <c r="BJ897" s="338"/>
      <c r="BK897" s="338"/>
      <c r="BL897" s="338"/>
      <c r="BM897" s="338"/>
      <c r="BN897" s="338"/>
      <c r="BO897" s="338"/>
      <c r="BP897" s="338"/>
      <c r="BQ897" s="338"/>
      <c r="BR897" s="338"/>
      <c r="BS897" s="338"/>
      <c r="BT897" s="338"/>
      <c r="BU897" s="338"/>
      <c r="BV897" s="338"/>
      <c r="BW897" s="338"/>
      <c r="BX897" s="338"/>
      <c r="BY897" s="338"/>
      <c r="BZ897" s="338"/>
      <c r="CA897" s="338"/>
      <c r="CB897" s="338"/>
      <c r="CC897" s="338"/>
      <c r="CD897" s="338"/>
      <c r="CE897" s="338"/>
      <c r="CF897" s="338"/>
      <c r="CG897" s="338"/>
      <c r="CH897" s="338"/>
      <c r="CI897" s="338"/>
      <c r="CJ897" s="338"/>
      <c r="CK897" s="338"/>
      <c r="CL897" s="338"/>
    </row>
    <row r="898" ht="14.2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40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  <c r="AV898" s="338"/>
      <c r="AW898" s="338"/>
      <c r="AX898" s="338"/>
      <c r="AY898" s="338"/>
      <c r="AZ898" s="338"/>
      <c r="BA898" s="338"/>
      <c r="BB898" s="338"/>
      <c r="BC898" s="338"/>
      <c r="BD898" s="338"/>
      <c r="BE898" s="338"/>
      <c r="BF898" s="338"/>
      <c r="BG898" s="338"/>
      <c r="BH898" s="338"/>
      <c r="BI898" s="338"/>
      <c r="BJ898" s="338"/>
      <c r="BK898" s="338"/>
      <c r="BL898" s="338"/>
      <c r="BM898" s="338"/>
      <c r="BN898" s="338"/>
      <c r="BO898" s="338"/>
      <c r="BP898" s="338"/>
      <c r="BQ898" s="338"/>
      <c r="BR898" s="338"/>
      <c r="BS898" s="338"/>
      <c r="BT898" s="338"/>
      <c r="BU898" s="338"/>
      <c r="BV898" s="338"/>
      <c r="BW898" s="338"/>
      <c r="BX898" s="338"/>
      <c r="BY898" s="338"/>
      <c r="BZ898" s="338"/>
      <c r="CA898" s="338"/>
      <c r="CB898" s="338"/>
      <c r="CC898" s="338"/>
      <c r="CD898" s="338"/>
      <c r="CE898" s="338"/>
      <c r="CF898" s="338"/>
      <c r="CG898" s="338"/>
      <c r="CH898" s="338"/>
      <c r="CI898" s="338"/>
      <c r="CJ898" s="338"/>
      <c r="CK898" s="338"/>
      <c r="CL898" s="338"/>
    </row>
    <row r="899" ht="14.2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40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  <c r="AV899" s="338"/>
      <c r="AW899" s="338"/>
      <c r="AX899" s="338"/>
      <c r="AY899" s="338"/>
      <c r="AZ899" s="338"/>
      <c r="BA899" s="338"/>
      <c r="BB899" s="338"/>
      <c r="BC899" s="338"/>
      <c r="BD899" s="338"/>
      <c r="BE899" s="338"/>
      <c r="BF899" s="338"/>
      <c r="BG899" s="338"/>
      <c r="BH899" s="338"/>
      <c r="BI899" s="338"/>
      <c r="BJ899" s="338"/>
      <c r="BK899" s="338"/>
      <c r="BL899" s="338"/>
      <c r="BM899" s="338"/>
      <c r="BN899" s="338"/>
      <c r="BO899" s="338"/>
      <c r="BP899" s="338"/>
      <c r="BQ899" s="338"/>
      <c r="BR899" s="338"/>
      <c r="BS899" s="338"/>
      <c r="BT899" s="338"/>
      <c r="BU899" s="338"/>
      <c r="BV899" s="338"/>
      <c r="BW899" s="338"/>
      <c r="BX899" s="338"/>
      <c r="BY899" s="338"/>
      <c r="BZ899" s="338"/>
      <c r="CA899" s="338"/>
      <c r="CB899" s="338"/>
      <c r="CC899" s="338"/>
      <c r="CD899" s="338"/>
      <c r="CE899" s="338"/>
      <c r="CF899" s="338"/>
      <c r="CG899" s="338"/>
      <c r="CH899" s="338"/>
      <c r="CI899" s="338"/>
      <c r="CJ899" s="338"/>
      <c r="CK899" s="338"/>
      <c r="CL899" s="338"/>
    </row>
    <row r="900" ht="14.2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40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  <c r="AV900" s="338"/>
      <c r="AW900" s="338"/>
      <c r="AX900" s="338"/>
      <c r="AY900" s="338"/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338"/>
      <c r="BV900" s="338"/>
      <c r="BW900" s="338"/>
      <c r="BX900" s="338"/>
      <c r="BY900" s="338"/>
      <c r="BZ900" s="338"/>
      <c r="CA900" s="338"/>
      <c r="CB900" s="338"/>
      <c r="CC900" s="338"/>
      <c r="CD900" s="338"/>
      <c r="CE900" s="338"/>
      <c r="CF900" s="338"/>
      <c r="CG900" s="338"/>
      <c r="CH900" s="338"/>
      <c r="CI900" s="338"/>
      <c r="CJ900" s="338"/>
      <c r="CK900" s="338"/>
      <c r="CL900" s="338"/>
    </row>
    <row r="901" ht="14.2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40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  <c r="AV901" s="338"/>
      <c r="AW901" s="338"/>
      <c r="AX901" s="338"/>
      <c r="AY901" s="338"/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338"/>
      <c r="BV901" s="338"/>
      <c r="BW901" s="338"/>
      <c r="BX901" s="338"/>
      <c r="BY901" s="338"/>
      <c r="BZ901" s="338"/>
      <c r="CA901" s="338"/>
      <c r="CB901" s="338"/>
      <c r="CC901" s="338"/>
      <c r="CD901" s="338"/>
      <c r="CE901" s="338"/>
      <c r="CF901" s="338"/>
      <c r="CG901" s="338"/>
      <c r="CH901" s="338"/>
      <c r="CI901" s="338"/>
      <c r="CJ901" s="338"/>
      <c r="CK901" s="338"/>
      <c r="CL901" s="338"/>
    </row>
    <row r="902" ht="14.2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40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  <c r="AV902" s="338"/>
      <c r="AW902" s="338"/>
      <c r="AX902" s="338"/>
      <c r="AY902" s="338"/>
      <c r="AZ902" s="338"/>
      <c r="BA902" s="338"/>
      <c r="BB902" s="338"/>
      <c r="BC902" s="338"/>
      <c r="BD902" s="338"/>
      <c r="BE902" s="338"/>
      <c r="BF902" s="338"/>
      <c r="BG902" s="338"/>
      <c r="BH902" s="338"/>
      <c r="BI902" s="338"/>
      <c r="BJ902" s="338"/>
      <c r="BK902" s="338"/>
      <c r="BL902" s="338"/>
      <c r="BM902" s="338"/>
      <c r="BN902" s="338"/>
      <c r="BO902" s="338"/>
      <c r="BP902" s="338"/>
      <c r="BQ902" s="338"/>
      <c r="BR902" s="338"/>
      <c r="BS902" s="338"/>
      <c r="BT902" s="338"/>
      <c r="BU902" s="338"/>
      <c r="BV902" s="338"/>
      <c r="BW902" s="338"/>
      <c r="BX902" s="338"/>
      <c r="BY902" s="338"/>
      <c r="BZ902" s="338"/>
      <c r="CA902" s="338"/>
      <c r="CB902" s="338"/>
      <c r="CC902" s="338"/>
      <c r="CD902" s="338"/>
      <c r="CE902" s="338"/>
      <c r="CF902" s="338"/>
      <c r="CG902" s="338"/>
      <c r="CH902" s="338"/>
      <c r="CI902" s="338"/>
      <c r="CJ902" s="338"/>
      <c r="CK902" s="338"/>
      <c r="CL902" s="338"/>
    </row>
    <row r="903" ht="14.2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40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  <c r="AV903" s="338"/>
      <c r="AW903" s="338"/>
      <c r="AX903" s="338"/>
      <c r="AY903" s="338"/>
      <c r="AZ903" s="338"/>
      <c r="BA903" s="338"/>
      <c r="BB903" s="338"/>
      <c r="BC903" s="338"/>
      <c r="BD903" s="338"/>
      <c r="BE903" s="338"/>
      <c r="BF903" s="338"/>
      <c r="BG903" s="338"/>
      <c r="BH903" s="338"/>
      <c r="BI903" s="338"/>
      <c r="BJ903" s="338"/>
      <c r="BK903" s="338"/>
      <c r="BL903" s="338"/>
      <c r="BM903" s="338"/>
      <c r="BN903" s="338"/>
      <c r="BO903" s="338"/>
      <c r="BP903" s="338"/>
      <c r="BQ903" s="338"/>
      <c r="BR903" s="338"/>
      <c r="BS903" s="338"/>
      <c r="BT903" s="338"/>
      <c r="BU903" s="338"/>
      <c r="BV903" s="338"/>
      <c r="BW903" s="338"/>
      <c r="BX903" s="338"/>
      <c r="BY903" s="338"/>
      <c r="BZ903" s="338"/>
      <c r="CA903" s="338"/>
      <c r="CB903" s="338"/>
      <c r="CC903" s="338"/>
      <c r="CD903" s="338"/>
      <c r="CE903" s="338"/>
      <c r="CF903" s="338"/>
      <c r="CG903" s="338"/>
      <c r="CH903" s="338"/>
      <c r="CI903" s="338"/>
      <c r="CJ903" s="338"/>
      <c r="CK903" s="338"/>
      <c r="CL903" s="338"/>
    </row>
    <row r="904" ht="14.2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40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  <c r="AV904" s="338"/>
      <c r="AW904" s="338"/>
      <c r="AX904" s="338"/>
      <c r="AY904" s="338"/>
      <c r="AZ904" s="338"/>
      <c r="BA904" s="338"/>
      <c r="BB904" s="338"/>
      <c r="BC904" s="338"/>
      <c r="BD904" s="338"/>
      <c r="BE904" s="338"/>
      <c r="BF904" s="338"/>
      <c r="BG904" s="338"/>
      <c r="BH904" s="338"/>
      <c r="BI904" s="338"/>
      <c r="BJ904" s="338"/>
      <c r="BK904" s="338"/>
      <c r="BL904" s="338"/>
      <c r="BM904" s="338"/>
      <c r="BN904" s="338"/>
      <c r="BO904" s="338"/>
      <c r="BP904" s="338"/>
      <c r="BQ904" s="338"/>
      <c r="BR904" s="338"/>
      <c r="BS904" s="338"/>
      <c r="BT904" s="338"/>
      <c r="BU904" s="338"/>
      <c r="BV904" s="338"/>
      <c r="BW904" s="338"/>
      <c r="BX904" s="338"/>
      <c r="BY904" s="338"/>
      <c r="BZ904" s="338"/>
      <c r="CA904" s="338"/>
      <c r="CB904" s="338"/>
      <c r="CC904" s="338"/>
      <c r="CD904" s="338"/>
      <c r="CE904" s="338"/>
      <c r="CF904" s="338"/>
      <c r="CG904" s="338"/>
      <c r="CH904" s="338"/>
      <c r="CI904" s="338"/>
      <c r="CJ904" s="338"/>
      <c r="CK904" s="338"/>
      <c r="CL904" s="338"/>
    </row>
    <row r="905" ht="14.2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40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  <c r="AV905" s="338"/>
      <c r="AW905" s="338"/>
      <c r="AX905" s="338"/>
      <c r="AY905" s="338"/>
      <c r="AZ905" s="338"/>
      <c r="BA905" s="338"/>
      <c r="BB905" s="338"/>
      <c r="BC905" s="338"/>
      <c r="BD905" s="338"/>
      <c r="BE905" s="338"/>
      <c r="BF905" s="338"/>
      <c r="BG905" s="338"/>
      <c r="BH905" s="338"/>
      <c r="BI905" s="338"/>
      <c r="BJ905" s="338"/>
      <c r="BK905" s="338"/>
      <c r="BL905" s="338"/>
      <c r="BM905" s="338"/>
      <c r="BN905" s="338"/>
      <c r="BO905" s="338"/>
      <c r="BP905" s="338"/>
      <c r="BQ905" s="338"/>
      <c r="BR905" s="338"/>
      <c r="BS905" s="338"/>
      <c r="BT905" s="338"/>
      <c r="BU905" s="338"/>
      <c r="BV905" s="338"/>
      <c r="BW905" s="338"/>
      <c r="BX905" s="338"/>
      <c r="BY905" s="338"/>
      <c r="BZ905" s="338"/>
      <c r="CA905" s="338"/>
      <c r="CB905" s="338"/>
      <c r="CC905" s="338"/>
      <c r="CD905" s="338"/>
      <c r="CE905" s="338"/>
      <c r="CF905" s="338"/>
      <c r="CG905" s="338"/>
      <c r="CH905" s="338"/>
      <c r="CI905" s="338"/>
      <c r="CJ905" s="338"/>
      <c r="CK905" s="338"/>
      <c r="CL905" s="338"/>
    </row>
    <row r="906" ht="14.2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40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  <c r="AV906" s="338"/>
      <c r="AW906" s="338"/>
      <c r="AX906" s="338"/>
      <c r="AY906" s="338"/>
      <c r="AZ906" s="338"/>
      <c r="BA906" s="338"/>
      <c r="BB906" s="338"/>
      <c r="BC906" s="338"/>
      <c r="BD906" s="338"/>
      <c r="BE906" s="338"/>
      <c r="BF906" s="338"/>
      <c r="BG906" s="338"/>
      <c r="BH906" s="338"/>
      <c r="BI906" s="338"/>
      <c r="BJ906" s="338"/>
      <c r="BK906" s="338"/>
      <c r="BL906" s="338"/>
      <c r="BM906" s="338"/>
      <c r="BN906" s="338"/>
      <c r="BO906" s="338"/>
      <c r="BP906" s="338"/>
      <c r="BQ906" s="338"/>
      <c r="BR906" s="338"/>
      <c r="BS906" s="338"/>
      <c r="BT906" s="338"/>
      <c r="BU906" s="338"/>
      <c r="BV906" s="338"/>
      <c r="BW906" s="338"/>
      <c r="BX906" s="338"/>
      <c r="BY906" s="338"/>
      <c r="BZ906" s="338"/>
      <c r="CA906" s="338"/>
      <c r="CB906" s="338"/>
      <c r="CC906" s="338"/>
      <c r="CD906" s="338"/>
      <c r="CE906" s="338"/>
      <c r="CF906" s="338"/>
      <c r="CG906" s="338"/>
      <c r="CH906" s="338"/>
      <c r="CI906" s="338"/>
      <c r="CJ906" s="338"/>
      <c r="CK906" s="338"/>
      <c r="CL906" s="338"/>
    </row>
    <row r="907" ht="14.2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40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  <c r="AV907" s="338"/>
      <c r="AW907" s="338"/>
      <c r="AX907" s="338"/>
      <c r="AY907" s="338"/>
      <c r="AZ907" s="338"/>
      <c r="BA907" s="338"/>
      <c r="BB907" s="338"/>
      <c r="BC907" s="338"/>
      <c r="BD907" s="338"/>
      <c r="BE907" s="338"/>
      <c r="BF907" s="338"/>
      <c r="BG907" s="338"/>
      <c r="BH907" s="338"/>
      <c r="BI907" s="338"/>
      <c r="BJ907" s="338"/>
      <c r="BK907" s="338"/>
      <c r="BL907" s="338"/>
      <c r="BM907" s="338"/>
      <c r="BN907" s="338"/>
      <c r="BO907" s="338"/>
      <c r="BP907" s="338"/>
      <c r="BQ907" s="338"/>
      <c r="BR907" s="338"/>
      <c r="BS907" s="338"/>
      <c r="BT907" s="338"/>
      <c r="BU907" s="338"/>
      <c r="BV907" s="338"/>
      <c r="BW907" s="338"/>
      <c r="BX907" s="338"/>
      <c r="BY907" s="338"/>
      <c r="BZ907" s="338"/>
      <c r="CA907" s="338"/>
      <c r="CB907" s="338"/>
      <c r="CC907" s="338"/>
      <c r="CD907" s="338"/>
      <c r="CE907" s="338"/>
      <c r="CF907" s="338"/>
      <c r="CG907" s="338"/>
      <c r="CH907" s="338"/>
      <c r="CI907" s="338"/>
      <c r="CJ907" s="338"/>
      <c r="CK907" s="338"/>
      <c r="CL907" s="338"/>
    </row>
    <row r="908" ht="14.2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40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  <c r="AV908" s="338"/>
      <c r="AW908" s="338"/>
      <c r="AX908" s="338"/>
      <c r="AY908" s="338"/>
      <c r="AZ908" s="338"/>
      <c r="BA908" s="338"/>
      <c r="BB908" s="338"/>
      <c r="BC908" s="338"/>
      <c r="BD908" s="338"/>
      <c r="BE908" s="338"/>
      <c r="BF908" s="338"/>
      <c r="BG908" s="338"/>
      <c r="BH908" s="338"/>
      <c r="BI908" s="338"/>
      <c r="BJ908" s="338"/>
      <c r="BK908" s="338"/>
      <c r="BL908" s="338"/>
      <c r="BM908" s="338"/>
      <c r="BN908" s="338"/>
      <c r="BO908" s="338"/>
      <c r="BP908" s="338"/>
      <c r="BQ908" s="338"/>
      <c r="BR908" s="338"/>
      <c r="BS908" s="338"/>
      <c r="BT908" s="338"/>
      <c r="BU908" s="338"/>
      <c r="BV908" s="338"/>
      <c r="BW908" s="338"/>
      <c r="BX908" s="338"/>
      <c r="BY908" s="338"/>
      <c r="BZ908" s="338"/>
      <c r="CA908" s="338"/>
      <c r="CB908" s="338"/>
      <c r="CC908" s="338"/>
      <c r="CD908" s="338"/>
      <c r="CE908" s="338"/>
      <c r="CF908" s="338"/>
      <c r="CG908" s="338"/>
      <c r="CH908" s="338"/>
      <c r="CI908" s="338"/>
      <c r="CJ908" s="338"/>
      <c r="CK908" s="338"/>
      <c r="CL908" s="338"/>
    </row>
    <row r="909" ht="14.2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40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  <c r="AV909" s="338"/>
      <c r="AW909" s="338"/>
      <c r="AX909" s="338"/>
      <c r="AY909" s="338"/>
      <c r="AZ909" s="338"/>
      <c r="BA909" s="338"/>
      <c r="BB909" s="338"/>
      <c r="BC909" s="338"/>
      <c r="BD909" s="338"/>
      <c r="BE909" s="338"/>
      <c r="BF909" s="338"/>
      <c r="BG909" s="338"/>
      <c r="BH909" s="338"/>
      <c r="BI909" s="338"/>
      <c r="BJ909" s="338"/>
      <c r="BK909" s="338"/>
      <c r="BL909" s="338"/>
      <c r="BM909" s="338"/>
      <c r="BN909" s="338"/>
      <c r="BO909" s="338"/>
      <c r="BP909" s="338"/>
      <c r="BQ909" s="338"/>
      <c r="BR909" s="338"/>
      <c r="BS909" s="338"/>
      <c r="BT909" s="338"/>
      <c r="BU909" s="338"/>
      <c r="BV909" s="338"/>
      <c r="BW909" s="338"/>
      <c r="BX909" s="338"/>
      <c r="BY909" s="338"/>
      <c r="BZ909" s="338"/>
      <c r="CA909" s="338"/>
      <c r="CB909" s="338"/>
      <c r="CC909" s="338"/>
      <c r="CD909" s="338"/>
      <c r="CE909" s="338"/>
      <c r="CF909" s="338"/>
      <c r="CG909" s="338"/>
      <c r="CH909" s="338"/>
      <c r="CI909" s="338"/>
      <c r="CJ909" s="338"/>
      <c r="CK909" s="338"/>
      <c r="CL909" s="338"/>
    </row>
    <row r="910" ht="14.2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40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  <c r="AV910" s="338"/>
      <c r="AW910" s="338"/>
      <c r="AX910" s="338"/>
      <c r="AY910" s="338"/>
      <c r="AZ910" s="338"/>
      <c r="BA910" s="338"/>
      <c r="BB910" s="338"/>
      <c r="BC910" s="338"/>
      <c r="BD910" s="338"/>
      <c r="BE910" s="338"/>
      <c r="BF910" s="338"/>
      <c r="BG910" s="338"/>
      <c r="BH910" s="338"/>
      <c r="BI910" s="338"/>
      <c r="BJ910" s="338"/>
      <c r="BK910" s="338"/>
      <c r="BL910" s="338"/>
      <c r="BM910" s="338"/>
      <c r="BN910" s="338"/>
      <c r="BO910" s="338"/>
      <c r="BP910" s="338"/>
      <c r="BQ910" s="338"/>
      <c r="BR910" s="338"/>
      <c r="BS910" s="338"/>
      <c r="BT910" s="338"/>
      <c r="BU910" s="338"/>
      <c r="BV910" s="338"/>
      <c r="BW910" s="338"/>
      <c r="BX910" s="338"/>
      <c r="BY910" s="338"/>
      <c r="BZ910" s="338"/>
      <c r="CA910" s="338"/>
      <c r="CB910" s="338"/>
      <c r="CC910" s="338"/>
      <c r="CD910" s="338"/>
      <c r="CE910" s="338"/>
      <c r="CF910" s="338"/>
      <c r="CG910" s="338"/>
      <c r="CH910" s="338"/>
      <c r="CI910" s="338"/>
      <c r="CJ910" s="338"/>
      <c r="CK910" s="338"/>
      <c r="CL910" s="338"/>
    </row>
    <row r="911" ht="14.2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40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  <c r="AV911" s="338"/>
      <c r="AW911" s="338"/>
      <c r="AX911" s="338"/>
      <c r="AY911" s="338"/>
      <c r="AZ911" s="338"/>
      <c r="BA911" s="338"/>
      <c r="BB911" s="338"/>
      <c r="BC911" s="338"/>
      <c r="BD911" s="338"/>
      <c r="BE911" s="338"/>
      <c r="BF911" s="338"/>
      <c r="BG911" s="338"/>
      <c r="BH911" s="338"/>
      <c r="BI911" s="338"/>
      <c r="BJ911" s="338"/>
      <c r="BK911" s="338"/>
      <c r="BL911" s="338"/>
      <c r="BM911" s="338"/>
      <c r="BN911" s="338"/>
      <c r="BO911" s="338"/>
      <c r="BP911" s="338"/>
      <c r="BQ911" s="338"/>
      <c r="BR911" s="338"/>
      <c r="BS911" s="338"/>
      <c r="BT911" s="338"/>
      <c r="BU911" s="338"/>
      <c r="BV911" s="338"/>
      <c r="BW911" s="338"/>
      <c r="BX911" s="338"/>
      <c r="BY911" s="338"/>
      <c r="BZ911" s="338"/>
      <c r="CA911" s="338"/>
      <c r="CB911" s="338"/>
      <c r="CC911" s="338"/>
      <c r="CD911" s="338"/>
      <c r="CE911" s="338"/>
      <c r="CF911" s="338"/>
      <c r="CG911" s="338"/>
      <c r="CH911" s="338"/>
      <c r="CI911" s="338"/>
      <c r="CJ911" s="338"/>
      <c r="CK911" s="338"/>
      <c r="CL911" s="338"/>
    </row>
    <row r="912" ht="14.2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40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  <c r="AV912" s="338"/>
      <c r="AW912" s="338"/>
      <c r="AX912" s="338"/>
      <c r="AY912" s="338"/>
      <c r="AZ912" s="338"/>
      <c r="BA912" s="338"/>
      <c r="BB912" s="338"/>
      <c r="BC912" s="338"/>
      <c r="BD912" s="338"/>
      <c r="BE912" s="338"/>
      <c r="BF912" s="338"/>
      <c r="BG912" s="338"/>
      <c r="BH912" s="338"/>
      <c r="BI912" s="338"/>
      <c r="BJ912" s="338"/>
      <c r="BK912" s="338"/>
      <c r="BL912" s="338"/>
      <c r="BM912" s="338"/>
      <c r="BN912" s="338"/>
      <c r="BO912" s="338"/>
      <c r="BP912" s="338"/>
      <c r="BQ912" s="338"/>
      <c r="BR912" s="338"/>
      <c r="BS912" s="338"/>
      <c r="BT912" s="338"/>
      <c r="BU912" s="338"/>
      <c r="BV912" s="338"/>
      <c r="BW912" s="338"/>
      <c r="BX912" s="338"/>
      <c r="BY912" s="338"/>
      <c r="BZ912" s="338"/>
      <c r="CA912" s="338"/>
      <c r="CB912" s="338"/>
      <c r="CC912" s="338"/>
      <c r="CD912" s="338"/>
      <c r="CE912" s="338"/>
      <c r="CF912" s="338"/>
      <c r="CG912" s="338"/>
      <c r="CH912" s="338"/>
      <c r="CI912" s="338"/>
      <c r="CJ912" s="338"/>
      <c r="CK912" s="338"/>
      <c r="CL912" s="338"/>
    </row>
    <row r="913" ht="14.2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40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  <c r="AV913" s="338"/>
      <c r="AW913" s="338"/>
      <c r="AX913" s="338"/>
      <c r="AY913" s="338"/>
      <c r="AZ913" s="338"/>
      <c r="BA913" s="338"/>
      <c r="BB913" s="338"/>
      <c r="BC913" s="338"/>
      <c r="BD913" s="338"/>
      <c r="BE913" s="338"/>
      <c r="BF913" s="338"/>
      <c r="BG913" s="338"/>
      <c r="BH913" s="338"/>
      <c r="BI913" s="338"/>
      <c r="BJ913" s="338"/>
      <c r="BK913" s="338"/>
      <c r="BL913" s="338"/>
      <c r="BM913" s="338"/>
      <c r="BN913" s="338"/>
      <c r="BO913" s="338"/>
      <c r="BP913" s="338"/>
      <c r="BQ913" s="338"/>
      <c r="BR913" s="338"/>
      <c r="BS913" s="338"/>
      <c r="BT913" s="338"/>
      <c r="BU913" s="338"/>
      <c r="BV913" s="338"/>
      <c r="BW913" s="338"/>
      <c r="BX913" s="338"/>
      <c r="BY913" s="338"/>
      <c r="BZ913" s="338"/>
      <c r="CA913" s="338"/>
      <c r="CB913" s="338"/>
      <c r="CC913" s="338"/>
      <c r="CD913" s="338"/>
      <c r="CE913" s="338"/>
      <c r="CF913" s="338"/>
      <c r="CG913" s="338"/>
      <c r="CH913" s="338"/>
      <c r="CI913" s="338"/>
      <c r="CJ913" s="338"/>
      <c r="CK913" s="338"/>
      <c r="CL913" s="338"/>
    </row>
    <row r="914" ht="14.2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40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  <c r="AV914" s="338"/>
      <c r="AW914" s="338"/>
      <c r="AX914" s="338"/>
      <c r="AY914" s="338"/>
      <c r="AZ914" s="338"/>
      <c r="BA914" s="338"/>
      <c r="BB914" s="338"/>
      <c r="BC914" s="338"/>
      <c r="BD914" s="338"/>
      <c r="BE914" s="338"/>
      <c r="BF914" s="338"/>
      <c r="BG914" s="338"/>
      <c r="BH914" s="338"/>
      <c r="BI914" s="338"/>
      <c r="BJ914" s="338"/>
      <c r="BK914" s="338"/>
      <c r="BL914" s="338"/>
      <c r="BM914" s="338"/>
      <c r="BN914" s="338"/>
      <c r="BO914" s="338"/>
      <c r="BP914" s="338"/>
      <c r="BQ914" s="338"/>
      <c r="BR914" s="338"/>
      <c r="BS914" s="338"/>
      <c r="BT914" s="338"/>
      <c r="BU914" s="338"/>
      <c r="BV914" s="338"/>
      <c r="BW914" s="338"/>
      <c r="BX914" s="338"/>
      <c r="BY914" s="338"/>
      <c r="BZ914" s="338"/>
      <c r="CA914" s="338"/>
      <c r="CB914" s="338"/>
      <c r="CC914" s="338"/>
      <c r="CD914" s="338"/>
      <c r="CE914" s="338"/>
      <c r="CF914" s="338"/>
      <c r="CG914" s="338"/>
      <c r="CH914" s="338"/>
      <c r="CI914" s="338"/>
      <c r="CJ914" s="338"/>
      <c r="CK914" s="338"/>
      <c r="CL914" s="338"/>
    </row>
    <row r="915" ht="14.2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40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  <c r="AV915" s="338"/>
      <c r="AW915" s="338"/>
      <c r="AX915" s="338"/>
      <c r="AY915" s="338"/>
      <c r="AZ915" s="338"/>
      <c r="BA915" s="338"/>
      <c r="BB915" s="338"/>
      <c r="BC915" s="338"/>
      <c r="BD915" s="338"/>
      <c r="BE915" s="338"/>
      <c r="BF915" s="338"/>
      <c r="BG915" s="338"/>
      <c r="BH915" s="338"/>
      <c r="BI915" s="338"/>
      <c r="BJ915" s="338"/>
      <c r="BK915" s="338"/>
      <c r="BL915" s="338"/>
      <c r="BM915" s="338"/>
      <c r="BN915" s="338"/>
      <c r="BO915" s="338"/>
      <c r="BP915" s="338"/>
      <c r="BQ915" s="338"/>
      <c r="BR915" s="338"/>
      <c r="BS915" s="338"/>
      <c r="BT915" s="338"/>
      <c r="BU915" s="338"/>
      <c r="BV915" s="338"/>
      <c r="BW915" s="338"/>
      <c r="BX915" s="338"/>
      <c r="BY915" s="338"/>
      <c r="BZ915" s="338"/>
      <c r="CA915" s="338"/>
      <c r="CB915" s="338"/>
      <c r="CC915" s="338"/>
      <c r="CD915" s="338"/>
      <c r="CE915" s="338"/>
      <c r="CF915" s="338"/>
      <c r="CG915" s="338"/>
      <c r="CH915" s="338"/>
      <c r="CI915" s="338"/>
      <c r="CJ915" s="338"/>
      <c r="CK915" s="338"/>
      <c r="CL915" s="338"/>
    </row>
    <row r="916" ht="14.2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40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  <c r="AV916" s="338"/>
      <c r="AW916" s="338"/>
      <c r="AX916" s="338"/>
      <c r="AY916" s="338"/>
      <c r="AZ916" s="338"/>
      <c r="BA916" s="338"/>
      <c r="BB916" s="338"/>
      <c r="BC916" s="338"/>
      <c r="BD916" s="338"/>
      <c r="BE916" s="338"/>
      <c r="BF916" s="338"/>
      <c r="BG916" s="338"/>
      <c r="BH916" s="338"/>
      <c r="BI916" s="338"/>
      <c r="BJ916" s="338"/>
      <c r="BK916" s="338"/>
      <c r="BL916" s="338"/>
      <c r="BM916" s="338"/>
      <c r="BN916" s="338"/>
      <c r="BO916" s="338"/>
      <c r="BP916" s="338"/>
      <c r="BQ916" s="338"/>
      <c r="BR916" s="338"/>
      <c r="BS916" s="338"/>
      <c r="BT916" s="338"/>
      <c r="BU916" s="338"/>
      <c r="BV916" s="338"/>
      <c r="BW916" s="338"/>
      <c r="BX916" s="338"/>
      <c r="BY916" s="338"/>
      <c r="BZ916" s="338"/>
      <c r="CA916" s="338"/>
      <c r="CB916" s="338"/>
      <c r="CC916" s="338"/>
      <c r="CD916" s="338"/>
      <c r="CE916" s="338"/>
      <c r="CF916" s="338"/>
      <c r="CG916" s="338"/>
      <c r="CH916" s="338"/>
      <c r="CI916" s="338"/>
      <c r="CJ916" s="338"/>
      <c r="CK916" s="338"/>
      <c r="CL916" s="338"/>
    </row>
    <row r="917" ht="14.2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40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  <c r="AV917" s="338"/>
      <c r="AW917" s="338"/>
      <c r="AX917" s="338"/>
      <c r="AY917" s="338"/>
      <c r="AZ917" s="338"/>
      <c r="BA917" s="338"/>
      <c r="BB917" s="338"/>
      <c r="BC917" s="338"/>
      <c r="BD917" s="338"/>
      <c r="BE917" s="338"/>
      <c r="BF917" s="338"/>
      <c r="BG917" s="338"/>
      <c r="BH917" s="338"/>
      <c r="BI917" s="338"/>
      <c r="BJ917" s="338"/>
      <c r="BK917" s="338"/>
      <c r="BL917" s="338"/>
      <c r="BM917" s="338"/>
      <c r="BN917" s="338"/>
      <c r="BO917" s="338"/>
      <c r="BP917" s="338"/>
      <c r="BQ917" s="338"/>
      <c r="BR917" s="338"/>
      <c r="BS917" s="338"/>
      <c r="BT917" s="338"/>
      <c r="BU917" s="338"/>
      <c r="BV917" s="338"/>
      <c r="BW917" s="338"/>
      <c r="BX917" s="338"/>
      <c r="BY917" s="338"/>
      <c r="BZ917" s="338"/>
      <c r="CA917" s="338"/>
      <c r="CB917" s="338"/>
      <c r="CC917" s="338"/>
      <c r="CD917" s="338"/>
      <c r="CE917" s="338"/>
      <c r="CF917" s="338"/>
      <c r="CG917" s="338"/>
      <c r="CH917" s="338"/>
      <c r="CI917" s="338"/>
      <c r="CJ917" s="338"/>
      <c r="CK917" s="338"/>
      <c r="CL917" s="338"/>
    </row>
    <row r="918" ht="14.2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40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  <c r="AV918" s="338"/>
      <c r="AW918" s="338"/>
      <c r="AX918" s="338"/>
      <c r="AY918" s="338"/>
      <c r="AZ918" s="338"/>
      <c r="BA918" s="338"/>
      <c r="BB918" s="338"/>
      <c r="BC918" s="338"/>
      <c r="BD918" s="338"/>
      <c r="BE918" s="338"/>
      <c r="BF918" s="338"/>
      <c r="BG918" s="338"/>
      <c r="BH918" s="338"/>
      <c r="BI918" s="338"/>
      <c r="BJ918" s="338"/>
      <c r="BK918" s="338"/>
      <c r="BL918" s="338"/>
      <c r="BM918" s="338"/>
      <c r="BN918" s="338"/>
      <c r="BO918" s="338"/>
      <c r="BP918" s="338"/>
      <c r="BQ918" s="338"/>
      <c r="BR918" s="338"/>
      <c r="BS918" s="338"/>
      <c r="BT918" s="338"/>
      <c r="BU918" s="338"/>
      <c r="BV918" s="338"/>
      <c r="BW918" s="338"/>
      <c r="BX918" s="338"/>
      <c r="BY918" s="338"/>
      <c r="BZ918" s="338"/>
      <c r="CA918" s="338"/>
      <c r="CB918" s="338"/>
      <c r="CC918" s="338"/>
      <c r="CD918" s="338"/>
      <c r="CE918" s="338"/>
      <c r="CF918" s="338"/>
      <c r="CG918" s="338"/>
      <c r="CH918" s="338"/>
      <c r="CI918" s="338"/>
      <c r="CJ918" s="338"/>
      <c r="CK918" s="338"/>
      <c r="CL918" s="338"/>
    </row>
    <row r="919" ht="14.2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40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  <c r="AV919" s="338"/>
      <c r="AW919" s="338"/>
      <c r="AX919" s="338"/>
      <c r="AY919" s="338"/>
      <c r="AZ919" s="338"/>
      <c r="BA919" s="338"/>
      <c r="BB919" s="338"/>
      <c r="BC919" s="338"/>
      <c r="BD919" s="338"/>
      <c r="BE919" s="338"/>
      <c r="BF919" s="338"/>
      <c r="BG919" s="338"/>
      <c r="BH919" s="338"/>
      <c r="BI919" s="338"/>
      <c r="BJ919" s="338"/>
      <c r="BK919" s="338"/>
      <c r="BL919" s="338"/>
      <c r="BM919" s="338"/>
      <c r="BN919" s="338"/>
      <c r="BO919" s="338"/>
      <c r="BP919" s="338"/>
      <c r="BQ919" s="338"/>
      <c r="BR919" s="338"/>
      <c r="BS919" s="338"/>
      <c r="BT919" s="338"/>
      <c r="BU919" s="338"/>
      <c r="BV919" s="338"/>
      <c r="BW919" s="338"/>
      <c r="BX919" s="338"/>
      <c r="BY919" s="338"/>
      <c r="BZ919" s="338"/>
      <c r="CA919" s="338"/>
      <c r="CB919" s="338"/>
      <c r="CC919" s="338"/>
      <c r="CD919" s="338"/>
      <c r="CE919" s="338"/>
      <c r="CF919" s="338"/>
      <c r="CG919" s="338"/>
      <c r="CH919" s="338"/>
      <c r="CI919" s="338"/>
      <c r="CJ919" s="338"/>
      <c r="CK919" s="338"/>
      <c r="CL919" s="338"/>
    </row>
    <row r="920" ht="14.2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40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  <c r="AV920" s="338"/>
      <c r="AW920" s="338"/>
      <c r="AX920" s="338"/>
      <c r="AY920" s="338"/>
      <c r="AZ920" s="338"/>
      <c r="BA920" s="338"/>
      <c r="BB920" s="338"/>
      <c r="BC920" s="338"/>
      <c r="BD920" s="338"/>
      <c r="BE920" s="338"/>
      <c r="BF920" s="338"/>
      <c r="BG920" s="338"/>
      <c r="BH920" s="338"/>
      <c r="BI920" s="338"/>
      <c r="BJ920" s="338"/>
      <c r="BK920" s="338"/>
      <c r="BL920" s="338"/>
      <c r="BM920" s="338"/>
      <c r="BN920" s="338"/>
      <c r="BO920" s="338"/>
      <c r="BP920" s="338"/>
      <c r="BQ920" s="338"/>
      <c r="BR920" s="338"/>
      <c r="BS920" s="338"/>
      <c r="BT920" s="338"/>
      <c r="BU920" s="338"/>
      <c r="BV920" s="338"/>
      <c r="BW920" s="338"/>
      <c r="BX920" s="338"/>
      <c r="BY920" s="338"/>
      <c r="BZ920" s="338"/>
      <c r="CA920" s="338"/>
      <c r="CB920" s="338"/>
      <c r="CC920" s="338"/>
      <c r="CD920" s="338"/>
      <c r="CE920" s="338"/>
      <c r="CF920" s="338"/>
      <c r="CG920" s="338"/>
      <c r="CH920" s="338"/>
      <c r="CI920" s="338"/>
      <c r="CJ920" s="338"/>
      <c r="CK920" s="338"/>
      <c r="CL920" s="338"/>
    </row>
    <row r="921" ht="14.2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40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  <c r="AV921" s="338"/>
      <c r="AW921" s="338"/>
      <c r="AX921" s="338"/>
      <c r="AY921" s="338"/>
      <c r="AZ921" s="338"/>
      <c r="BA921" s="338"/>
      <c r="BB921" s="338"/>
      <c r="BC921" s="338"/>
      <c r="BD921" s="338"/>
      <c r="BE921" s="338"/>
      <c r="BF921" s="338"/>
      <c r="BG921" s="338"/>
      <c r="BH921" s="338"/>
      <c r="BI921" s="338"/>
      <c r="BJ921" s="338"/>
      <c r="BK921" s="338"/>
      <c r="BL921" s="338"/>
      <c r="BM921" s="338"/>
      <c r="BN921" s="338"/>
      <c r="BO921" s="338"/>
      <c r="BP921" s="338"/>
      <c r="BQ921" s="338"/>
      <c r="BR921" s="338"/>
      <c r="BS921" s="338"/>
      <c r="BT921" s="338"/>
      <c r="BU921" s="338"/>
      <c r="BV921" s="338"/>
      <c r="BW921" s="338"/>
      <c r="BX921" s="338"/>
      <c r="BY921" s="338"/>
      <c r="BZ921" s="338"/>
      <c r="CA921" s="338"/>
      <c r="CB921" s="338"/>
      <c r="CC921" s="338"/>
      <c r="CD921" s="338"/>
      <c r="CE921" s="338"/>
      <c r="CF921" s="338"/>
      <c r="CG921" s="338"/>
      <c r="CH921" s="338"/>
      <c r="CI921" s="338"/>
      <c r="CJ921" s="338"/>
      <c r="CK921" s="338"/>
      <c r="CL921" s="338"/>
    </row>
    <row r="922" ht="14.2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40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  <c r="AV922" s="338"/>
      <c r="AW922" s="338"/>
      <c r="AX922" s="338"/>
      <c r="AY922" s="338"/>
      <c r="AZ922" s="338"/>
      <c r="BA922" s="338"/>
      <c r="BB922" s="338"/>
      <c r="BC922" s="338"/>
      <c r="BD922" s="338"/>
      <c r="BE922" s="338"/>
      <c r="BF922" s="338"/>
      <c r="BG922" s="338"/>
      <c r="BH922" s="338"/>
      <c r="BI922" s="338"/>
      <c r="BJ922" s="338"/>
      <c r="BK922" s="338"/>
      <c r="BL922" s="338"/>
      <c r="BM922" s="338"/>
      <c r="BN922" s="338"/>
      <c r="BO922" s="338"/>
      <c r="BP922" s="338"/>
      <c r="BQ922" s="338"/>
      <c r="BR922" s="338"/>
      <c r="BS922" s="338"/>
      <c r="BT922" s="338"/>
      <c r="BU922" s="338"/>
      <c r="BV922" s="338"/>
      <c r="BW922" s="338"/>
      <c r="BX922" s="338"/>
      <c r="BY922" s="338"/>
      <c r="BZ922" s="338"/>
      <c r="CA922" s="338"/>
      <c r="CB922" s="338"/>
      <c r="CC922" s="338"/>
      <c r="CD922" s="338"/>
      <c r="CE922" s="338"/>
      <c r="CF922" s="338"/>
      <c r="CG922" s="338"/>
      <c r="CH922" s="338"/>
      <c r="CI922" s="338"/>
      <c r="CJ922" s="338"/>
      <c r="CK922" s="338"/>
      <c r="CL922" s="338"/>
    </row>
    <row r="923" ht="14.2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40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  <c r="AV923" s="338"/>
      <c r="AW923" s="338"/>
      <c r="AX923" s="338"/>
      <c r="AY923" s="338"/>
      <c r="AZ923" s="338"/>
      <c r="BA923" s="338"/>
      <c r="BB923" s="338"/>
      <c r="BC923" s="338"/>
      <c r="BD923" s="338"/>
      <c r="BE923" s="338"/>
      <c r="BF923" s="338"/>
      <c r="BG923" s="338"/>
      <c r="BH923" s="338"/>
      <c r="BI923" s="338"/>
      <c r="BJ923" s="338"/>
      <c r="BK923" s="338"/>
      <c r="BL923" s="338"/>
      <c r="BM923" s="338"/>
      <c r="BN923" s="338"/>
      <c r="BO923" s="338"/>
      <c r="BP923" s="338"/>
      <c r="BQ923" s="338"/>
      <c r="BR923" s="338"/>
      <c r="BS923" s="338"/>
      <c r="BT923" s="338"/>
      <c r="BU923" s="338"/>
      <c r="BV923" s="338"/>
      <c r="BW923" s="338"/>
      <c r="BX923" s="338"/>
      <c r="BY923" s="338"/>
      <c r="BZ923" s="338"/>
      <c r="CA923" s="338"/>
      <c r="CB923" s="338"/>
      <c r="CC923" s="338"/>
      <c r="CD923" s="338"/>
      <c r="CE923" s="338"/>
      <c r="CF923" s="338"/>
      <c r="CG923" s="338"/>
      <c r="CH923" s="338"/>
      <c r="CI923" s="338"/>
      <c r="CJ923" s="338"/>
      <c r="CK923" s="338"/>
      <c r="CL923" s="338"/>
    </row>
    <row r="924" ht="14.2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40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  <c r="AV924" s="338"/>
      <c r="AW924" s="338"/>
      <c r="AX924" s="338"/>
      <c r="AY924" s="338"/>
      <c r="AZ924" s="338"/>
      <c r="BA924" s="338"/>
      <c r="BB924" s="338"/>
      <c r="BC924" s="338"/>
      <c r="BD924" s="338"/>
      <c r="BE924" s="338"/>
      <c r="BF924" s="338"/>
      <c r="BG924" s="338"/>
      <c r="BH924" s="338"/>
      <c r="BI924" s="338"/>
      <c r="BJ924" s="338"/>
      <c r="BK924" s="338"/>
      <c r="BL924" s="338"/>
      <c r="BM924" s="338"/>
      <c r="BN924" s="338"/>
      <c r="BO924" s="338"/>
      <c r="BP924" s="338"/>
      <c r="BQ924" s="338"/>
      <c r="BR924" s="338"/>
      <c r="BS924" s="338"/>
      <c r="BT924" s="338"/>
      <c r="BU924" s="338"/>
      <c r="BV924" s="338"/>
      <c r="BW924" s="338"/>
      <c r="BX924" s="338"/>
      <c r="BY924" s="338"/>
      <c r="BZ924" s="338"/>
      <c r="CA924" s="338"/>
      <c r="CB924" s="338"/>
      <c r="CC924" s="338"/>
      <c r="CD924" s="338"/>
      <c r="CE924" s="338"/>
      <c r="CF924" s="338"/>
      <c r="CG924" s="338"/>
      <c r="CH924" s="338"/>
      <c r="CI924" s="338"/>
      <c r="CJ924" s="338"/>
      <c r="CK924" s="338"/>
      <c r="CL924" s="338"/>
    </row>
    <row r="925" ht="14.2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40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  <c r="AV925" s="338"/>
      <c r="AW925" s="338"/>
      <c r="AX925" s="338"/>
      <c r="AY925" s="338"/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338"/>
      <c r="BV925" s="338"/>
      <c r="BW925" s="338"/>
      <c r="BX925" s="338"/>
      <c r="BY925" s="338"/>
      <c r="BZ925" s="338"/>
      <c r="CA925" s="338"/>
      <c r="CB925" s="338"/>
      <c r="CC925" s="338"/>
      <c r="CD925" s="338"/>
      <c r="CE925" s="338"/>
      <c r="CF925" s="338"/>
      <c r="CG925" s="338"/>
      <c r="CH925" s="338"/>
      <c r="CI925" s="338"/>
      <c r="CJ925" s="338"/>
      <c r="CK925" s="338"/>
      <c r="CL925" s="338"/>
    </row>
    <row r="926" ht="14.2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40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  <c r="AV926" s="338"/>
      <c r="AW926" s="338"/>
      <c r="AX926" s="338"/>
      <c r="AY926" s="338"/>
      <c r="AZ926" s="338"/>
      <c r="BA926" s="338"/>
      <c r="BB926" s="338"/>
      <c r="BC926" s="338"/>
      <c r="BD926" s="338"/>
      <c r="BE926" s="338"/>
      <c r="BF926" s="338"/>
      <c r="BG926" s="338"/>
      <c r="BH926" s="338"/>
      <c r="BI926" s="338"/>
      <c r="BJ926" s="338"/>
      <c r="BK926" s="338"/>
      <c r="BL926" s="338"/>
      <c r="BM926" s="338"/>
      <c r="BN926" s="338"/>
      <c r="BO926" s="338"/>
      <c r="BP926" s="338"/>
      <c r="BQ926" s="338"/>
      <c r="BR926" s="338"/>
      <c r="BS926" s="338"/>
      <c r="BT926" s="338"/>
      <c r="BU926" s="338"/>
      <c r="BV926" s="338"/>
      <c r="BW926" s="338"/>
      <c r="BX926" s="338"/>
      <c r="BY926" s="338"/>
      <c r="BZ926" s="338"/>
      <c r="CA926" s="338"/>
      <c r="CB926" s="338"/>
      <c r="CC926" s="338"/>
      <c r="CD926" s="338"/>
      <c r="CE926" s="338"/>
      <c r="CF926" s="338"/>
      <c r="CG926" s="338"/>
      <c r="CH926" s="338"/>
      <c r="CI926" s="338"/>
      <c r="CJ926" s="338"/>
      <c r="CK926" s="338"/>
      <c r="CL926" s="338"/>
    </row>
    <row r="927" ht="14.2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40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  <c r="AV927" s="338"/>
      <c r="AW927" s="338"/>
      <c r="AX927" s="338"/>
      <c r="AY927" s="338"/>
      <c r="AZ927" s="338"/>
      <c r="BA927" s="338"/>
      <c r="BB927" s="338"/>
      <c r="BC927" s="338"/>
      <c r="BD927" s="338"/>
      <c r="BE927" s="338"/>
      <c r="BF927" s="338"/>
      <c r="BG927" s="338"/>
      <c r="BH927" s="338"/>
      <c r="BI927" s="338"/>
      <c r="BJ927" s="338"/>
      <c r="BK927" s="338"/>
      <c r="BL927" s="338"/>
      <c r="BM927" s="338"/>
      <c r="BN927" s="338"/>
      <c r="BO927" s="338"/>
      <c r="BP927" s="338"/>
      <c r="BQ927" s="338"/>
      <c r="BR927" s="338"/>
      <c r="BS927" s="338"/>
      <c r="BT927" s="338"/>
      <c r="BU927" s="338"/>
      <c r="BV927" s="338"/>
      <c r="BW927" s="338"/>
      <c r="BX927" s="338"/>
      <c r="BY927" s="338"/>
      <c r="BZ927" s="338"/>
      <c r="CA927" s="338"/>
      <c r="CB927" s="338"/>
      <c r="CC927" s="338"/>
      <c r="CD927" s="338"/>
      <c r="CE927" s="338"/>
      <c r="CF927" s="338"/>
      <c r="CG927" s="338"/>
      <c r="CH927" s="338"/>
      <c r="CI927" s="338"/>
      <c r="CJ927" s="338"/>
      <c r="CK927" s="338"/>
      <c r="CL927" s="338"/>
    </row>
    <row r="928" ht="14.2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40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  <c r="AV928" s="338"/>
      <c r="AW928" s="338"/>
      <c r="AX928" s="338"/>
      <c r="AY928" s="338"/>
      <c r="AZ928" s="338"/>
      <c r="BA928" s="338"/>
      <c r="BB928" s="338"/>
      <c r="BC928" s="338"/>
      <c r="BD928" s="338"/>
      <c r="BE928" s="338"/>
      <c r="BF928" s="338"/>
      <c r="BG928" s="338"/>
      <c r="BH928" s="338"/>
      <c r="BI928" s="338"/>
      <c r="BJ928" s="338"/>
      <c r="BK928" s="338"/>
      <c r="BL928" s="338"/>
      <c r="BM928" s="338"/>
      <c r="BN928" s="338"/>
      <c r="BO928" s="338"/>
      <c r="BP928" s="338"/>
      <c r="BQ928" s="338"/>
      <c r="BR928" s="338"/>
      <c r="BS928" s="338"/>
      <c r="BT928" s="338"/>
      <c r="BU928" s="338"/>
      <c r="BV928" s="338"/>
      <c r="BW928" s="338"/>
      <c r="BX928" s="338"/>
      <c r="BY928" s="338"/>
      <c r="BZ928" s="338"/>
      <c r="CA928" s="338"/>
      <c r="CB928" s="338"/>
      <c r="CC928" s="338"/>
      <c r="CD928" s="338"/>
      <c r="CE928" s="338"/>
      <c r="CF928" s="338"/>
      <c r="CG928" s="338"/>
      <c r="CH928" s="338"/>
      <c r="CI928" s="338"/>
      <c r="CJ928" s="338"/>
      <c r="CK928" s="338"/>
      <c r="CL928" s="338"/>
    </row>
    <row r="929" ht="14.2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40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  <c r="BB929" s="338"/>
      <c r="BC929" s="338"/>
      <c r="BD929" s="338"/>
      <c r="BE929" s="338"/>
      <c r="BF929" s="338"/>
      <c r="BG929" s="338"/>
      <c r="BH929" s="338"/>
      <c r="BI929" s="338"/>
      <c r="BJ929" s="338"/>
      <c r="BK929" s="338"/>
      <c r="BL929" s="338"/>
      <c r="BM929" s="338"/>
      <c r="BN929" s="338"/>
      <c r="BO929" s="338"/>
      <c r="BP929" s="338"/>
      <c r="BQ929" s="338"/>
      <c r="BR929" s="338"/>
      <c r="BS929" s="338"/>
      <c r="BT929" s="338"/>
      <c r="BU929" s="338"/>
      <c r="BV929" s="338"/>
      <c r="BW929" s="338"/>
      <c r="BX929" s="338"/>
      <c r="BY929" s="338"/>
      <c r="BZ929" s="338"/>
      <c r="CA929" s="338"/>
      <c r="CB929" s="338"/>
      <c r="CC929" s="338"/>
      <c r="CD929" s="338"/>
      <c r="CE929" s="338"/>
      <c r="CF929" s="338"/>
      <c r="CG929" s="338"/>
      <c r="CH929" s="338"/>
      <c r="CI929" s="338"/>
      <c r="CJ929" s="338"/>
      <c r="CK929" s="338"/>
      <c r="CL929" s="338"/>
    </row>
    <row r="930" ht="14.2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40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  <c r="AV930" s="338"/>
      <c r="AW930" s="338"/>
      <c r="AX930" s="338"/>
      <c r="AY930" s="338"/>
      <c r="AZ930" s="338"/>
      <c r="BA930" s="338"/>
      <c r="BB930" s="338"/>
      <c r="BC930" s="338"/>
      <c r="BD930" s="338"/>
      <c r="BE930" s="338"/>
      <c r="BF930" s="338"/>
      <c r="BG930" s="338"/>
      <c r="BH930" s="338"/>
      <c r="BI930" s="338"/>
      <c r="BJ930" s="338"/>
      <c r="BK930" s="338"/>
      <c r="BL930" s="338"/>
      <c r="BM930" s="338"/>
      <c r="BN930" s="338"/>
      <c r="BO930" s="338"/>
      <c r="BP930" s="338"/>
      <c r="BQ930" s="338"/>
      <c r="BR930" s="338"/>
      <c r="BS930" s="338"/>
      <c r="BT930" s="338"/>
      <c r="BU930" s="338"/>
      <c r="BV930" s="338"/>
      <c r="BW930" s="338"/>
      <c r="BX930" s="338"/>
      <c r="BY930" s="338"/>
      <c r="BZ930" s="338"/>
      <c r="CA930" s="338"/>
      <c r="CB930" s="338"/>
      <c r="CC930" s="338"/>
      <c r="CD930" s="338"/>
      <c r="CE930" s="338"/>
      <c r="CF930" s="338"/>
      <c r="CG930" s="338"/>
      <c r="CH930" s="338"/>
      <c r="CI930" s="338"/>
      <c r="CJ930" s="338"/>
      <c r="CK930" s="338"/>
      <c r="CL930" s="338"/>
    </row>
    <row r="931" ht="14.2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40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  <c r="AV931" s="338"/>
      <c r="AW931" s="338"/>
      <c r="AX931" s="338"/>
      <c r="AY931" s="338"/>
      <c r="AZ931" s="338"/>
      <c r="BA931" s="338"/>
      <c r="BB931" s="338"/>
      <c r="BC931" s="338"/>
      <c r="BD931" s="338"/>
      <c r="BE931" s="338"/>
      <c r="BF931" s="338"/>
      <c r="BG931" s="338"/>
      <c r="BH931" s="338"/>
      <c r="BI931" s="338"/>
      <c r="BJ931" s="338"/>
      <c r="BK931" s="338"/>
      <c r="BL931" s="338"/>
      <c r="BM931" s="338"/>
      <c r="BN931" s="338"/>
      <c r="BO931" s="338"/>
      <c r="BP931" s="338"/>
      <c r="BQ931" s="338"/>
      <c r="BR931" s="338"/>
      <c r="BS931" s="338"/>
      <c r="BT931" s="338"/>
      <c r="BU931" s="338"/>
      <c r="BV931" s="338"/>
      <c r="BW931" s="338"/>
      <c r="BX931" s="338"/>
      <c r="BY931" s="338"/>
      <c r="BZ931" s="338"/>
      <c r="CA931" s="338"/>
      <c r="CB931" s="338"/>
      <c r="CC931" s="338"/>
      <c r="CD931" s="338"/>
      <c r="CE931" s="338"/>
      <c r="CF931" s="338"/>
      <c r="CG931" s="338"/>
      <c r="CH931" s="338"/>
      <c r="CI931" s="338"/>
      <c r="CJ931" s="338"/>
      <c r="CK931" s="338"/>
      <c r="CL931" s="338"/>
    </row>
    <row r="932" ht="14.2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40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  <c r="AV932" s="338"/>
      <c r="AW932" s="338"/>
      <c r="AX932" s="338"/>
      <c r="AY932" s="338"/>
      <c r="AZ932" s="338"/>
      <c r="BA932" s="338"/>
      <c r="BB932" s="338"/>
      <c r="BC932" s="338"/>
      <c r="BD932" s="338"/>
      <c r="BE932" s="338"/>
      <c r="BF932" s="338"/>
      <c r="BG932" s="338"/>
      <c r="BH932" s="338"/>
      <c r="BI932" s="338"/>
      <c r="BJ932" s="338"/>
      <c r="BK932" s="338"/>
      <c r="BL932" s="338"/>
      <c r="BM932" s="338"/>
      <c r="BN932" s="338"/>
      <c r="BO932" s="338"/>
      <c r="BP932" s="338"/>
      <c r="BQ932" s="338"/>
      <c r="BR932" s="338"/>
      <c r="BS932" s="338"/>
      <c r="BT932" s="338"/>
      <c r="BU932" s="338"/>
      <c r="BV932" s="338"/>
      <c r="BW932" s="338"/>
      <c r="BX932" s="338"/>
      <c r="BY932" s="338"/>
      <c r="BZ932" s="338"/>
      <c r="CA932" s="338"/>
      <c r="CB932" s="338"/>
      <c r="CC932" s="338"/>
      <c r="CD932" s="338"/>
      <c r="CE932" s="338"/>
      <c r="CF932" s="338"/>
      <c r="CG932" s="338"/>
      <c r="CH932" s="338"/>
      <c r="CI932" s="338"/>
      <c r="CJ932" s="338"/>
      <c r="CK932" s="338"/>
      <c r="CL932" s="338"/>
    </row>
    <row r="933" ht="14.2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40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  <c r="AV933" s="338"/>
      <c r="AW933" s="338"/>
      <c r="AX933" s="338"/>
      <c r="AY933" s="338"/>
      <c r="AZ933" s="338"/>
      <c r="BA933" s="338"/>
      <c r="BB933" s="338"/>
      <c r="BC933" s="338"/>
      <c r="BD933" s="338"/>
      <c r="BE933" s="338"/>
      <c r="BF933" s="338"/>
      <c r="BG933" s="338"/>
      <c r="BH933" s="338"/>
      <c r="BI933" s="338"/>
      <c r="BJ933" s="338"/>
      <c r="BK933" s="338"/>
      <c r="BL933" s="338"/>
      <c r="BM933" s="338"/>
      <c r="BN933" s="338"/>
      <c r="BO933" s="338"/>
      <c r="BP933" s="338"/>
      <c r="BQ933" s="338"/>
      <c r="BR933" s="338"/>
      <c r="BS933" s="338"/>
      <c r="BT933" s="338"/>
      <c r="BU933" s="338"/>
      <c r="BV933" s="338"/>
      <c r="BW933" s="338"/>
      <c r="BX933" s="338"/>
      <c r="BY933" s="338"/>
      <c r="BZ933" s="338"/>
      <c r="CA933" s="338"/>
      <c r="CB933" s="338"/>
      <c r="CC933" s="338"/>
      <c r="CD933" s="338"/>
      <c r="CE933" s="338"/>
      <c r="CF933" s="338"/>
      <c r="CG933" s="338"/>
      <c r="CH933" s="338"/>
      <c r="CI933" s="338"/>
      <c r="CJ933" s="338"/>
      <c r="CK933" s="338"/>
      <c r="CL933" s="338"/>
    </row>
    <row r="934" ht="14.2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40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  <c r="AV934" s="338"/>
      <c r="AW934" s="338"/>
      <c r="AX934" s="338"/>
      <c r="AY934" s="338"/>
      <c r="AZ934" s="338"/>
      <c r="BA934" s="338"/>
      <c r="BB934" s="338"/>
      <c r="BC934" s="338"/>
      <c r="BD934" s="338"/>
      <c r="BE934" s="338"/>
      <c r="BF934" s="338"/>
      <c r="BG934" s="338"/>
      <c r="BH934" s="338"/>
      <c r="BI934" s="338"/>
      <c r="BJ934" s="338"/>
      <c r="BK934" s="338"/>
      <c r="BL934" s="338"/>
      <c r="BM934" s="338"/>
      <c r="BN934" s="338"/>
      <c r="BO934" s="338"/>
      <c r="BP934" s="338"/>
      <c r="BQ934" s="338"/>
      <c r="BR934" s="338"/>
      <c r="BS934" s="338"/>
      <c r="BT934" s="338"/>
      <c r="BU934" s="338"/>
      <c r="BV934" s="338"/>
      <c r="BW934" s="338"/>
      <c r="BX934" s="338"/>
      <c r="BY934" s="338"/>
      <c r="BZ934" s="338"/>
      <c r="CA934" s="338"/>
      <c r="CB934" s="338"/>
      <c r="CC934" s="338"/>
      <c r="CD934" s="338"/>
      <c r="CE934" s="338"/>
      <c r="CF934" s="338"/>
      <c r="CG934" s="338"/>
      <c r="CH934" s="338"/>
      <c r="CI934" s="338"/>
      <c r="CJ934" s="338"/>
      <c r="CK934" s="338"/>
      <c r="CL934" s="338"/>
    </row>
    <row r="935" ht="14.2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40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  <c r="AV935" s="338"/>
      <c r="AW935" s="338"/>
      <c r="AX935" s="338"/>
      <c r="AY935" s="338"/>
      <c r="AZ935" s="338"/>
      <c r="BA935" s="338"/>
      <c r="BB935" s="338"/>
      <c r="BC935" s="338"/>
      <c r="BD935" s="338"/>
      <c r="BE935" s="338"/>
      <c r="BF935" s="338"/>
      <c r="BG935" s="338"/>
      <c r="BH935" s="338"/>
      <c r="BI935" s="338"/>
      <c r="BJ935" s="338"/>
      <c r="BK935" s="338"/>
      <c r="BL935" s="338"/>
      <c r="BM935" s="338"/>
      <c r="BN935" s="338"/>
      <c r="BO935" s="338"/>
      <c r="BP935" s="338"/>
      <c r="BQ935" s="338"/>
      <c r="BR935" s="338"/>
      <c r="BS935" s="338"/>
      <c r="BT935" s="338"/>
      <c r="BU935" s="338"/>
      <c r="BV935" s="338"/>
      <c r="BW935" s="338"/>
      <c r="BX935" s="338"/>
      <c r="BY935" s="338"/>
      <c r="BZ935" s="338"/>
      <c r="CA935" s="338"/>
      <c r="CB935" s="338"/>
      <c r="CC935" s="338"/>
      <c r="CD935" s="338"/>
      <c r="CE935" s="338"/>
      <c r="CF935" s="338"/>
      <c r="CG935" s="338"/>
      <c r="CH935" s="338"/>
      <c r="CI935" s="338"/>
      <c r="CJ935" s="338"/>
      <c r="CK935" s="338"/>
      <c r="CL935" s="338"/>
    </row>
    <row r="936" ht="14.2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40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  <c r="AV936" s="338"/>
      <c r="AW936" s="338"/>
      <c r="AX936" s="338"/>
      <c r="AY936" s="338"/>
      <c r="AZ936" s="338"/>
      <c r="BA936" s="338"/>
      <c r="BB936" s="338"/>
      <c r="BC936" s="338"/>
      <c r="BD936" s="338"/>
      <c r="BE936" s="338"/>
      <c r="BF936" s="338"/>
      <c r="BG936" s="338"/>
      <c r="BH936" s="338"/>
      <c r="BI936" s="338"/>
      <c r="BJ936" s="338"/>
      <c r="BK936" s="338"/>
      <c r="BL936" s="338"/>
      <c r="BM936" s="338"/>
      <c r="BN936" s="338"/>
      <c r="BO936" s="338"/>
      <c r="BP936" s="338"/>
      <c r="BQ936" s="338"/>
      <c r="BR936" s="338"/>
      <c r="BS936" s="338"/>
      <c r="BT936" s="338"/>
      <c r="BU936" s="338"/>
      <c r="BV936" s="338"/>
      <c r="BW936" s="338"/>
      <c r="BX936" s="338"/>
      <c r="BY936" s="338"/>
      <c r="BZ936" s="338"/>
      <c r="CA936" s="338"/>
      <c r="CB936" s="338"/>
      <c r="CC936" s="338"/>
      <c r="CD936" s="338"/>
      <c r="CE936" s="338"/>
      <c r="CF936" s="338"/>
      <c r="CG936" s="338"/>
      <c r="CH936" s="338"/>
      <c r="CI936" s="338"/>
      <c r="CJ936" s="338"/>
      <c r="CK936" s="338"/>
      <c r="CL936" s="338"/>
    </row>
    <row r="937" ht="14.2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40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  <c r="AV937" s="338"/>
      <c r="AW937" s="338"/>
      <c r="AX937" s="338"/>
      <c r="AY937" s="338"/>
      <c r="AZ937" s="338"/>
      <c r="BA937" s="338"/>
      <c r="BB937" s="338"/>
      <c r="BC937" s="338"/>
      <c r="BD937" s="338"/>
      <c r="BE937" s="338"/>
      <c r="BF937" s="338"/>
      <c r="BG937" s="338"/>
      <c r="BH937" s="338"/>
      <c r="BI937" s="338"/>
      <c r="BJ937" s="338"/>
      <c r="BK937" s="338"/>
      <c r="BL937" s="338"/>
      <c r="BM937" s="338"/>
      <c r="BN937" s="338"/>
      <c r="BO937" s="338"/>
      <c r="BP937" s="338"/>
      <c r="BQ937" s="338"/>
      <c r="BR937" s="338"/>
      <c r="BS937" s="338"/>
      <c r="BT937" s="338"/>
      <c r="BU937" s="338"/>
      <c r="BV937" s="338"/>
      <c r="BW937" s="338"/>
      <c r="BX937" s="338"/>
      <c r="BY937" s="338"/>
      <c r="BZ937" s="338"/>
      <c r="CA937" s="338"/>
      <c r="CB937" s="338"/>
      <c r="CC937" s="338"/>
      <c r="CD937" s="338"/>
      <c r="CE937" s="338"/>
      <c r="CF937" s="338"/>
      <c r="CG937" s="338"/>
      <c r="CH937" s="338"/>
      <c r="CI937" s="338"/>
      <c r="CJ937" s="338"/>
      <c r="CK937" s="338"/>
      <c r="CL937" s="338"/>
    </row>
    <row r="938" ht="14.2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40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  <c r="AV938" s="338"/>
      <c r="AW938" s="338"/>
      <c r="AX938" s="338"/>
      <c r="AY938" s="338"/>
      <c r="AZ938" s="338"/>
      <c r="BA938" s="338"/>
      <c r="BB938" s="338"/>
      <c r="BC938" s="338"/>
      <c r="BD938" s="338"/>
      <c r="BE938" s="338"/>
      <c r="BF938" s="338"/>
      <c r="BG938" s="338"/>
      <c r="BH938" s="338"/>
      <c r="BI938" s="338"/>
      <c r="BJ938" s="338"/>
      <c r="BK938" s="338"/>
      <c r="BL938" s="338"/>
      <c r="BM938" s="338"/>
      <c r="BN938" s="338"/>
      <c r="BO938" s="338"/>
      <c r="BP938" s="338"/>
      <c r="BQ938" s="338"/>
      <c r="BR938" s="338"/>
      <c r="BS938" s="338"/>
      <c r="BT938" s="338"/>
      <c r="BU938" s="338"/>
      <c r="BV938" s="338"/>
      <c r="BW938" s="338"/>
      <c r="BX938" s="338"/>
      <c r="BY938" s="338"/>
      <c r="BZ938" s="338"/>
      <c r="CA938" s="338"/>
      <c r="CB938" s="338"/>
      <c r="CC938" s="338"/>
      <c r="CD938" s="338"/>
      <c r="CE938" s="338"/>
      <c r="CF938" s="338"/>
      <c r="CG938" s="338"/>
      <c r="CH938" s="338"/>
      <c r="CI938" s="338"/>
      <c r="CJ938" s="338"/>
      <c r="CK938" s="338"/>
      <c r="CL938" s="338"/>
    </row>
    <row r="939" ht="14.2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40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  <c r="AV939" s="338"/>
      <c r="AW939" s="338"/>
      <c r="AX939" s="338"/>
      <c r="AY939" s="338"/>
      <c r="AZ939" s="338"/>
      <c r="BA939" s="338"/>
      <c r="BB939" s="338"/>
      <c r="BC939" s="338"/>
      <c r="BD939" s="338"/>
      <c r="BE939" s="338"/>
      <c r="BF939" s="338"/>
      <c r="BG939" s="338"/>
      <c r="BH939" s="338"/>
      <c r="BI939" s="338"/>
      <c r="BJ939" s="338"/>
      <c r="BK939" s="338"/>
      <c r="BL939" s="338"/>
      <c r="BM939" s="338"/>
      <c r="BN939" s="338"/>
      <c r="BO939" s="338"/>
      <c r="BP939" s="338"/>
      <c r="BQ939" s="338"/>
      <c r="BR939" s="338"/>
      <c r="BS939" s="338"/>
      <c r="BT939" s="338"/>
      <c r="BU939" s="338"/>
      <c r="BV939" s="338"/>
      <c r="BW939" s="338"/>
      <c r="BX939" s="338"/>
      <c r="BY939" s="338"/>
      <c r="BZ939" s="338"/>
      <c r="CA939" s="338"/>
      <c r="CB939" s="338"/>
      <c r="CC939" s="338"/>
      <c r="CD939" s="338"/>
      <c r="CE939" s="338"/>
      <c r="CF939" s="338"/>
      <c r="CG939" s="338"/>
      <c r="CH939" s="338"/>
      <c r="CI939" s="338"/>
      <c r="CJ939" s="338"/>
      <c r="CK939" s="338"/>
      <c r="CL939" s="338"/>
    </row>
    <row r="940" ht="14.2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40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  <c r="AV940" s="338"/>
      <c r="AW940" s="338"/>
      <c r="AX940" s="338"/>
      <c r="AY940" s="338"/>
      <c r="AZ940" s="338"/>
      <c r="BA940" s="338"/>
      <c r="BB940" s="338"/>
      <c r="BC940" s="338"/>
      <c r="BD940" s="338"/>
      <c r="BE940" s="338"/>
      <c r="BF940" s="338"/>
      <c r="BG940" s="338"/>
      <c r="BH940" s="338"/>
      <c r="BI940" s="338"/>
      <c r="BJ940" s="338"/>
      <c r="BK940" s="338"/>
      <c r="BL940" s="338"/>
      <c r="BM940" s="338"/>
      <c r="BN940" s="338"/>
      <c r="BO940" s="338"/>
      <c r="BP940" s="338"/>
      <c r="BQ940" s="338"/>
      <c r="BR940" s="338"/>
      <c r="BS940" s="338"/>
      <c r="BT940" s="338"/>
      <c r="BU940" s="338"/>
      <c r="BV940" s="338"/>
      <c r="BW940" s="338"/>
      <c r="BX940" s="338"/>
      <c r="BY940" s="338"/>
      <c r="BZ940" s="338"/>
      <c r="CA940" s="338"/>
      <c r="CB940" s="338"/>
      <c r="CC940" s="338"/>
      <c r="CD940" s="338"/>
      <c r="CE940" s="338"/>
      <c r="CF940" s="338"/>
      <c r="CG940" s="338"/>
      <c r="CH940" s="338"/>
      <c r="CI940" s="338"/>
      <c r="CJ940" s="338"/>
      <c r="CK940" s="338"/>
      <c r="CL940" s="338"/>
    </row>
    <row r="941" ht="14.2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40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  <c r="AV941" s="338"/>
      <c r="AW941" s="338"/>
      <c r="AX941" s="338"/>
      <c r="AY941" s="338"/>
      <c r="AZ941" s="338"/>
      <c r="BA941" s="338"/>
      <c r="BB941" s="338"/>
      <c r="BC941" s="338"/>
      <c r="BD941" s="338"/>
      <c r="BE941" s="338"/>
      <c r="BF941" s="338"/>
      <c r="BG941" s="338"/>
      <c r="BH941" s="338"/>
      <c r="BI941" s="338"/>
      <c r="BJ941" s="338"/>
      <c r="BK941" s="338"/>
      <c r="BL941" s="338"/>
      <c r="BM941" s="338"/>
      <c r="BN941" s="338"/>
      <c r="BO941" s="338"/>
      <c r="BP941" s="338"/>
      <c r="BQ941" s="338"/>
      <c r="BR941" s="338"/>
      <c r="BS941" s="338"/>
      <c r="BT941" s="338"/>
      <c r="BU941" s="338"/>
      <c r="BV941" s="338"/>
      <c r="BW941" s="338"/>
      <c r="BX941" s="338"/>
      <c r="BY941" s="338"/>
      <c r="BZ941" s="338"/>
      <c r="CA941" s="338"/>
      <c r="CB941" s="338"/>
      <c r="CC941" s="338"/>
      <c r="CD941" s="338"/>
      <c r="CE941" s="338"/>
      <c r="CF941" s="338"/>
      <c r="CG941" s="338"/>
      <c r="CH941" s="338"/>
      <c r="CI941" s="338"/>
      <c r="CJ941" s="338"/>
      <c r="CK941" s="338"/>
      <c r="CL941" s="338"/>
    </row>
    <row r="942" ht="14.2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40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  <c r="AV942" s="338"/>
      <c r="AW942" s="338"/>
      <c r="AX942" s="338"/>
      <c r="AY942" s="338"/>
      <c r="AZ942" s="338"/>
      <c r="BA942" s="338"/>
      <c r="BB942" s="338"/>
      <c r="BC942" s="338"/>
      <c r="BD942" s="338"/>
      <c r="BE942" s="338"/>
      <c r="BF942" s="338"/>
      <c r="BG942" s="338"/>
      <c r="BH942" s="338"/>
      <c r="BI942" s="338"/>
      <c r="BJ942" s="338"/>
      <c r="BK942" s="338"/>
      <c r="BL942" s="338"/>
      <c r="BM942" s="338"/>
      <c r="BN942" s="338"/>
      <c r="BO942" s="338"/>
      <c r="BP942" s="338"/>
      <c r="BQ942" s="338"/>
      <c r="BR942" s="338"/>
      <c r="BS942" s="338"/>
      <c r="BT942" s="338"/>
      <c r="BU942" s="338"/>
      <c r="BV942" s="338"/>
      <c r="BW942" s="338"/>
      <c r="BX942" s="338"/>
      <c r="BY942" s="338"/>
      <c r="BZ942" s="338"/>
      <c r="CA942" s="338"/>
      <c r="CB942" s="338"/>
      <c r="CC942" s="338"/>
      <c r="CD942" s="338"/>
      <c r="CE942" s="338"/>
      <c r="CF942" s="338"/>
      <c r="CG942" s="338"/>
      <c r="CH942" s="338"/>
      <c r="CI942" s="338"/>
      <c r="CJ942" s="338"/>
      <c r="CK942" s="338"/>
      <c r="CL942" s="338"/>
    </row>
    <row r="943" ht="14.2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40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  <c r="AV943" s="338"/>
      <c r="AW943" s="338"/>
      <c r="AX943" s="338"/>
      <c r="AY943" s="338"/>
      <c r="AZ943" s="338"/>
      <c r="BA943" s="338"/>
      <c r="BB943" s="338"/>
      <c r="BC943" s="338"/>
      <c r="BD943" s="338"/>
      <c r="BE943" s="338"/>
      <c r="BF943" s="338"/>
      <c r="BG943" s="338"/>
      <c r="BH943" s="338"/>
      <c r="BI943" s="338"/>
      <c r="BJ943" s="338"/>
      <c r="BK943" s="338"/>
      <c r="BL943" s="338"/>
      <c r="BM943" s="338"/>
      <c r="BN943" s="338"/>
      <c r="BO943" s="338"/>
      <c r="BP943" s="338"/>
      <c r="BQ943" s="338"/>
      <c r="BR943" s="338"/>
      <c r="BS943" s="338"/>
      <c r="BT943" s="338"/>
      <c r="BU943" s="338"/>
      <c r="BV943" s="338"/>
      <c r="BW943" s="338"/>
      <c r="BX943" s="338"/>
      <c r="BY943" s="338"/>
      <c r="BZ943" s="338"/>
      <c r="CA943" s="338"/>
      <c r="CB943" s="338"/>
      <c r="CC943" s="338"/>
      <c r="CD943" s="338"/>
      <c r="CE943" s="338"/>
      <c r="CF943" s="338"/>
      <c r="CG943" s="338"/>
      <c r="CH943" s="338"/>
      <c r="CI943" s="338"/>
      <c r="CJ943" s="338"/>
      <c r="CK943" s="338"/>
      <c r="CL943" s="338"/>
    </row>
    <row r="944" ht="14.2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40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  <c r="AV944" s="338"/>
      <c r="AW944" s="338"/>
      <c r="AX944" s="338"/>
      <c r="AY944" s="338"/>
      <c r="AZ944" s="338"/>
      <c r="BA944" s="338"/>
      <c r="BB944" s="338"/>
      <c r="BC944" s="338"/>
      <c r="BD944" s="338"/>
      <c r="BE944" s="338"/>
      <c r="BF944" s="338"/>
      <c r="BG944" s="338"/>
      <c r="BH944" s="338"/>
      <c r="BI944" s="338"/>
      <c r="BJ944" s="338"/>
      <c r="BK944" s="338"/>
      <c r="BL944" s="338"/>
      <c r="BM944" s="338"/>
      <c r="BN944" s="338"/>
      <c r="BO944" s="338"/>
      <c r="BP944" s="338"/>
      <c r="BQ944" s="338"/>
      <c r="BR944" s="338"/>
      <c r="BS944" s="338"/>
      <c r="BT944" s="338"/>
      <c r="BU944" s="338"/>
      <c r="BV944" s="338"/>
      <c r="BW944" s="338"/>
      <c r="BX944" s="338"/>
      <c r="BY944" s="338"/>
      <c r="BZ944" s="338"/>
      <c r="CA944" s="338"/>
      <c r="CB944" s="338"/>
      <c r="CC944" s="338"/>
      <c r="CD944" s="338"/>
      <c r="CE944" s="338"/>
      <c r="CF944" s="338"/>
      <c r="CG944" s="338"/>
      <c r="CH944" s="338"/>
      <c r="CI944" s="338"/>
      <c r="CJ944" s="338"/>
      <c r="CK944" s="338"/>
      <c r="CL944" s="338"/>
    </row>
    <row r="945" ht="14.2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40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  <c r="AV945" s="338"/>
      <c r="AW945" s="338"/>
      <c r="AX945" s="338"/>
      <c r="AY945" s="338"/>
      <c r="AZ945" s="338"/>
      <c r="BA945" s="338"/>
      <c r="BB945" s="338"/>
      <c r="BC945" s="338"/>
      <c r="BD945" s="338"/>
      <c r="BE945" s="338"/>
      <c r="BF945" s="338"/>
      <c r="BG945" s="338"/>
      <c r="BH945" s="338"/>
      <c r="BI945" s="338"/>
      <c r="BJ945" s="338"/>
      <c r="BK945" s="338"/>
      <c r="BL945" s="338"/>
      <c r="BM945" s="338"/>
      <c r="BN945" s="338"/>
      <c r="BO945" s="338"/>
      <c r="BP945" s="338"/>
      <c r="BQ945" s="338"/>
      <c r="BR945" s="338"/>
      <c r="BS945" s="338"/>
      <c r="BT945" s="338"/>
      <c r="BU945" s="338"/>
      <c r="BV945" s="338"/>
      <c r="BW945" s="338"/>
      <c r="BX945" s="338"/>
      <c r="BY945" s="338"/>
      <c r="BZ945" s="338"/>
      <c r="CA945" s="338"/>
      <c r="CB945" s="338"/>
      <c r="CC945" s="338"/>
      <c r="CD945" s="338"/>
      <c r="CE945" s="338"/>
      <c r="CF945" s="338"/>
      <c r="CG945" s="338"/>
      <c r="CH945" s="338"/>
      <c r="CI945" s="338"/>
      <c r="CJ945" s="338"/>
      <c r="CK945" s="338"/>
      <c r="CL945" s="338"/>
    </row>
    <row r="946" ht="14.2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40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  <c r="AV946" s="338"/>
      <c r="AW946" s="338"/>
      <c r="AX946" s="338"/>
      <c r="AY946" s="338"/>
      <c r="AZ946" s="338"/>
      <c r="BA946" s="338"/>
      <c r="BB946" s="338"/>
      <c r="BC946" s="338"/>
      <c r="BD946" s="338"/>
      <c r="BE946" s="338"/>
      <c r="BF946" s="338"/>
      <c r="BG946" s="338"/>
      <c r="BH946" s="338"/>
      <c r="BI946" s="338"/>
      <c r="BJ946" s="338"/>
      <c r="BK946" s="338"/>
      <c r="BL946" s="338"/>
      <c r="BM946" s="338"/>
      <c r="BN946" s="338"/>
      <c r="BO946" s="338"/>
      <c r="BP946" s="338"/>
      <c r="BQ946" s="338"/>
      <c r="BR946" s="338"/>
      <c r="BS946" s="338"/>
      <c r="BT946" s="338"/>
      <c r="BU946" s="338"/>
      <c r="BV946" s="338"/>
      <c r="BW946" s="338"/>
      <c r="BX946" s="338"/>
      <c r="BY946" s="338"/>
      <c r="BZ946" s="338"/>
      <c r="CA946" s="338"/>
      <c r="CB946" s="338"/>
      <c r="CC946" s="338"/>
      <c r="CD946" s="338"/>
      <c r="CE946" s="338"/>
      <c r="CF946" s="338"/>
      <c r="CG946" s="338"/>
      <c r="CH946" s="338"/>
      <c r="CI946" s="338"/>
      <c r="CJ946" s="338"/>
      <c r="CK946" s="338"/>
      <c r="CL946" s="338"/>
    </row>
    <row r="947" ht="14.2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40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  <c r="AV947" s="338"/>
      <c r="AW947" s="338"/>
      <c r="AX947" s="338"/>
      <c r="AY947" s="338"/>
      <c r="AZ947" s="338"/>
      <c r="BA947" s="338"/>
      <c r="BB947" s="338"/>
      <c r="BC947" s="338"/>
      <c r="BD947" s="338"/>
      <c r="BE947" s="338"/>
      <c r="BF947" s="338"/>
      <c r="BG947" s="338"/>
      <c r="BH947" s="338"/>
      <c r="BI947" s="338"/>
      <c r="BJ947" s="338"/>
      <c r="BK947" s="338"/>
      <c r="BL947" s="338"/>
      <c r="BM947" s="338"/>
      <c r="BN947" s="338"/>
      <c r="BO947" s="338"/>
      <c r="BP947" s="338"/>
      <c r="BQ947" s="338"/>
      <c r="BR947" s="338"/>
      <c r="BS947" s="338"/>
      <c r="BT947" s="338"/>
      <c r="BU947" s="338"/>
      <c r="BV947" s="338"/>
      <c r="BW947" s="338"/>
      <c r="BX947" s="338"/>
      <c r="BY947" s="338"/>
      <c r="BZ947" s="338"/>
      <c r="CA947" s="338"/>
      <c r="CB947" s="338"/>
      <c r="CC947" s="338"/>
      <c r="CD947" s="338"/>
      <c r="CE947" s="338"/>
      <c r="CF947" s="338"/>
      <c r="CG947" s="338"/>
      <c r="CH947" s="338"/>
      <c r="CI947" s="338"/>
      <c r="CJ947" s="338"/>
      <c r="CK947" s="338"/>
      <c r="CL947" s="338"/>
    </row>
    <row r="948" ht="14.2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40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  <c r="AV948" s="338"/>
      <c r="AW948" s="338"/>
      <c r="AX948" s="338"/>
      <c r="AY948" s="338"/>
      <c r="AZ948" s="338"/>
      <c r="BA948" s="338"/>
      <c r="BB948" s="338"/>
      <c r="BC948" s="338"/>
      <c r="BD948" s="338"/>
      <c r="BE948" s="338"/>
      <c r="BF948" s="338"/>
      <c r="BG948" s="338"/>
      <c r="BH948" s="338"/>
      <c r="BI948" s="338"/>
      <c r="BJ948" s="338"/>
      <c r="BK948" s="338"/>
      <c r="BL948" s="338"/>
      <c r="BM948" s="338"/>
      <c r="BN948" s="338"/>
      <c r="BO948" s="338"/>
      <c r="BP948" s="338"/>
      <c r="BQ948" s="338"/>
      <c r="BR948" s="338"/>
      <c r="BS948" s="338"/>
      <c r="BT948" s="338"/>
      <c r="BU948" s="338"/>
      <c r="BV948" s="338"/>
      <c r="BW948" s="338"/>
      <c r="BX948" s="338"/>
      <c r="BY948" s="338"/>
      <c r="BZ948" s="338"/>
      <c r="CA948" s="338"/>
      <c r="CB948" s="338"/>
      <c r="CC948" s="338"/>
      <c r="CD948" s="338"/>
      <c r="CE948" s="338"/>
      <c r="CF948" s="338"/>
      <c r="CG948" s="338"/>
      <c r="CH948" s="338"/>
      <c r="CI948" s="338"/>
      <c r="CJ948" s="338"/>
      <c r="CK948" s="338"/>
      <c r="CL948" s="338"/>
    </row>
    <row r="949" ht="14.2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40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  <c r="AV949" s="338"/>
      <c r="AW949" s="338"/>
      <c r="AX949" s="338"/>
      <c r="AY949" s="338"/>
      <c r="AZ949" s="338"/>
      <c r="BA949" s="338"/>
      <c r="BB949" s="338"/>
      <c r="BC949" s="338"/>
      <c r="BD949" s="338"/>
      <c r="BE949" s="338"/>
      <c r="BF949" s="338"/>
      <c r="BG949" s="338"/>
      <c r="BH949" s="338"/>
      <c r="BI949" s="338"/>
      <c r="BJ949" s="338"/>
      <c r="BK949" s="338"/>
      <c r="BL949" s="338"/>
      <c r="BM949" s="338"/>
      <c r="BN949" s="338"/>
      <c r="BO949" s="338"/>
      <c r="BP949" s="338"/>
      <c r="BQ949" s="338"/>
      <c r="BR949" s="338"/>
      <c r="BS949" s="338"/>
      <c r="BT949" s="338"/>
      <c r="BU949" s="338"/>
      <c r="BV949" s="338"/>
      <c r="BW949" s="338"/>
      <c r="BX949" s="338"/>
      <c r="BY949" s="338"/>
      <c r="BZ949" s="338"/>
      <c r="CA949" s="338"/>
      <c r="CB949" s="338"/>
      <c r="CC949" s="338"/>
      <c r="CD949" s="338"/>
      <c r="CE949" s="338"/>
      <c r="CF949" s="338"/>
      <c r="CG949" s="338"/>
      <c r="CH949" s="338"/>
      <c r="CI949" s="338"/>
      <c r="CJ949" s="338"/>
      <c r="CK949" s="338"/>
      <c r="CL949" s="338"/>
    </row>
    <row r="950" ht="14.2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40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  <c r="AV950" s="338"/>
      <c r="AW950" s="338"/>
      <c r="AX950" s="338"/>
      <c r="AY950" s="338"/>
      <c r="AZ950" s="338"/>
      <c r="BA950" s="338"/>
      <c r="BB950" s="338"/>
      <c r="BC950" s="338"/>
      <c r="BD950" s="338"/>
      <c r="BE950" s="338"/>
      <c r="BF950" s="338"/>
      <c r="BG950" s="338"/>
      <c r="BH950" s="338"/>
      <c r="BI950" s="338"/>
      <c r="BJ950" s="338"/>
      <c r="BK950" s="338"/>
      <c r="BL950" s="338"/>
      <c r="BM950" s="338"/>
      <c r="BN950" s="338"/>
      <c r="BO950" s="338"/>
      <c r="BP950" s="338"/>
      <c r="BQ950" s="338"/>
      <c r="BR950" s="338"/>
      <c r="BS950" s="338"/>
      <c r="BT950" s="338"/>
      <c r="BU950" s="338"/>
      <c r="BV950" s="338"/>
      <c r="BW950" s="338"/>
      <c r="BX950" s="338"/>
      <c r="BY950" s="338"/>
      <c r="BZ950" s="338"/>
      <c r="CA950" s="338"/>
      <c r="CB950" s="338"/>
      <c r="CC950" s="338"/>
      <c r="CD950" s="338"/>
      <c r="CE950" s="338"/>
      <c r="CF950" s="338"/>
      <c r="CG950" s="338"/>
      <c r="CH950" s="338"/>
      <c r="CI950" s="338"/>
      <c r="CJ950" s="338"/>
      <c r="CK950" s="338"/>
      <c r="CL950" s="338"/>
    </row>
    <row r="951" ht="14.2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40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  <c r="AV951" s="338"/>
      <c r="AW951" s="338"/>
      <c r="AX951" s="338"/>
      <c r="AY951" s="338"/>
      <c r="AZ951" s="338"/>
      <c r="BA951" s="338"/>
      <c r="BB951" s="338"/>
      <c r="BC951" s="338"/>
      <c r="BD951" s="338"/>
      <c r="BE951" s="338"/>
      <c r="BF951" s="338"/>
      <c r="BG951" s="338"/>
      <c r="BH951" s="338"/>
      <c r="BI951" s="338"/>
      <c r="BJ951" s="338"/>
      <c r="BK951" s="338"/>
      <c r="BL951" s="338"/>
      <c r="BM951" s="338"/>
      <c r="BN951" s="338"/>
      <c r="BO951" s="338"/>
      <c r="BP951" s="338"/>
      <c r="BQ951" s="338"/>
      <c r="BR951" s="338"/>
      <c r="BS951" s="338"/>
      <c r="BT951" s="338"/>
      <c r="BU951" s="338"/>
      <c r="BV951" s="338"/>
      <c r="BW951" s="338"/>
      <c r="BX951" s="338"/>
      <c r="BY951" s="338"/>
      <c r="BZ951" s="338"/>
      <c r="CA951" s="338"/>
      <c r="CB951" s="338"/>
      <c r="CC951" s="338"/>
      <c r="CD951" s="338"/>
      <c r="CE951" s="338"/>
      <c r="CF951" s="338"/>
      <c r="CG951" s="338"/>
      <c r="CH951" s="338"/>
      <c r="CI951" s="338"/>
      <c r="CJ951" s="338"/>
      <c r="CK951" s="338"/>
      <c r="CL951" s="338"/>
    </row>
    <row r="952" ht="14.2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40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  <c r="AV952" s="338"/>
      <c r="AW952" s="338"/>
      <c r="AX952" s="338"/>
      <c r="AY952" s="338"/>
      <c r="AZ952" s="338"/>
      <c r="BA952" s="338"/>
      <c r="BB952" s="338"/>
      <c r="BC952" s="338"/>
      <c r="BD952" s="338"/>
      <c r="BE952" s="338"/>
      <c r="BF952" s="338"/>
      <c r="BG952" s="338"/>
      <c r="BH952" s="338"/>
      <c r="BI952" s="338"/>
      <c r="BJ952" s="338"/>
      <c r="BK952" s="338"/>
      <c r="BL952" s="338"/>
      <c r="BM952" s="338"/>
      <c r="BN952" s="338"/>
      <c r="BO952" s="338"/>
      <c r="BP952" s="338"/>
      <c r="BQ952" s="338"/>
      <c r="BR952" s="338"/>
      <c r="BS952" s="338"/>
      <c r="BT952" s="338"/>
      <c r="BU952" s="338"/>
      <c r="BV952" s="338"/>
      <c r="BW952" s="338"/>
      <c r="BX952" s="338"/>
      <c r="BY952" s="338"/>
      <c r="BZ952" s="338"/>
      <c r="CA952" s="338"/>
      <c r="CB952" s="338"/>
      <c r="CC952" s="338"/>
      <c r="CD952" s="338"/>
      <c r="CE952" s="338"/>
      <c r="CF952" s="338"/>
      <c r="CG952" s="338"/>
      <c r="CH952" s="338"/>
      <c r="CI952" s="338"/>
      <c r="CJ952" s="338"/>
      <c r="CK952" s="338"/>
      <c r="CL952" s="338"/>
    </row>
    <row r="953" ht="14.2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40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  <c r="AV953" s="338"/>
      <c r="AW953" s="338"/>
      <c r="AX953" s="338"/>
      <c r="AY953" s="338"/>
      <c r="AZ953" s="338"/>
      <c r="BA953" s="338"/>
      <c r="BB953" s="338"/>
      <c r="BC953" s="338"/>
      <c r="BD953" s="338"/>
      <c r="BE953" s="338"/>
      <c r="BF953" s="338"/>
      <c r="BG953" s="338"/>
      <c r="BH953" s="338"/>
      <c r="BI953" s="338"/>
      <c r="BJ953" s="338"/>
      <c r="BK953" s="338"/>
      <c r="BL953" s="338"/>
      <c r="BM953" s="338"/>
      <c r="BN953" s="338"/>
      <c r="BO953" s="338"/>
      <c r="BP953" s="338"/>
      <c r="BQ953" s="338"/>
      <c r="BR953" s="338"/>
      <c r="BS953" s="338"/>
      <c r="BT953" s="338"/>
      <c r="BU953" s="338"/>
      <c r="BV953" s="338"/>
      <c r="BW953" s="338"/>
      <c r="BX953" s="338"/>
      <c r="BY953" s="338"/>
      <c r="BZ953" s="338"/>
      <c r="CA953" s="338"/>
      <c r="CB953" s="338"/>
      <c r="CC953" s="338"/>
      <c r="CD953" s="338"/>
      <c r="CE953" s="338"/>
      <c r="CF953" s="338"/>
      <c r="CG953" s="338"/>
      <c r="CH953" s="338"/>
      <c r="CI953" s="338"/>
      <c r="CJ953" s="338"/>
      <c r="CK953" s="338"/>
      <c r="CL953" s="338"/>
    </row>
    <row r="954" ht="14.2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40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  <c r="AV954" s="338"/>
      <c r="AW954" s="338"/>
      <c r="AX954" s="338"/>
      <c r="AY954" s="338"/>
      <c r="AZ954" s="338"/>
      <c r="BA954" s="338"/>
      <c r="BB954" s="338"/>
      <c r="BC954" s="338"/>
      <c r="BD954" s="338"/>
      <c r="BE954" s="338"/>
      <c r="BF954" s="338"/>
      <c r="BG954" s="338"/>
      <c r="BH954" s="338"/>
      <c r="BI954" s="338"/>
      <c r="BJ954" s="338"/>
      <c r="BK954" s="338"/>
      <c r="BL954" s="338"/>
      <c r="BM954" s="338"/>
      <c r="BN954" s="338"/>
      <c r="BO954" s="338"/>
      <c r="BP954" s="338"/>
      <c r="BQ954" s="338"/>
      <c r="BR954" s="338"/>
      <c r="BS954" s="338"/>
      <c r="BT954" s="338"/>
      <c r="BU954" s="338"/>
      <c r="BV954" s="338"/>
      <c r="BW954" s="338"/>
      <c r="BX954" s="338"/>
      <c r="BY954" s="338"/>
      <c r="BZ954" s="338"/>
      <c r="CA954" s="338"/>
      <c r="CB954" s="338"/>
      <c r="CC954" s="338"/>
      <c r="CD954" s="338"/>
      <c r="CE954" s="338"/>
      <c r="CF954" s="338"/>
      <c r="CG954" s="338"/>
      <c r="CH954" s="338"/>
      <c r="CI954" s="338"/>
      <c r="CJ954" s="338"/>
      <c r="CK954" s="338"/>
      <c r="CL954" s="338"/>
    </row>
    <row r="955" ht="14.2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40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  <c r="AV955" s="338"/>
      <c r="AW955" s="338"/>
      <c r="AX955" s="338"/>
      <c r="AY955" s="338"/>
      <c r="AZ955" s="338"/>
      <c r="BA955" s="338"/>
      <c r="BB955" s="338"/>
      <c r="BC955" s="338"/>
      <c r="BD955" s="338"/>
      <c r="BE955" s="338"/>
      <c r="BF955" s="338"/>
      <c r="BG955" s="338"/>
      <c r="BH955" s="338"/>
      <c r="BI955" s="338"/>
      <c r="BJ955" s="338"/>
      <c r="BK955" s="338"/>
      <c r="BL955" s="338"/>
      <c r="BM955" s="338"/>
      <c r="BN955" s="338"/>
      <c r="BO955" s="338"/>
      <c r="BP955" s="338"/>
      <c r="BQ955" s="338"/>
      <c r="BR955" s="338"/>
      <c r="BS955" s="338"/>
      <c r="BT955" s="338"/>
      <c r="BU955" s="338"/>
      <c r="BV955" s="338"/>
      <c r="BW955" s="338"/>
      <c r="BX955" s="338"/>
      <c r="BY955" s="338"/>
      <c r="BZ955" s="338"/>
      <c r="CA955" s="338"/>
      <c r="CB955" s="338"/>
      <c r="CC955" s="338"/>
      <c r="CD955" s="338"/>
      <c r="CE955" s="338"/>
      <c r="CF955" s="338"/>
      <c r="CG955" s="338"/>
      <c r="CH955" s="338"/>
      <c r="CI955" s="338"/>
      <c r="CJ955" s="338"/>
      <c r="CK955" s="338"/>
      <c r="CL955" s="338"/>
    </row>
    <row r="956" ht="14.2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40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  <c r="AV956" s="338"/>
      <c r="AW956" s="338"/>
      <c r="AX956" s="338"/>
      <c r="AY956" s="338"/>
      <c r="AZ956" s="338"/>
      <c r="BA956" s="338"/>
      <c r="BB956" s="338"/>
      <c r="BC956" s="338"/>
      <c r="BD956" s="338"/>
      <c r="BE956" s="338"/>
      <c r="BF956" s="338"/>
      <c r="BG956" s="338"/>
      <c r="BH956" s="338"/>
      <c r="BI956" s="338"/>
      <c r="BJ956" s="338"/>
      <c r="BK956" s="338"/>
      <c r="BL956" s="338"/>
      <c r="BM956" s="338"/>
      <c r="BN956" s="338"/>
      <c r="BO956" s="338"/>
      <c r="BP956" s="338"/>
      <c r="BQ956" s="338"/>
      <c r="BR956" s="338"/>
      <c r="BS956" s="338"/>
      <c r="BT956" s="338"/>
      <c r="BU956" s="338"/>
      <c r="BV956" s="338"/>
      <c r="BW956" s="338"/>
      <c r="BX956" s="338"/>
      <c r="BY956" s="338"/>
      <c r="BZ956" s="338"/>
      <c r="CA956" s="338"/>
      <c r="CB956" s="338"/>
      <c r="CC956" s="338"/>
      <c r="CD956" s="338"/>
      <c r="CE956" s="338"/>
      <c r="CF956" s="338"/>
      <c r="CG956" s="338"/>
      <c r="CH956" s="338"/>
      <c r="CI956" s="338"/>
      <c r="CJ956" s="338"/>
      <c r="CK956" s="338"/>
      <c r="CL956" s="338"/>
    </row>
    <row r="957" ht="14.2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40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  <c r="AV957" s="338"/>
      <c r="AW957" s="338"/>
      <c r="AX957" s="338"/>
      <c r="AY957" s="338"/>
      <c r="AZ957" s="338"/>
      <c r="BA957" s="338"/>
      <c r="BB957" s="338"/>
      <c r="BC957" s="338"/>
      <c r="BD957" s="338"/>
      <c r="BE957" s="338"/>
      <c r="BF957" s="338"/>
      <c r="BG957" s="338"/>
      <c r="BH957" s="338"/>
      <c r="BI957" s="338"/>
      <c r="BJ957" s="338"/>
      <c r="BK957" s="338"/>
      <c r="BL957" s="338"/>
      <c r="BM957" s="338"/>
      <c r="BN957" s="338"/>
      <c r="BO957" s="338"/>
      <c r="BP957" s="338"/>
      <c r="BQ957" s="338"/>
      <c r="BR957" s="338"/>
      <c r="BS957" s="338"/>
      <c r="BT957" s="338"/>
      <c r="BU957" s="338"/>
      <c r="BV957" s="338"/>
      <c r="BW957" s="338"/>
      <c r="BX957" s="338"/>
      <c r="BY957" s="338"/>
      <c r="BZ957" s="338"/>
      <c r="CA957" s="338"/>
      <c r="CB957" s="338"/>
      <c r="CC957" s="338"/>
      <c r="CD957" s="338"/>
      <c r="CE957" s="338"/>
      <c r="CF957" s="338"/>
      <c r="CG957" s="338"/>
      <c r="CH957" s="338"/>
      <c r="CI957" s="338"/>
      <c r="CJ957" s="338"/>
      <c r="CK957" s="338"/>
      <c r="CL957" s="338"/>
    </row>
    <row r="958" ht="14.2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40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  <c r="AV958" s="338"/>
      <c r="AW958" s="338"/>
      <c r="AX958" s="338"/>
      <c r="AY958" s="338"/>
      <c r="AZ958" s="338"/>
      <c r="BA958" s="338"/>
      <c r="BB958" s="338"/>
      <c r="BC958" s="338"/>
      <c r="BD958" s="338"/>
      <c r="BE958" s="338"/>
      <c r="BF958" s="338"/>
      <c r="BG958" s="338"/>
      <c r="BH958" s="338"/>
      <c r="BI958" s="338"/>
      <c r="BJ958" s="338"/>
      <c r="BK958" s="338"/>
      <c r="BL958" s="338"/>
      <c r="BM958" s="338"/>
      <c r="BN958" s="338"/>
      <c r="BO958" s="338"/>
      <c r="BP958" s="338"/>
      <c r="BQ958" s="338"/>
      <c r="BR958" s="338"/>
      <c r="BS958" s="338"/>
      <c r="BT958" s="338"/>
      <c r="BU958" s="338"/>
      <c r="BV958" s="338"/>
      <c r="BW958" s="338"/>
      <c r="BX958" s="338"/>
      <c r="BY958" s="338"/>
      <c r="BZ958" s="338"/>
      <c r="CA958" s="338"/>
      <c r="CB958" s="338"/>
      <c r="CC958" s="338"/>
      <c r="CD958" s="338"/>
      <c r="CE958" s="338"/>
      <c r="CF958" s="338"/>
      <c r="CG958" s="338"/>
      <c r="CH958" s="338"/>
      <c r="CI958" s="338"/>
      <c r="CJ958" s="338"/>
      <c r="CK958" s="338"/>
      <c r="CL958" s="338"/>
    </row>
    <row r="959" ht="14.2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40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  <c r="AV959" s="338"/>
      <c r="AW959" s="338"/>
      <c r="AX959" s="338"/>
      <c r="AY959" s="338"/>
      <c r="AZ959" s="338"/>
      <c r="BA959" s="338"/>
      <c r="BB959" s="338"/>
      <c r="BC959" s="338"/>
      <c r="BD959" s="338"/>
      <c r="BE959" s="338"/>
      <c r="BF959" s="338"/>
      <c r="BG959" s="338"/>
      <c r="BH959" s="338"/>
      <c r="BI959" s="338"/>
      <c r="BJ959" s="338"/>
      <c r="BK959" s="338"/>
      <c r="BL959" s="338"/>
      <c r="BM959" s="338"/>
      <c r="BN959" s="338"/>
      <c r="BO959" s="338"/>
      <c r="BP959" s="338"/>
      <c r="BQ959" s="338"/>
      <c r="BR959" s="338"/>
      <c r="BS959" s="338"/>
      <c r="BT959" s="338"/>
      <c r="BU959" s="338"/>
      <c r="BV959" s="338"/>
      <c r="BW959" s="338"/>
      <c r="BX959" s="338"/>
      <c r="BY959" s="338"/>
      <c r="BZ959" s="338"/>
      <c r="CA959" s="338"/>
      <c r="CB959" s="338"/>
      <c r="CC959" s="338"/>
      <c r="CD959" s="338"/>
      <c r="CE959" s="338"/>
      <c r="CF959" s="338"/>
      <c r="CG959" s="338"/>
      <c r="CH959" s="338"/>
      <c r="CI959" s="338"/>
      <c r="CJ959" s="338"/>
      <c r="CK959" s="338"/>
      <c r="CL959" s="338"/>
    </row>
    <row r="960" ht="14.2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40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  <c r="AV960" s="338"/>
      <c r="AW960" s="338"/>
      <c r="AX960" s="338"/>
      <c r="AY960" s="338"/>
      <c r="AZ960" s="338"/>
      <c r="BA960" s="338"/>
      <c r="BB960" s="338"/>
      <c r="BC960" s="338"/>
      <c r="BD960" s="338"/>
      <c r="BE960" s="338"/>
      <c r="BF960" s="338"/>
      <c r="BG960" s="338"/>
      <c r="BH960" s="338"/>
      <c r="BI960" s="338"/>
      <c r="BJ960" s="338"/>
      <c r="BK960" s="338"/>
      <c r="BL960" s="338"/>
      <c r="BM960" s="338"/>
      <c r="BN960" s="338"/>
      <c r="BO960" s="338"/>
      <c r="BP960" s="338"/>
      <c r="BQ960" s="338"/>
      <c r="BR960" s="338"/>
      <c r="BS960" s="338"/>
      <c r="BT960" s="338"/>
      <c r="BU960" s="338"/>
      <c r="BV960" s="338"/>
      <c r="BW960" s="338"/>
      <c r="BX960" s="338"/>
      <c r="BY960" s="338"/>
      <c r="BZ960" s="338"/>
      <c r="CA960" s="338"/>
      <c r="CB960" s="338"/>
      <c r="CC960" s="338"/>
      <c r="CD960" s="338"/>
      <c r="CE960" s="338"/>
      <c r="CF960" s="338"/>
      <c r="CG960" s="338"/>
      <c r="CH960" s="338"/>
      <c r="CI960" s="338"/>
      <c r="CJ960" s="338"/>
      <c r="CK960" s="338"/>
      <c r="CL960" s="338"/>
    </row>
    <row r="961" ht="14.2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40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  <c r="AV961" s="338"/>
      <c r="AW961" s="338"/>
      <c r="AX961" s="338"/>
      <c r="AY961" s="338"/>
      <c r="AZ961" s="338"/>
      <c r="BA961" s="338"/>
      <c r="BB961" s="338"/>
      <c r="BC961" s="338"/>
      <c r="BD961" s="338"/>
      <c r="BE961" s="338"/>
      <c r="BF961" s="338"/>
      <c r="BG961" s="338"/>
      <c r="BH961" s="338"/>
      <c r="BI961" s="338"/>
      <c r="BJ961" s="338"/>
      <c r="BK961" s="338"/>
      <c r="BL961" s="338"/>
      <c r="BM961" s="338"/>
      <c r="BN961" s="338"/>
      <c r="BO961" s="338"/>
      <c r="BP961" s="338"/>
      <c r="BQ961" s="338"/>
      <c r="BR961" s="338"/>
      <c r="BS961" s="338"/>
      <c r="BT961" s="338"/>
      <c r="BU961" s="338"/>
      <c r="BV961" s="338"/>
      <c r="BW961" s="338"/>
      <c r="BX961" s="338"/>
      <c r="BY961" s="338"/>
      <c r="BZ961" s="338"/>
      <c r="CA961" s="338"/>
      <c r="CB961" s="338"/>
      <c r="CC961" s="338"/>
      <c r="CD961" s="338"/>
      <c r="CE961" s="338"/>
      <c r="CF961" s="338"/>
      <c r="CG961" s="338"/>
      <c r="CH961" s="338"/>
      <c r="CI961" s="338"/>
      <c r="CJ961" s="338"/>
      <c r="CK961" s="338"/>
      <c r="CL961" s="338"/>
    </row>
    <row r="962" ht="14.2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40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  <c r="AV962" s="338"/>
      <c r="AW962" s="338"/>
      <c r="AX962" s="338"/>
      <c r="AY962" s="338"/>
      <c r="AZ962" s="338"/>
      <c r="BA962" s="338"/>
      <c r="BB962" s="338"/>
      <c r="BC962" s="338"/>
      <c r="BD962" s="338"/>
      <c r="BE962" s="338"/>
      <c r="BF962" s="338"/>
      <c r="BG962" s="338"/>
      <c r="BH962" s="338"/>
      <c r="BI962" s="338"/>
      <c r="BJ962" s="338"/>
      <c r="BK962" s="338"/>
      <c r="BL962" s="338"/>
      <c r="BM962" s="338"/>
      <c r="BN962" s="338"/>
      <c r="BO962" s="338"/>
      <c r="BP962" s="338"/>
      <c r="BQ962" s="338"/>
      <c r="BR962" s="338"/>
      <c r="BS962" s="338"/>
      <c r="BT962" s="338"/>
      <c r="BU962" s="338"/>
      <c r="BV962" s="338"/>
      <c r="BW962" s="338"/>
      <c r="BX962" s="338"/>
      <c r="BY962" s="338"/>
      <c r="BZ962" s="338"/>
      <c r="CA962" s="338"/>
      <c r="CB962" s="338"/>
      <c r="CC962" s="338"/>
      <c r="CD962" s="338"/>
      <c r="CE962" s="338"/>
      <c r="CF962" s="338"/>
      <c r="CG962" s="338"/>
      <c r="CH962" s="338"/>
      <c r="CI962" s="338"/>
      <c r="CJ962" s="338"/>
      <c r="CK962" s="338"/>
      <c r="CL962" s="338"/>
    </row>
    <row r="963" ht="14.2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40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  <c r="AV963" s="338"/>
      <c r="AW963" s="338"/>
      <c r="AX963" s="338"/>
      <c r="AY963" s="338"/>
      <c r="AZ963" s="338"/>
      <c r="BA963" s="338"/>
      <c r="BB963" s="338"/>
      <c r="BC963" s="338"/>
      <c r="BD963" s="338"/>
      <c r="BE963" s="338"/>
      <c r="BF963" s="338"/>
      <c r="BG963" s="338"/>
      <c r="BH963" s="338"/>
      <c r="BI963" s="338"/>
      <c r="BJ963" s="338"/>
      <c r="BK963" s="338"/>
      <c r="BL963" s="338"/>
      <c r="BM963" s="338"/>
      <c r="BN963" s="338"/>
      <c r="BO963" s="338"/>
      <c r="BP963" s="338"/>
      <c r="BQ963" s="338"/>
      <c r="BR963" s="338"/>
      <c r="BS963" s="338"/>
      <c r="BT963" s="338"/>
      <c r="BU963" s="338"/>
      <c r="BV963" s="338"/>
      <c r="BW963" s="338"/>
      <c r="BX963" s="338"/>
      <c r="BY963" s="338"/>
      <c r="BZ963" s="338"/>
      <c r="CA963" s="338"/>
      <c r="CB963" s="338"/>
      <c r="CC963" s="338"/>
      <c r="CD963" s="338"/>
      <c r="CE963" s="338"/>
      <c r="CF963" s="338"/>
      <c r="CG963" s="338"/>
      <c r="CH963" s="338"/>
      <c r="CI963" s="338"/>
      <c r="CJ963" s="338"/>
      <c r="CK963" s="338"/>
      <c r="CL963" s="338"/>
    </row>
    <row r="964" ht="14.2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40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  <c r="AV964" s="338"/>
      <c r="AW964" s="338"/>
      <c r="AX964" s="338"/>
      <c r="AY964" s="338"/>
      <c r="AZ964" s="338"/>
      <c r="BA964" s="338"/>
      <c r="BB964" s="338"/>
      <c r="BC964" s="338"/>
      <c r="BD964" s="338"/>
      <c r="BE964" s="338"/>
      <c r="BF964" s="338"/>
      <c r="BG964" s="338"/>
      <c r="BH964" s="338"/>
      <c r="BI964" s="338"/>
      <c r="BJ964" s="338"/>
      <c r="BK964" s="338"/>
      <c r="BL964" s="338"/>
      <c r="BM964" s="338"/>
      <c r="BN964" s="338"/>
      <c r="BO964" s="338"/>
      <c r="BP964" s="338"/>
      <c r="BQ964" s="338"/>
      <c r="BR964" s="338"/>
      <c r="BS964" s="338"/>
      <c r="BT964" s="338"/>
      <c r="BU964" s="338"/>
      <c r="BV964" s="338"/>
      <c r="BW964" s="338"/>
      <c r="BX964" s="338"/>
      <c r="BY964" s="338"/>
      <c r="BZ964" s="338"/>
      <c r="CA964" s="338"/>
      <c r="CB964" s="338"/>
      <c r="CC964" s="338"/>
      <c r="CD964" s="338"/>
      <c r="CE964" s="338"/>
      <c r="CF964" s="338"/>
      <c r="CG964" s="338"/>
      <c r="CH964" s="338"/>
      <c r="CI964" s="338"/>
      <c r="CJ964" s="338"/>
      <c r="CK964" s="338"/>
      <c r="CL964" s="338"/>
    </row>
    <row r="965" ht="14.2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40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  <c r="AV965" s="338"/>
      <c r="AW965" s="338"/>
      <c r="AX965" s="338"/>
      <c r="AY965" s="338"/>
      <c r="AZ965" s="338"/>
      <c r="BA965" s="338"/>
      <c r="BB965" s="338"/>
      <c r="BC965" s="338"/>
      <c r="BD965" s="338"/>
      <c r="BE965" s="338"/>
      <c r="BF965" s="338"/>
      <c r="BG965" s="338"/>
      <c r="BH965" s="338"/>
      <c r="BI965" s="338"/>
      <c r="BJ965" s="338"/>
      <c r="BK965" s="338"/>
      <c r="BL965" s="338"/>
      <c r="BM965" s="338"/>
      <c r="BN965" s="338"/>
      <c r="BO965" s="338"/>
      <c r="BP965" s="338"/>
      <c r="BQ965" s="338"/>
      <c r="BR965" s="338"/>
      <c r="BS965" s="338"/>
      <c r="BT965" s="338"/>
      <c r="BU965" s="338"/>
      <c r="BV965" s="338"/>
      <c r="BW965" s="338"/>
      <c r="BX965" s="338"/>
      <c r="BY965" s="338"/>
      <c r="BZ965" s="338"/>
      <c r="CA965" s="338"/>
      <c r="CB965" s="338"/>
      <c r="CC965" s="338"/>
      <c r="CD965" s="338"/>
      <c r="CE965" s="338"/>
      <c r="CF965" s="338"/>
      <c r="CG965" s="338"/>
      <c r="CH965" s="338"/>
      <c r="CI965" s="338"/>
      <c r="CJ965" s="338"/>
      <c r="CK965" s="338"/>
      <c r="CL965" s="338"/>
    </row>
    <row r="966" ht="14.2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40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  <c r="AV966" s="338"/>
      <c r="AW966" s="338"/>
      <c r="AX966" s="338"/>
      <c r="AY966" s="338"/>
      <c r="AZ966" s="338"/>
      <c r="BA966" s="338"/>
      <c r="BB966" s="338"/>
      <c r="BC966" s="338"/>
      <c r="BD966" s="338"/>
      <c r="BE966" s="338"/>
      <c r="BF966" s="338"/>
      <c r="BG966" s="338"/>
      <c r="BH966" s="338"/>
      <c r="BI966" s="338"/>
      <c r="BJ966" s="338"/>
      <c r="BK966" s="338"/>
      <c r="BL966" s="338"/>
      <c r="BM966" s="338"/>
      <c r="BN966" s="338"/>
      <c r="BO966" s="338"/>
      <c r="BP966" s="338"/>
      <c r="BQ966" s="338"/>
      <c r="BR966" s="338"/>
      <c r="BS966" s="338"/>
      <c r="BT966" s="338"/>
      <c r="BU966" s="338"/>
      <c r="BV966" s="338"/>
      <c r="BW966" s="338"/>
      <c r="BX966" s="338"/>
      <c r="BY966" s="338"/>
      <c r="BZ966" s="338"/>
      <c r="CA966" s="338"/>
      <c r="CB966" s="338"/>
      <c r="CC966" s="338"/>
      <c r="CD966" s="338"/>
      <c r="CE966" s="338"/>
      <c r="CF966" s="338"/>
      <c r="CG966" s="338"/>
      <c r="CH966" s="338"/>
      <c r="CI966" s="338"/>
      <c r="CJ966" s="338"/>
      <c r="CK966" s="338"/>
      <c r="CL966" s="338"/>
    </row>
    <row r="967" ht="14.2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40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  <c r="AV967" s="338"/>
      <c r="AW967" s="338"/>
      <c r="AX967" s="338"/>
      <c r="AY967" s="338"/>
      <c r="AZ967" s="338"/>
      <c r="BA967" s="338"/>
      <c r="BB967" s="338"/>
      <c r="BC967" s="338"/>
      <c r="BD967" s="338"/>
      <c r="BE967" s="338"/>
      <c r="BF967" s="338"/>
      <c r="BG967" s="338"/>
      <c r="BH967" s="338"/>
      <c r="BI967" s="338"/>
      <c r="BJ967" s="338"/>
      <c r="BK967" s="338"/>
      <c r="BL967" s="338"/>
      <c r="BM967" s="338"/>
      <c r="BN967" s="338"/>
      <c r="BO967" s="338"/>
      <c r="BP967" s="338"/>
      <c r="BQ967" s="338"/>
      <c r="BR967" s="338"/>
      <c r="BS967" s="338"/>
      <c r="BT967" s="338"/>
      <c r="BU967" s="338"/>
      <c r="BV967" s="338"/>
      <c r="BW967" s="338"/>
      <c r="BX967" s="338"/>
      <c r="BY967" s="338"/>
      <c r="BZ967" s="338"/>
      <c r="CA967" s="338"/>
      <c r="CB967" s="338"/>
      <c r="CC967" s="338"/>
      <c r="CD967" s="338"/>
      <c r="CE967" s="338"/>
      <c r="CF967" s="338"/>
      <c r="CG967" s="338"/>
      <c r="CH967" s="338"/>
      <c r="CI967" s="338"/>
      <c r="CJ967" s="338"/>
      <c r="CK967" s="338"/>
      <c r="CL967" s="338"/>
    </row>
    <row r="968" ht="14.2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40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  <c r="AV968" s="338"/>
      <c r="AW968" s="338"/>
      <c r="AX968" s="338"/>
      <c r="AY968" s="338"/>
      <c r="AZ968" s="338"/>
      <c r="BA968" s="338"/>
      <c r="BB968" s="338"/>
      <c r="BC968" s="338"/>
      <c r="BD968" s="338"/>
      <c r="BE968" s="338"/>
      <c r="BF968" s="338"/>
      <c r="BG968" s="338"/>
      <c r="BH968" s="338"/>
      <c r="BI968" s="338"/>
      <c r="BJ968" s="338"/>
      <c r="BK968" s="338"/>
      <c r="BL968" s="338"/>
      <c r="BM968" s="338"/>
      <c r="BN968" s="338"/>
      <c r="BO968" s="338"/>
      <c r="BP968" s="338"/>
      <c r="BQ968" s="338"/>
      <c r="BR968" s="338"/>
      <c r="BS968" s="338"/>
      <c r="BT968" s="338"/>
      <c r="BU968" s="338"/>
      <c r="BV968" s="338"/>
      <c r="BW968" s="338"/>
      <c r="BX968" s="338"/>
      <c r="BY968" s="338"/>
      <c r="BZ968" s="338"/>
      <c r="CA968" s="338"/>
      <c r="CB968" s="338"/>
      <c r="CC968" s="338"/>
      <c r="CD968" s="338"/>
      <c r="CE968" s="338"/>
      <c r="CF968" s="338"/>
      <c r="CG968" s="338"/>
      <c r="CH968" s="338"/>
      <c r="CI968" s="338"/>
      <c r="CJ968" s="338"/>
      <c r="CK968" s="338"/>
      <c r="CL968" s="338"/>
    </row>
    <row r="969" ht="14.2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40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  <c r="AV969" s="338"/>
      <c r="AW969" s="338"/>
      <c r="AX969" s="338"/>
      <c r="AY969" s="338"/>
      <c r="AZ969" s="338"/>
      <c r="BA969" s="338"/>
      <c r="BB969" s="338"/>
      <c r="BC969" s="338"/>
      <c r="BD969" s="338"/>
      <c r="BE969" s="338"/>
      <c r="BF969" s="338"/>
      <c r="BG969" s="338"/>
      <c r="BH969" s="338"/>
      <c r="BI969" s="338"/>
      <c r="BJ969" s="338"/>
      <c r="BK969" s="338"/>
      <c r="BL969" s="338"/>
      <c r="BM969" s="338"/>
      <c r="BN969" s="338"/>
      <c r="BO969" s="338"/>
      <c r="BP969" s="338"/>
      <c r="BQ969" s="338"/>
      <c r="BR969" s="338"/>
      <c r="BS969" s="338"/>
      <c r="BT969" s="338"/>
      <c r="BU969" s="338"/>
      <c r="BV969" s="338"/>
      <c r="BW969" s="338"/>
      <c r="BX969" s="338"/>
      <c r="BY969" s="338"/>
      <c r="BZ969" s="338"/>
      <c r="CA969" s="338"/>
      <c r="CB969" s="338"/>
      <c r="CC969" s="338"/>
      <c r="CD969" s="338"/>
      <c r="CE969" s="338"/>
      <c r="CF969" s="338"/>
      <c r="CG969" s="338"/>
      <c r="CH969" s="338"/>
      <c r="CI969" s="338"/>
      <c r="CJ969" s="338"/>
      <c r="CK969" s="338"/>
      <c r="CL969" s="338"/>
    </row>
    <row r="970" ht="14.2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40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  <c r="AV970" s="338"/>
      <c r="AW970" s="338"/>
      <c r="AX970" s="338"/>
      <c r="AY970" s="338"/>
      <c r="AZ970" s="338"/>
      <c r="BA970" s="338"/>
      <c r="BB970" s="338"/>
      <c r="BC970" s="338"/>
      <c r="BD970" s="338"/>
      <c r="BE970" s="338"/>
      <c r="BF970" s="338"/>
      <c r="BG970" s="338"/>
      <c r="BH970" s="338"/>
      <c r="BI970" s="338"/>
      <c r="BJ970" s="338"/>
      <c r="BK970" s="338"/>
      <c r="BL970" s="338"/>
      <c r="BM970" s="338"/>
      <c r="BN970" s="338"/>
      <c r="BO970" s="338"/>
      <c r="BP970" s="338"/>
      <c r="BQ970" s="338"/>
      <c r="BR970" s="338"/>
      <c r="BS970" s="338"/>
      <c r="BT970" s="338"/>
      <c r="BU970" s="338"/>
      <c r="BV970" s="338"/>
      <c r="BW970" s="338"/>
      <c r="BX970" s="338"/>
      <c r="BY970" s="338"/>
      <c r="BZ970" s="338"/>
      <c r="CA970" s="338"/>
      <c r="CB970" s="338"/>
      <c r="CC970" s="338"/>
      <c r="CD970" s="338"/>
      <c r="CE970" s="338"/>
      <c r="CF970" s="338"/>
      <c r="CG970" s="338"/>
      <c r="CH970" s="338"/>
      <c r="CI970" s="338"/>
      <c r="CJ970" s="338"/>
      <c r="CK970" s="338"/>
      <c r="CL970" s="338"/>
    </row>
    <row r="971" ht="14.2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40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  <c r="AV971" s="338"/>
      <c r="AW971" s="338"/>
      <c r="AX971" s="338"/>
      <c r="AY971" s="338"/>
      <c r="AZ971" s="338"/>
      <c r="BA971" s="338"/>
      <c r="BB971" s="338"/>
      <c r="BC971" s="338"/>
      <c r="BD971" s="338"/>
      <c r="BE971" s="338"/>
      <c r="BF971" s="338"/>
      <c r="BG971" s="338"/>
      <c r="BH971" s="338"/>
      <c r="BI971" s="338"/>
      <c r="BJ971" s="338"/>
      <c r="BK971" s="338"/>
      <c r="BL971" s="338"/>
      <c r="BM971" s="338"/>
      <c r="BN971" s="338"/>
      <c r="BO971" s="338"/>
      <c r="BP971" s="338"/>
      <c r="BQ971" s="338"/>
      <c r="BR971" s="338"/>
      <c r="BS971" s="338"/>
      <c r="BT971" s="338"/>
      <c r="BU971" s="338"/>
      <c r="BV971" s="338"/>
      <c r="BW971" s="338"/>
      <c r="BX971" s="338"/>
      <c r="BY971" s="338"/>
      <c r="BZ971" s="338"/>
      <c r="CA971" s="338"/>
      <c r="CB971" s="338"/>
      <c r="CC971" s="338"/>
      <c r="CD971" s="338"/>
      <c r="CE971" s="338"/>
      <c r="CF971" s="338"/>
      <c r="CG971" s="338"/>
      <c r="CH971" s="338"/>
      <c r="CI971" s="338"/>
      <c r="CJ971" s="338"/>
      <c r="CK971" s="338"/>
      <c r="CL971" s="338"/>
    </row>
    <row r="972" ht="14.2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40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  <c r="AV972" s="338"/>
      <c r="AW972" s="338"/>
      <c r="AX972" s="338"/>
      <c r="AY972" s="338"/>
      <c r="AZ972" s="338"/>
      <c r="BA972" s="338"/>
      <c r="BB972" s="338"/>
      <c r="BC972" s="338"/>
      <c r="BD972" s="338"/>
      <c r="BE972" s="338"/>
      <c r="BF972" s="338"/>
      <c r="BG972" s="338"/>
      <c r="BH972" s="338"/>
      <c r="BI972" s="338"/>
      <c r="BJ972" s="338"/>
      <c r="BK972" s="338"/>
      <c r="BL972" s="338"/>
      <c r="BM972" s="338"/>
      <c r="BN972" s="338"/>
      <c r="BO972" s="338"/>
      <c r="BP972" s="338"/>
      <c r="BQ972" s="338"/>
      <c r="BR972" s="338"/>
      <c r="BS972" s="338"/>
      <c r="BT972" s="338"/>
      <c r="BU972" s="338"/>
      <c r="BV972" s="338"/>
      <c r="BW972" s="338"/>
      <c r="BX972" s="338"/>
      <c r="BY972" s="338"/>
      <c r="BZ972" s="338"/>
      <c r="CA972" s="338"/>
      <c r="CB972" s="338"/>
      <c r="CC972" s="338"/>
      <c r="CD972" s="338"/>
      <c r="CE972" s="338"/>
      <c r="CF972" s="338"/>
      <c r="CG972" s="338"/>
      <c r="CH972" s="338"/>
      <c r="CI972" s="338"/>
      <c r="CJ972" s="338"/>
      <c r="CK972" s="338"/>
      <c r="CL972" s="338"/>
    </row>
    <row r="973" ht="14.2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40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  <c r="AV973" s="338"/>
      <c r="AW973" s="338"/>
      <c r="AX973" s="338"/>
      <c r="AY973" s="338"/>
      <c r="AZ973" s="338"/>
      <c r="BA973" s="338"/>
      <c r="BB973" s="338"/>
      <c r="BC973" s="338"/>
      <c r="BD973" s="338"/>
      <c r="BE973" s="338"/>
      <c r="BF973" s="338"/>
      <c r="BG973" s="338"/>
      <c r="BH973" s="338"/>
      <c r="BI973" s="338"/>
      <c r="BJ973" s="338"/>
      <c r="BK973" s="338"/>
      <c r="BL973" s="338"/>
      <c r="BM973" s="338"/>
      <c r="BN973" s="338"/>
      <c r="BO973" s="338"/>
      <c r="BP973" s="338"/>
      <c r="BQ973" s="338"/>
      <c r="BR973" s="338"/>
      <c r="BS973" s="338"/>
      <c r="BT973" s="338"/>
      <c r="BU973" s="338"/>
      <c r="BV973" s="338"/>
      <c r="BW973" s="338"/>
      <c r="BX973" s="338"/>
      <c r="BY973" s="338"/>
      <c r="BZ973" s="338"/>
      <c r="CA973" s="338"/>
      <c r="CB973" s="338"/>
      <c r="CC973" s="338"/>
      <c r="CD973" s="338"/>
      <c r="CE973" s="338"/>
      <c r="CF973" s="338"/>
      <c r="CG973" s="338"/>
      <c r="CH973" s="338"/>
      <c r="CI973" s="338"/>
      <c r="CJ973" s="338"/>
      <c r="CK973" s="338"/>
      <c r="CL973" s="338"/>
    </row>
    <row r="974" ht="14.2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40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  <c r="AV974" s="338"/>
      <c r="AW974" s="338"/>
      <c r="AX974" s="338"/>
      <c r="AY974" s="338"/>
      <c r="AZ974" s="338"/>
      <c r="BA974" s="338"/>
      <c r="BB974" s="338"/>
      <c r="BC974" s="338"/>
      <c r="BD974" s="338"/>
      <c r="BE974" s="338"/>
      <c r="BF974" s="338"/>
      <c r="BG974" s="338"/>
      <c r="BH974" s="338"/>
      <c r="BI974" s="338"/>
      <c r="BJ974" s="338"/>
      <c r="BK974" s="338"/>
      <c r="BL974" s="338"/>
      <c r="BM974" s="338"/>
      <c r="BN974" s="338"/>
      <c r="BO974" s="338"/>
      <c r="BP974" s="338"/>
      <c r="BQ974" s="338"/>
      <c r="BR974" s="338"/>
      <c r="BS974" s="338"/>
      <c r="BT974" s="338"/>
      <c r="BU974" s="338"/>
      <c r="BV974" s="338"/>
      <c r="BW974" s="338"/>
      <c r="BX974" s="338"/>
      <c r="BY974" s="338"/>
      <c r="BZ974" s="338"/>
      <c r="CA974" s="338"/>
      <c r="CB974" s="338"/>
      <c r="CC974" s="338"/>
      <c r="CD974" s="338"/>
      <c r="CE974" s="338"/>
      <c r="CF974" s="338"/>
      <c r="CG974" s="338"/>
      <c r="CH974" s="338"/>
      <c r="CI974" s="338"/>
      <c r="CJ974" s="338"/>
      <c r="CK974" s="338"/>
      <c r="CL974" s="338"/>
    </row>
    <row r="975" ht="14.2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40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  <c r="AV975" s="338"/>
      <c r="AW975" s="338"/>
      <c r="AX975" s="338"/>
      <c r="AY975" s="338"/>
      <c r="AZ975" s="338"/>
      <c r="BA975" s="338"/>
      <c r="BB975" s="338"/>
      <c r="BC975" s="338"/>
      <c r="BD975" s="338"/>
      <c r="BE975" s="338"/>
      <c r="BF975" s="338"/>
      <c r="BG975" s="338"/>
      <c r="BH975" s="338"/>
      <c r="BI975" s="338"/>
      <c r="BJ975" s="338"/>
      <c r="BK975" s="338"/>
      <c r="BL975" s="338"/>
      <c r="BM975" s="338"/>
      <c r="BN975" s="338"/>
      <c r="BO975" s="338"/>
      <c r="BP975" s="338"/>
      <c r="BQ975" s="338"/>
      <c r="BR975" s="338"/>
      <c r="BS975" s="338"/>
      <c r="BT975" s="338"/>
      <c r="BU975" s="338"/>
      <c r="BV975" s="338"/>
      <c r="BW975" s="338"/>
      <c r="BX975" s="338"/>
      <c r="BY975" s="338"/>
      <c r="BZ975" s="338"/>
      <c r="CA975" s="338"/>
      <c r="CB975" s="338"/>
      <c r="CC975" s="338"/>
      <c r="CD975" s="338"/>
      <c r="CE975" s="338"/>
      <c r="CF975" s="338"/>
      <c r="CG975" s="338"/>
      <c r="CH975" s="338"/>
      <c r="CI975" s="338"/>
      <c r="CJ975" s="338"/>
      <c r="CK975" s="338"/>
      <c r="CL975" s="338"/>
    </row>
    <row r="976" ht="14.2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40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  <c r="AV976" s="338"/>
      <c r="AW976" s="338"/>
      <c r="AX976" s="338"/>
      <c r="AY976" s="338"/>
      <c r="AZ976" s="338"/>
      <c r="BA976" s="338"/>
      <c r="BB976" s="338"/>
      <c r="BC976" s="338"/>
      <c r="BD976" s="338"/>
      <c r="BE976" s="338"/>
      <c r="BF976" s="338"/>
      <c r="BG976" s="338"/>
      <c r="BH976" s="338"/>
      <c r="BI976" s="338"/>
      <c r="BJ976" s="338"/>
      <c r="BK976" s="338"/>
      <c r="BL976" s="338"/>
      <c r="BM976" s="338"/>
      <c r="BN976" s="338"/>
      <c r="BO976" s="338"/>
      <c r="BP976" s="338"/>
      <c r="BQ976" s="338"/>
      <c r="BR976" s="338"/>
      <c r="BS976" s="338"/>
      <c r="BT976" s="338"/>
      <c r="BU976" s="338"/>
      <c r="BV976" s="338"/>
      <c r="BW976" s="338"/>
      <c r="BX976" s="338"/>
      <c r="BY976" s="338"/>
      <c r="BZ976" s="338"/>
      <c r="CA976" s="338"/>
      <c r="CB976" s="338"/>
      <c r="CC976" s="338"/>
      <c r="CD976" s="338"/>
      <c r="CE976" s="338"/>
      <c r="CF976" s="338"/>
      <c r="CG976" s="338"/>
      <c r="CH976" s="338"/>
      <c r="CI976" s="338"/>
      <c r="CJ976" s="338"/>
      <c r="CK976" s="338"/>
      <c r="CL976" s="338"/>
    </row>
    <row r="977" ht="14.2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40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  <c r="AV977" s="338"/>
      <c r="AW977" s="338"/>
      <c r="AX977" s="338"/>
      <c r="AY977" s="338"/>
      <c r="AZ977" s="338"/>
      <c r="BA977" s="338"/>
      <c r="BB977" s="338"/>
      <c r="BC977" s="338"/>
      <c r="BD977" s="338"/>
      <c r="BE977" s="338"/>
      <c r="BF977" s="338"/>
      <c r="BG977" s="338"/>
      <c r="BH977" s="338"/>
      <c r="BI977" s="338"/>
      <c r="BJ977" s="338"/>
      <c r="BK977" s="338"/>
      <c r="BL977" s="338"/>
      <c r="BM977" s="338"/>
      <c r="BN977" s="338"/>
      <c r="BO977" s="338"/>
      <c r="BP977" s="338"/>
      <c r="BQ977" s="338"/>
      <c r="BR977" s="338"/>
      <c r="BS977" s="338"/>
      <c r="BT977" s="338"/>
      <c r="BU977" s="338"/>
      <c r="BV977" s="338"/>
      <c r="BW977" s="338"/>
      <c r="BX977" s="338"/>
      <c r="BY977" s="338"/>
      <c r="BZ977" s="338"/>
      <c r="CA977" s="338"/>
      <c r="CB977" s="338"/>
      <c r="CC977" s="338"/>
      <c r="CD977" s="338"/>
      <c r="CE977" s="338"/>
      <c r="CF977" s="338"/>
      <c r="CG977" s="338"/>
      <c r="CH977" s="338"/>
      <c r="CI977" s="338"/>
      <c r="CJ977" s="338"/>
      <c r="CK977" s="338"/>
      <c r="CL977" s="338"/>
    </row>
    <row r="978" ht="14.2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40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  <c r="AV978" s="338"/>
      <c r="AW978" s="338"/>
      <c r="AX978" s="338"/>
      <c r="AY978" s="338"/>
      <c r="AZ978" s="338"/>
      <c r="BA978" s="338"/>
      <c r="BB978" s="338"/>
      <c r="BC978" s="338"/>
      <c r="BD978" s="338"/>
      <c r="BE978" s="338"/>
      <c r="BF978" s="338"/>
      <c r="BG978" s="338"/>
      <c r="BH978" s="338"/>
      <c r="BI978" s="338"/>
      <c r="BJ978" s="338"/>
      <c r="BK978" s="338"/>
      <c r="BL978" s="338"/>
      <c r="BM978" s="338"/>
      <c r="BN978" s="338"/>
      <c r="BO978" s="338"/>
      <c r="BP978" s="338"/>
      <c r="BQ978" s="338"/>
      <c r="BR978" s="338"/>
      <c r="BS978" s="338"/>
      <c r="BT978" s="338"/>
      <c r="BU978" s="338"/>
      <c r="BV978" s="338"/>
      <c r="BW978" s="338"/>
      <c r="BX978" s="338"/>
      <c r="BY978" s="338"/>
      <c r="BZ978" s="338"/>
      <c r="CA978" s="338"/>
      <c r="CB978" s="338"/>
      <c r="CC978" s="338"/>
      <c r="CD978" s="338"/>
      <c r="CE978" s="338"/>
      <c r="CF978" s="338"/>
      <c r="CG978" s="338"/>
      <c r="CH978" s="338"/>
      <c r="CI978" s="338"/>
      <c r="CJ978" s="338"/>
      <c r="CK978" s="338"/>
      <c r="CL978" s="338"/>
    </row>
    <row r="979" ht="14.2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40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  <c r="AV979" s="338"/>
      <c r="AW979" s="338"/>
      <c r="AX979" s="338"/>
      <c r="AY979" s="338"/>
      <c r="AZ979" s="338"/>
      <c r="BA979" s="338"/>
      <c r="BB979" s="338"/>
      <c r="BC979" s="338"/>
      <c r="BD979" s="338"/>
      <c r="BE979" s="338"/>
      <c r="BF979" s="338"/>
      <c r="BG979" s="338"/>
      <c r="BH979" s="338"/>
      <c r="BI979" s="338"/>
      <c r="BJ979" s="338"/>
      <c r="BK979" s="338"/>
      <c r="BL979" s="338"/>
      <c r="BM979" s="338"/>
      <c r="BN979" s="338"/>
      <c r="BO979" s="338"/>
      <c r="BP979" s="338"/>
      <c r="BQ979" s="338"/>
      <c r="BR979" s="338"/>
      <c r="BS979" s="338"/>
      <c r="BT979" s="338"/>
      <c r="BU979" s="338"/>
      <c r="BV979" s="338"/>
      <c r="BW979" s="338"/>
      <c r="BX979" s="338"/>
      <c r="BY979" s="338"/>
      <c r="BZ979" s="338"/>
      <c r="CA979" s="338"/>
      <c r="CB979" s="338"/>
      <c r="CC979" s="338"/>
      <c r="CD979" s="338"/>
      <c r="CE979" s="338"/>
      <c r="CF979" s="338"/>
      <c r="CG979" s="338"/>
      <c r="CH979" s="338"/>
      <c r="CI979" s="338"/>
      <c r="CJ979" s="338"/>
      <c r="CK979" s="338"/>
      <c r="CL979" s="338"/>
    </row>
    <row r="980" ht="14.2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40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  <c r="AV980" s="338"/>
      <c r="AW980" s="338"/>
      <c r="AX980" s="338"/>
      <c r="AY980" s="338"/>
      <c r="AZ980" s="338"/>
      <c r="BA980" s="338"/>
      <c r="BB980" s="338"/>
      <c r="BC980" s="338"/>
      <c r="BD980" s="338"/>
      <c r="BE980" s="338"/>
      <c r="BF980" s="338"/>
      <c r="BG980" s="338"/>
      <c r="BH980" s="338"/>
      <c r="BI980" s="338"/>
      <c r="BJ980" s="338"/>
      <c r="BK980" s="338"/>
      <c r="BL980" s="338"/>
      <c r="BM980" s="338"/>
      <c r="BN980" s="338"/>
      <c r="BO980" s="338"/>
      <c r="BP980" s="338"/>
      <c r="BQ980" s="338"/>
      <c r="BR980" s="338"/>
      <c r="BS980" s="338"/>
      <c r="BT980" s="338"/>
      <c r="BU980" s="338"/>
      <c r="BV980" s="338"/>
      <c r="BW980" s="338"/>
      <c r="BX980" s="338"/>
      <c r="BY980" s="338"/>
      <c r="BZ980" s="338"/>
      <c r="CA980" s="338"/>
      <c r="CB980" s="338"/>
      <c r="CC980" s="338"/>
      <c r="CD980" s="338"/>
      <c r="CE980" s="338"/>
      <c r="CF980" s="338"/>
      <c r="CG980" s="338"/>
      <c r="CH980" s="338"/>
      <c r="CI980" s="338"/>
      <c r="CJ980" s="338"/>
      <c r="CK980" s="338"/>
      <c r="CL980" s="338"/>
    </row>
    <row r="981" ht="14.2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40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  <c r="AV981" s="338"/>
      <c r="AW981" s="338"/>
      <c r="AX981" s="338"/>
      <c r="AY981" s="338"/>
      <c r="AZ981" s="338"/>
      <c r="BA981" s="338"/>
      <c r="BB981" s="338"/>
      <c r="BC981" s="338"/>
      <c r="BD981" s="338"/>
      <c r="BE981" s="338"/>
      <c r="BF981" s="338"/>
      <c r="BG981" s="338"/>
      <c r="BH981" s="338"/>
      <c r="BI981" s="338"/>
      <c r="BJ981" s="338"/>
      <c r="BK981" s="338"/>
      <c r="BL981" s="338"/>
      <c r="BM981" s="338"/>
      <c r="BN981" s="338"/>
      <c r="BO981" s="338"/>
      <c r="BP981" s="338"/>
      <c r="BQ981" s="338"/>
      <c r="BR981" s="338"/>
      <c r="BS981" s="338"/>
      <c r="BT981" s="338"/>
      <c r="BU981" s="338"/>
      <c r="BV981" s="338"/>
      <c r="BW981" s="338"/>
      <c r="BX981" s="338"/>
      <c r="BY981" s="338"/>
      <c r="BZ981" s="338"/>
      <c r="CA981" s="338"/>
      <c r="CB981" s="338"/>
      <c r="CC981" s="338"/>
      <c r="CD981" s="338"/>
      <c r="CE981" s="338"/>
      <c r="CF981" s="338"/>
      <c r="CG981" s="338"/>
      <c r="CH981" s="338"/>
      <c r="CI981" s="338"/>
      <c r="CJ981" s="338"/>
      <c r="CK981" s="338"/>
      <c r="CL981" s="338"/>
    </row>
    <row r="982" ht="14.2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40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  <c r="AV982" s="338"/>
      <c r="AW982" s="338"/>
      <c r="AX982" s="338"/>
      <c r="AY982" s="338"/>
      <c r="AZ982" s="338"/>
      <c r="BA982" s="338"/>
      <c r="BB982" s="338"/>
      <c r="BC982" s="338"/>
      <c r="BD982" s="338"/>
      <c r="BE982" s="338"/>
      <c r="BF982" s="338"/>
      <c r="BG982" s="338"/>
      <c r="BH982" s="338"/>
      <c r="BI982" s="338"/>
      <c r="BJ982" s="338"/>
      <c r="BK982" s="338"/>
      <c r="BL982" s="338"/>
      <c r="BM982" s="338"/>
      <c r="BN982" s="338"/>
      <c r="BO982" s="338"/>
      <c r="BP982" s="338"/>
      <c r="BQ982" s="338"/>
      <c r="BR982" s="338"/>
      <c r="BS982" s="338"/>
      <c r="BT982" s="338"/>
      <c r="BU982" s="338"/>
      <c r="BV982" s="338"/>
      <c r="BW982" s="338"/>
      <c r="BX982" s="338"/>
      <c r="BY982" s="338"/>
      <c r="BZ982" s="338"/>
      <c r="CA982" s="338"/>
      <c r="CB982" s="338"/>
      <c r="CC982" s="338"/>
      <c r="CD982" s="338"/>
      <c r="CE982" s="338"/>
      <c r="CF982" s="338"/>
      <c r="CG982" s="338"/>
      <c r="CH982" s="338"/>
      <c r="CI982" s="338"/>
      <c r="CJ982" s="338"/>
      <c r="CK982" s="338"/>
      <c r="CL982" s="338"/>
    </row>
    <row r="983" ht="14.2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40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  <c r="AV983" s="338"/>
      <c r="AW983" s="338"/>
      <c r="AX983" s="338"/>
      <c r="AY983" s="338"/>
      <c r="AZ983" s="338"/>
      <c r="BA983" s="338"/>
      <c r="BB983" s="338"/>
      <c r="BC983" s="338"/>
      <c r="BD983" s="338"/>
      <c r="BE983" s="338"/>
      <c r="BF983" s="338"/>
      <c r="BG983" s="338"/>
      <c r="BH983" s="338"/>
      <c r="BI983" s="338"/>
      <c r="BJ983" s="338"/>
      <c r="BK983" s="338"/>
      <c r="BL983" s="338"/>
      <c r="BM983" s="338"/>
      <c r="BN983" s="338"/>
      <c r="BO983" s="338"/>
      <c r="BP983" s="338"/>
      <c r="BQ983" s="338"/>
      <c r="BR983" s="338"/>
      <c r="BS983" s="338"/>
      <c r="BT983" s="338"/>
      <c r="BU983" s="338"/>
      <c r="BV983" s="338"/>
      <c r="BW983" s="338"/>
      <c r="BX983" s="338"/>
      <c r="BY983" s="338"/>
      <c r="BZ983" s="338"/>
      <c r="CA983" s="338"/>
      <c r="CB983" s="338"/>
      <c r="CC983" s="338"/>
      <c r="CD983" s="338"/>
      <c r="CE983" s="338"/>
      <c r="CF983" s="338"/>
      <c r="CG983" s="338"/>
      <c r="CH983" s="338"/>
      <c r="CI983" s="338"/>
      <c r="CJ983" s="338"/>
      <c r="CK983" s="338"/>
      <c r="CL983" s="338"/>
    </row>
    <row r="984" ht="14.2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40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  <c r="AV984" s="338"/>
      <c r="AW984" s="338"/>
      <c r="AX984" s="338"/>
      <c r="AY984" s="338"/>
      <c r="AZ984" s="338"/>
      <c r="BA984" s="338"/>
      <c r="BB984" s="338"/>
      <c r="BC984" s="338"/>
      <c r="BD984" s="338"/>
      <c r="BE984" s="338"/>
      <c r="BF984" s="338"/>
      <c r="BG984" s="338"/>
      <c r="BH984" s="338"/>
      <c r="BI984" s="338"/>
      <c r="BJ984" s="338"/>
      <c r="BK984" s="338"/>
      <c r="BL984" s="338"/>
      <c r="BM984" s="338"/>
      <c r="BN984" s="338"/>
      <c r="BO984" s="338"/>
      <c r="BP984" s="338"/>
      <c r="BQ984" s="338"/>
      <c r="BR984" s="338"/>
      <c r="BS984" s="338"/>
      <c r="BT984" s="338"/>
      <c r="BU984" s="338"/>
      <c r="BV984" s="338"/>
      <c r="BW984" s="338"/>
      <c r="BX984" s="338"/>
      <c r="BY984" s="338"/>
      <c r="BZ984" s="338"/>
      <c r="CA984" s="338"/>
      <c r="CB984" s="338"/>
      <c r="CC984" s="338"/>
      <c r="CD984" s="338"/>
      <c r="CE984" s="338"/>
      <c r="CF984" s="338"/>
      <c r="CG984" s="338"/>
      <c r="CH984" s="338"/>
      <c r="CI984" s="338"/>
      <c r="CJ984" s="338"/>
      <c r="CK984" s="338"/>
      <c r="CL984" s="338"/>
    </row>
    <row r="985" ht="14.2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40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  <c r="AW985" s="338"/>
      <c r="AX985" s="338"/>
      <c r="AY985" s="338"/>
      <c r="AZ985" s="338"/>
      <c r="BA985" s="338"/>
      <c r="BB985" s="338"/>
      <c r="BC985" s="338"/>
      <c r="BD985" s="338"/>
      <c r="BE985" s="338"/>
      <c r="BF985" s="338"/>
      <c r="BG985" s="338"/>
      <c r="BH985" s="338"/>
      <c r="BI985" s="338"/>
      <c r="BJ985" s="338"/>
      <c r="BK985" s="338"/>
      <c r="BL985" s="338"/>
      <c r="BM985" s="338"/>
      <c r="BN985" s="338"/>
      <c r="BO985" s="338"/>
      <c r="BP985" s="338"/>
      <c r="BQ985" s="338"/>
      <c r="BR985" s="338"/>
      <c r="BS985" s="338"/>
      <c r="BT985" s="338"/>
      <c r="BU985" s="338"/>
      <c r="BV985" s="338"/>
      <c r="BW985" s="338"/>
      <c r="BX985" s="338"/>
      <c r="BY985" s="338"/>
      <c r="BZ985" s="338"/>
      <c r="CA985" s="338"/>
      <c r="CB985" s="338"/>
      <c r="CC985" s="338"/>
      <c r="CD985" s="338"/>
      <c r="CE985" s="338"/>
      <c r="CF985" s="338"/>
      <c r="CG985" s="338"/>
      <c r="CH985" s="338"/>
      <c r="CI985" s="338"/>
      <c r="CJ985" s="338"/>
      <c r="CK985" s="338"/>
      <c r="CL985" s="338"/>
    </row>
    <row r="986" ht="14.2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40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  <c r="AV986" s="338"/>
      <c r="AW986" s="338"/>
      <c r="AX986" s="338"/>
      <c r="AY986" s="338"/>
      <c r="AZ986" s="338"/>
      <c r="BA986" s="338"/>
      <c r="BB986" s="338"/>
      <c r="BC986" s="338"/>
      <c r="BD986" s="338"/>
      <c r="BE986" s="338"/>
      <c r="BF986" s="338"/>
      <c r="BG986" s="338"/>
      <c r="BH986" s="338"/>
      <c r="BI986" s="338"/>
      <c r="BJ986" s="338"/>
      <c r="BK986" s="338"/>
      <c r="BL986" s="338"/>
      <c r="BM986" s="338"/>
      <c r="BN986" s="338"/>
      <c r="BO986" s="338"/>
      <c r="BP986" s="338"/>
      <c r="BQ986" s="338"/>
      <c r="BR986" s="338"/>
      <c r="BS986" s="338"/>
      <c r="BT986" s="338"/>
      <c r="BU986" s="338"/>
      <c r="BV986" s="338"/>
      <c r="BW986" s="338"/>
      <c r="BX986" s="338"/>
      <c r="BY986" s="338"/>
      <c r="BZ986" s="338"/>
      <c r="CA986" s="338"/>
      <c r="CB986" s="338"/>
      <c r="CC986" s="338"/>
      <c r="CD986" s="338"/>
      <c r="CE986" s="338"/>
      <c r="CF986" s="338"/>
      <c r="CG986" s="338"/>
      <c r="CH986" s="338"/>
      <c r="CI986" s="338"/>
      <c r="CJ986" s="338"/>
      <c r="CK986" s="338"/>
      <c r="CL986" s="338"/>
    </row>
    <row r="987" ht="14.2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40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  <c r="AV987" s="338"/>
      <c r="AW987" s="338"/>
      <c r="AX987" s="338"/>
      <c r="AY987" s="338"/>
      <c r="AZ987" s="338"/>
      <c r="BA987" s="338"/>
      <c r="BB987" s="338"/>
      <c r="BC987" s="338"/>
      <c r="BD987" s="338"/>
      <c r="BE987" s="338"/>
      <c r="BF987" s="338"/>
      <c r="BG987" s="338"/>
      <c r="BH987" s="338"/>
      <c r="BI987" s="338"/>
      <c r="BJ987" s="338"/>
      <c r="BK987" s="338"/>
      <c r="BL987" s="338"/>
      <c r="BM987" s="338"/>
      <c r="BN987" s="338"/>
      <c r="BO987" s="338"/>
      <c r="BP987" s="338"/>
      <c r="BQ987" s="338"/>
      <c r="BR987" s="338"/>
      <c r="BS987" s="338"/>
      <c r="BT987" s="338"/>
      <c r="BU987" s="338"/>
      <c r="BV987" s="338"/>
      <c r="BW987" s="338"/>
      <c r="BX987" s="338"/>
      <c r="BY987" s="338"/>
      <c r="BZ987" s="338"/>
      <c r="CA987" s="338"/>
      <c r="CB987" s="338"/>
      <c r="CC987" s="338"/>
      <c r="CD987" s="338"/>
      <c r="CE987" s="338"/>
      <c r="CF987" s="338"/>
      <c r="CG987" s="338"/>
      <c r="CH987" s="338"/>
      <c r="CI987" s="338"/>
      <c r="CJ987" s="338"/>
      <c r="CK987" s="338"/>
      <c r="CL987" s="338"/>
    </row>
    <row r="988" ht="14.2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40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  <c r="AV988" s="338"/>
      <c r="AW988" s="338"/>
      <c r="AX988" s="338"/>
      <c r="AY988" s="338"/>
      <c r="AZ988" s="338"/>
      <c r="BA988" s="338"/>
      <c r="BB988" s="338"/>
      <c r="BC988" s="338"/>
      <c r="BD988" s="338"/>
      <c r="BE988" s="338"/>
      <c r="BF988" s="338"/>
      <c r="BG988" s="338"/>
      <c r="BH988" s="338"/>
      <c r="BI988" s="338"/>
      <c r="BJ988" s="338"/>
      <c r="BK988" s="338"/>
      <c r="BL988" s="338"/>
      <c r="BM988" s="338"/>
      <c r="BN988" s="338"/>
      <c r="BO988" s="338"/>
      <c r="BP988" s="338"/>
      <c r="BQ988" s="338"/>
      <c r="BR988" s="338"/>
      <c r="BS988" s="338"/>
      <c r="BT988" s="338"/>
      <c r="BU988" s="338"/>
      <c r="BV988" s="338"/>
      <c r="BW988" s="338"/>
      <c r="BX988" s="338"/>
      <c r="BY988" s="338"/>
      <c r="BZ988" s="338"/>
      <c r="CA988" s="338"/>
      <c r="CB988" s="338"/>
      <c r="CC988" s="338"/>
      <c r="CD988" s="338"/>
      <c r="CE988" s="338"/>
      <c r="CF988" s="338"/>
      <c r="CG988" s="338"/>
      <c r="CH988" s="338"/>
      <c r="CI988" s="338"/>
      <c r="CJ988" s="338"/>
      <c r="CK988" s="338"/>
      <c r="CL988" s="338"/>
    </row>
    <row r="989" ht="14.2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40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  <c r="AV989" s="338"/>
      <c r="AW989" s="338"/>
      <c r="AX989" s="338"/>
      <c r="AY989" s="338"/>
      <c r="AZ989" s="338"/>
      <c r="BA989" s="338"/>
      <c r="BB989" s="338"/>
      <c r="BC989" s="338"/>
      <c r="BD989" s="338"/>
      <c r="BE989" s="338"/>
      <c r="BF989" s="338"/>
      <c r="BG989" s="338"/>
      <c r="BH989" s="338"/>
      <c r="BI989" s="338"/>
      <c r="BJ989" s="338"/>
      <c r="BK989" s="338"/>
      <c r="BL989" s="338"/>
      <c r="BM989" s="338"/>
      <c r="BN989" s="338"/>
      <c r="BO989" s="338"/>
      <c r="BP989" s="338"/>
      <c r="BQ989" s="338"/>
      <c r="BR989" s="338"/>
      <c r="BS989" s="338"/>
      <c r="BT989" s="338"/>
      <c r="BU989" s="338"/>
      <c r="BV989" s="338"/>
      <c r="BW989" s="338"/>
      <c r="BX989" s="338"/>
      <c r="BY989" s="338"/>
      <c r="BZ989" s="338"/>
      <c r="CA989" s="338"/>
      <c r="CB989" s="338"/>
      <c r="CC989" s="338"/>
      <c r="CD989" s="338"/>
      <c r="CE989" s="338"/>
      <c r="CF989" s="338"/>
      <c r="CG989" s="338"/>
      <c r="CH989" s="338"/>
      <c r="CI989" s="338"/>
      <c r="CJ989" s="338"/>
      <c r="CK989" s="338"/>
      <c r="CL989" s="338"/>
    </row>
    <row r="990" ht="14.2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40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  <c r="AV990" s="338"/>
      <c r="AW990" s="338"/>
      <c r="AX990" s="338"/>
      <c r="AY990" s="338"/>
      <c r="AZ990" s="338"/>
      <c r="BA990" s="338"/>
      <c r="BB990" s="338"/>
      <c r="BC990" s="338"/>
      <c r="BD990" s="338"/>
      <c r="BE990" s="338"/>
      <c r="BF990" s="338"/>
      <c r="BG990" s="338"/>
      <c r="BH990" s="338"/>
      <c r="BI990" s="338"/>
      <c r="BJ990" s="338"/>
      <c r="BK990" s="338"/>
      <c r="BL990" s="338"/>
      <c r="BM990" s="338"/>
      <c r="BN990" s="338"/>
      <c r="BO990" s="338"/>
      <c r="BP990" s="338"/>
      <c r="BQ990" s="338"/>
      <c r="BR990" s="338"/>
      <c r="BS990" s="338"/>
      <c r="BT990" s="338"/>
      <c r="BU990" s="338"/>
      <c r="BV990" s="338"/>
      <c r="BW990" s="338"/>
      <c r="BX990" s="338"/>
      <c r="BY990" s="338"/>
      <c r="BZ990" s="338"/>
      <c r="CA990" s="338"/>
      <c r="CB990" s="338"/>
      <c r="CC990" s="338"/>
      <c r="CD990" s="338"/>
      <c r="CE990" s="338"/>
      <c r="CF990" s="338"/>
      <c r="CG990" s="338"/>
      <c r="CH990" s="338"/>
      <c r="CI990" s="338"/>
      <c r="CJ990" s="338"/>
      <c r="CK990" s="338"/>
      <c r="CL990" s="338"/>
    </row>
    <row r="991" ht="14.2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40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  <c r="AV991" s="338"/>
      <c r="AW991" s="338"/>
      <c r="AX991" s="338"/>
      <c r="AY991" s="338"/>
      <c r="AZ991" s="338"/>
      <c r="BA991" s="338"/>
      <c r="BB991" s="338"/>
      <c r="BC991" s="338"/>
      <c r="BD991" s="338"/>
      <c r="BE991" s="338"/>
      <c r="BF991" s="338"/>
      <c r="BG991" s="338"/>
      <c r="BH991" s="338"/>
      <c r="BI991" s="338"/>
      <c r="BJ991" s="338"/>
      <c r="BK991" s="338"/>
      <c r="BL991" s="338"/>
      <c r="BM991" s="338"/>
      <c r="BN991" s="338"/>
      <c r="BO991" s="338"/>
      <c r="BP991" s="338"/>
      <c r="BQ991" s="338"/>
      <c r="BR991" s="338"/>
      <c r="BS991" s="338"/>
      <c r="BT991" s="338"/>
      <c r="BU991" s="338"/>
      <c r="BV991" s="338"/>
      <c r="BW991" s="338"/>
      <c r="BX991" s="338"/>
      <c r="BY991" s="338"/>
      <c r="BZ991" s="338"/>
      <c r="CA991" s="338"/>
      <c r="CB991" s="338"/>
      <c r="CC991" s="338"/>
      <c r="CD991" s="338"/>
      <c r="CE991" s="338"/>
      <c r="CF991" s="338"/>
      <c r="CG991" s="338"/>
      <c r="CH991" s="338"/>
      <c r="CI991" s="338"/>
      <c r="CJ991" s="338"/>
      <c r="CK991" s="338"/>
      <c r="CL991" s="338"/>
    </row>
    <row r="992" ht="14.2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40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  <c r="AV992" s="338"/>
      <c r="AW992" s="338"/>
      <c r="AX992" s="338"/>
      <c r="AY992" s="338"/>
      <c r="AZ992" s="338"/>
      <c r="BA992" s="338"/>
      <c r="BB992" s="338"/>
      <c r="BC992" s="338"/>
      <c r="BD992" s="338"/>
      <c r="BE992" s="338"/>
      <c r="BF992" s="338"/>
      <c r="BG992" s="338"/>
      <c r="BH992" s="338"/>
      <c r="BI992" s="338"/>
      <c r="BJ992" s="338"/>
      <c r="BK992" s="338"/>
      <c r="BL992" s="338"/>
      <c r="BM992" s="338"/>
      <c r="BN992" s="338"/>
      <c r="BO992" s="338"/>
      <c r="BP992" s="338"/>
      <c r="BQ992" s="338"/>
      <c r="BR992" s="338"/>
      <c r="BS992" s="338"/>
      <c r="BT992" s="338"/>
      <c r="BU992" s="338"/>
      <c r="BV992" s="338"/>
      <c r="BW992" s="338"/>
      <c r="BX992" s="338"/>
      <c r="BY992" s="338"/>
      <c r="BZ992" s="338"/>
      <c r="CA992" s="338"/>
      <c r="CB992" s="338"/>
      <c r="CC992" s="338"/>
      <c r="CD992" s="338"/>
      <c r="CE992" s="338"/>
      <c r="CF992" s="338"/>
      <c r="CG992" s="338"/>
      <c r="CH992" s="338"/>
      <c r="CI992" s="338"/>
      <c r="CJ992" s="338"/>
      <c r="CK992" s="338"/>
      <c r="CL992" s="338"/>
    </row>
    <row r="993" ht="14.2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40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  <c r="AV993" s="338"/>
      <c r="AW993" s="338"/>
      <c r="AX993" s="338"/>
      <c r="AY993" s="338"/>
      <c r="AZ993" s="338"/>
      <c r="BA993" s="338"/>
      <c r="BB993" s="338"/>
      <c r="BC993" s="338"/>
      <c r="BD993" s="338"/>
      <c r="BE993" s="338"/>
      <c r="BF993" s="338"/>
      <c r="BG993" s="338"/>
      <c r="BH993" s="338"/>
      <c r="BI993" s="338"/>
      <c r="BJ993" s="338"/>
      <c r="BK993" s="338"/>
      <c r="BL993" s="338"/>
      <c r="BM993" s="338"/>
      <c r="BN993" s="338"/>
      <c r="BO993" s="338"/>
      <c r="BP993" s="338"/>
      <c r="BQ993" s="338"/>
      <c r="BR993" s="338"/>
      <c r="BS993" s="338"/>
      <c r="BT993" s="338"/>
      <c r="BU993" s="338"/>
      <c r="BV993" s="338"/>
      <c r="BW993" s="338"/>
      <c r="BX993" s="338"/>
      <c r="BY993" s="338"/>
      <c r="BZ993" s="338"/>
      <c r="CA993" s="338"/>
      <c r="CB993" s="338"/>
      <c r="CC993" s="338"/>
      <c r="CD993" s="338"/>
      <c r="CE993" s="338"/>
      <c r="CF993" s="338"/>
      <c r="CG993" s="338"/>
      <c r="CH993" s="338"/>
      <c r="CI993" s="338"/>
      <c r="CJ993" s="338"/>
      <c r="CK993" s="338"/>
      <c r="CL993" s="338"/>
    </row>
    <row r="994" ht="14.2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40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  <c r="AV994" s="338"/>
      <c r="AW994" s="338"/>
      <c r="AX994" s="338"/>
      <c r="AY994" s="338"/>
      <c r="AZ994" s="338"/>
      <c r="BA994" s="338"/>
      <c r="BB994" s="338"/>
      <c r="BC994" s="338"/>
      <c r="BD994" s="338"/>
      <c r="BE994" s="338"/>
      <c r="BF994" s="338"/>
      <c r="BG994" s="338"/>
      <c r="BH994" s="338"/>
      <c r="BI994" s="338"/>
      <c r="BJ994" s="338"/>
      <c r="BK994" s="338"/>
      <c r="BL994" s="338"/>
      <c r="BM994" s="338"/>
      <c r="BN994" s="338"/>
      <c r="BO994" s="338"/>
      <c r="BP994" s="338"/>
      <c r="BQ994" s="338"/>
      <c r="BR994" s="338"/>
      <c r="BS994" s="338"/>
      <c r="BT994" s="338"/>
      <c r="BU994" s="338"/>
      <c r="BV994" s="338"/>
      <c r="BW994" s="338"/>
      <c r="BX994" s="338"/>
      <c r="BY994" s="338"/>
      <c r="BZ994" s="338"/>
      <c r="CA994" s="338"/>
      <c r="CB994" s="338"/>
      <c r="CC994" s="338"/>
      <c r="CD994" s="338"/>
      <c r="CE994" s="338"/>
      <c r="CF994" s="338"/>
      <c r="CG994" s="338"/>
      <c r="CH994" s="338"/>
      <c r="CI994" s="338"/>
      <c r="CJ994" s="338"/>
      <c r="CK994" s="338"/>
      <c r="CL994" s="338"/>
    </row>
    <row r="995" ht="14.2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40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  <c r="AV995" s="338"/>
      <c r="AW995" s="338"/>
      <c r="AX995" s="338"/>
      <c r="AY995" s="338"/>
      <c r="AZ995" s="338"/>
      <c r="BA995" s="338"/>
      <c r="BB995" s="338"/>
      <c r="BC995" s="338"/>
      <c r="BD995" s="338"/>
      <c r="BE995" s="338"/>
      <c r="BF995" s="338"/>
      <c r="BG995" s="338"/>
      <c r="BH995" s="338"/>
      <c r="BI995" s="338"/>
      <c r="BJ995" s="338"/>
      <c r="BK995" s="338"/>
      <c r="BL995" s="338"/>
      <c r="BM995" s="338"/>
      <c r="BN995" s="338"/>
      <c r="BO995" s="338"/>
      <c r="BP995" s="338"/>
      <c r="BQ995" s="338"/>
      <c r="BR995" s="338"/>
      <c r="BS995" s="338"/>
      <c r="BT995" s="338"/>
      <c r="BU995" s="338"/>
      <c r="BV995" s="338"/>
      <c r="BW995" s="338"/>
      <c r="BX995" s="338"/>
      <c r="BY995" s="338"/>
      <c r="BZ995" s="338"/>
      <c r="CA995" s="338"/>
      <c r="CB995" s="338"/>
      <c r="CC995" s="338"/>
      <c r="CD995" s="338"/>
      <c r="CE995" s="338"/>
      <c r="CF995" s="338"/>
      <c r="CG995" s="338"/>
      <c r="CH995" s="338"/>
      <c r="CI995" s="338"/>
      <c r="CJ995" s="338"/>
      <c r="CK995" s="338"/>
      <c r="CL995" s="338"/>
    </row>
    <row r="996" ht="14.2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40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  <c r="AV996" s="338"/>
      <c r="AW996" s="338"/>
      <c r="AX996" s="338"/>
      <c r="AY996" s="338"/>
      <c r="AZ996" s="338"/>
      <c r="BA996" s="338"/>
      <c r="BB996" s="338"/>
      <c r="BC996" s="338"/>
      <c r="BD996" s="338"/>
      <c r="BE996" s="338"/>
      <c r="BF996" s="338"/>
      <c r="BG996" s="338"/>
      <c r="BH996" s="338"/>
      <c r="BI996" s="338"/>
      <c r="BJ996" s="338"/>
      <c r="BK996" s="338"/>
      <c r="BL996" s="338"/>
      <c r="BM996" s="338"/>
      <c r="BN996" s="338"/>
      <c r="BO996" s="338"/>
      <c r="BP996" s="338"/>
      <c r="BQ996" s="338"/>
      <c r="BR996" s="338"/>
      <c r="BS996" s="338"/>
      <c r="BT996" s="338"/>
      <c r="BU996" s="338"/>
      <c r="BV996" s="338"/>
      <c r="BW996" s="338"/>
      <c r="BX996" s="338"/>
      <c r="BY996" s="338"/>
      <c r="BZ996" s="338"/>
      <c r="CA996" s="338"/>
      <c r="CB996" s="338"/>
      <c r="CC996" s="338"/>
      <c r="CD996" s="338"/>
      <c r="CE996" s="338"/>
      <c r="CF996" s="338"/>
      <c r="CG996" s="338"/>
      <c r="CH996" s="338"/>
      <c r="CI996" s="338"/>
      <c r="CJ996" s="338"/>
      <c r="CK996" s="338"/>
      <c r="CL996" s="338"/>
    </row>
    <row r="997" ht="14.2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40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  <c r="AV997" s="338"/>
      <c r="AW997" s="338"/>
      <c r="AX997" s="338"/>
      <c r="AY997" s="338"/>
      <c r="AZ997" s="338"/>
      <c r="BA997" s="338"/>
      <c r="BB997" s="338"/>
      <c r="BC997" s="338"/>
      <c r="BD997" s="338"/>
      <c r="BE997" s="338"/>
      <c r="BF997" s="338"/>
      <c r="BG997" s="338"/>
      <c r="BH997" s="338"/>
      <c r="BI997" s="338"/>
      <c r="BJ997" s="338"/>
      <c r="BK997" s="338"/>
      <c r="BL997" s="338"/>
      <c r="BM997" s="338"/>
      <c r="BN997" s="338"/>
      <c r="BO997" s="338"/>
      <c r="BP997" s="338"/>
      <c r="BQ997" s="338"/>
      <c r="BR997" s="338"/>
      <c r="BS997" s="338"/>
      <c r="BT997" s="338"/>
      <c r="BU997" s="338"/>
      <c r="BV997" s="338"/>
      <c r="BW997" s="338"/>
      <c r="BX997" s="338"/>
      <c r="BY997" s="338"/>
      <c r="BZ997" s="338"/>
      <c r="CA997" s="338"/>
      <c r="CB997" s="338"/>
      <c r="CC997" s="338"/>
      <c r="CD997" s="338"/>
      <c r="CE997" s="338"/>
      <c r="CF997" s="338"/>
      <c r="CG997" s="338"/>
      <c r="CH997" s="338"/>
      <c r="CI997" s="338"/>
      <c r="CJ997" s="338"/>
      <c r="CK997" s="338"/>
      <c r="CL997" s="338"/>
    </row>
    <row r="998" ht="14.2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40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  <c r="AV998" s="338"/>
      <c r="AW998" s="338"/>
      <c r="AX998" s="338"/>
      <c r="AY998" s="338"/>
      <c r="AZ998" s="338"/>
      <c r="BA998" s="338"/>
      <c r="BB998" s="338"/>
      <c r="BC998" s="338"/>
      <c r="BD998" s="338"/>
      <c r="BE998" s="338"/>
      <c r="BF998" s="338"/>
      <c r="BG998" s="338"/>
      <c r="BH998" s="338"/>
      <c r="BI998" s="338"/>
      <c r="BJ998" s="338"/>
      <c r="BK998" s="338"/>
      <c r="BL998" s="338"/>
      <c r="BM998" s="338"/>
      <c r="BN998" s="338"/>
      <c r="BO998" s="338"/>
      <c r="BP998" s="338"/>
      <c r="BQ998" s="338"/>
      <c r="BR998" s="338"/>
      <c r="BS998" s="338"/>
      <c r="BT998" s="338"/>
      <c r="BU998" s="338"/>
      <c r="BV998" s="338"/>
      <c r="BW998" s="338"/>
      <c r="BX998" s="338"/>
      <c r="BY998" s="338"/>
      <c r="BZ998" s="338"/>
      <c r="CA998" s="338"/>
      <c r="CB998" s="338"/>
      <c r="CC998" s="338"/>
      <c r="CD998" s="338"/>
      <c r="CE998" s="338"/>
      <c r="CF998" s="338"/>
      <c r="CG998" s="338"/>
      <c r="CH998" s="338"/>
      <c r="CI998" s="338"/>
      <c r="CJ998" s="338"/>
      <c r="CK998" s="338"/>
      <c r="CL998" s="338"/>
    </row>
    <row r="999" ht="14.2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40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  <c r="AV999" s="338"/>
      <c r="AW999" s="338"/>
      <c r="AX999" s="338"/>
      <c r="AY999" s="338"/>
      <c r="AZ999" s="338"/>
      <c r="BA999" s="338"/>
      <c r="BB999" s="338"/>
      <c r="BC999" s="338"/>
      <c r="BD999" s="338"/>
      <c r="BE999" s="338"/>
      <c r="BF999" s="338"/>
      <c r="BG999" s="338"/>
      <c r="BH999" s="338"/>
      <c r="BI999" s="338"/>
      <c r="BJ999" s="338"/>
      <c r="BK999" s="338"/>
      <c r="BL999" s="338"/>
      <c r="BM999" s="338"/>
      <c r="BN999" s="338"/>
      <c r="BO999" s="338"/>
      <c r="BP999" s="338"/>
      <c r="BQ999" s="338"/>
      <c r="BR999" s="338"/>
      <c r="BS999" s="338"/>
      <c r="BT999" s="338"/>
      <c r="BU999" s="338"/>
      <c r="BV999" s="338"/>
      <c r="BW999" s="338"/>
      <c r="BX999" s="338"/>
      <c r="BY999" s="338"/>
      <c r="BZ999" s="338"/>
      <c r="CA999" s="338"/>
      <c r="CB999" s="338"/>
      <c r="CC999" s="338"/>
      <c r="CD999" s="338"/>
      <c r="CE999" s="338"/>
      <c r="CF999" s="338"/>
      <c r="CG999" s="338"/>
      <c r="CH999" s="338"/>
      <c r="CI999" s="338"/>
      <c r="CJ999" s="338"/>
      <c r="CK999" s="338"/>
      <c r="CL999" s="338"/>
    </row>
    <row r="1000" ht="14.2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40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  <c r="AV1000" s="338"/>
      <c r="AW1000" s="338"/>
      <c r="AX1000" s="338"/>
      <c r="AY1000" s="338"/>
      <c r="AZ1000" s="338"/>
      <c r="BA1000" s="338"/>
      <c r="BB1000" s="338"/>
      <c r="BC1000" s="338"/>
      <c r="BD1000" s="338"/>
      <c r="BE1000" s="338"/>
      <c r="BF1000" s="338"/>
      <c r="BG1000" s="338"/>
      <c r="BH1000" s="338"/>
      <c r="BI1000" s="338"/>
      <c r="BJ1000" s="338"/>
      <c r="BK1000" s="338"/>
      <c r="BL1000" s="338"/>
      <c r="BM1000" s="338"/>
      <c r="BN1000" s="338"/>
      <c r="BO1000" s="338"/>
      <c r="BP1000" s="338"/>
      <c r="BQ1000" s="338"/>
      <c r="BR1000" s="338"/>
      <c r="BS1000" s="338"/>
      <c r="BT1000" s="338"/>
      <c r="BU1000" s="338"/>
      <c r="BV1000" s="338"/>
      <c r="BW1000" s="338"/>
      <c r="BX1000" s="338"/>
      <c r="BY1000" s="338"/>
      <c r="BZ1000" s="338"/>
      <c r="CA1000" s="338"/>
      <c r="CB1000" s="338"/>
      <c r="CC1000" s="338"/>
      <c r="CD1000" s="338"/>
      <c r="CE1000" s="338"/>
      <c r="CF1000" s="338"/>
      <c r="CG1000" s="338"/>
      <c r="CH1000" s="338"/>
      <c r="CI1000" s="338"/>
      <c r="CJ1000" s="338"/>
      <c r="CK1000" s="338"/>
      <c r="CL1000" s="338"/>
    </row>
  </sheetData>
  <mergeCells count="3">
    <mergeCell ref="G3:G11"/>
    <mergeCell ref="G13:G20"/>
    <mergeCell ref="G22:G29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3.75"/>
    <col customWidth="1" min="5" max="5" width="12.5"/>
    <col customWidth="1" min="6" max="6" width="8.63"/>
    <col customWidth="1" min="7" max="7" width="12.5"/>
    <col customWidth="1" min="8" max="9" width="8.63"/>
    <col customWidth="1" min="10" max="10" width="19.0"/>
    <col customWidth="1" min="11" max="13" width="8.63"/>
    <col customWidth="1" min="14" max="14" width="12.0"/>
    <col customWidth="1" min="15" max="26" width="8.63"/>
  </cols>
  <sheetData>
    <row r="1" ht="13.5" customHeight="1"/>
    <row r="2" ht="13.5" customHeight="1">
      <c r="J2" s="390" t="s">
        <v>208</v>
      </c>
      <c r="K2" s="5"/>
      <c r="L2" s="5"/>
      <c r="M2" s="5"/>
      <c r="N2" s="6"/>
    </row>
    <row r="3" ht="13.5" customHeight="1">
      <c r="D3" s="304"/>
      <c r="E3" s="391" t="s">
        <v>209</v>
      </c>
      <c r="J3" s="392"/>
      <c r="K3" s="392" t="s">
        <v>58</v>
      </c>
      <c r="L3" s="392" t="s">
        <v>210</v>
      </c>
      <c r="M3" s="392" t="s">
        <v>211</v>
      </c>
      <c r="N3" s="392"/>
    </row>
    <row r="4" ht="13.5" customHeight="1">
      <c r="D4" s="304" t="s">
        <v>212</v>
      </c>
      <c r="E4" s="67">
        <v>378443.0</v>
      </c>
      <c r="G4" s="203"/>
      <c r="J4" s="199" t="s">
        <v>213</v>
      </c>
      <c r="K4" s="393" t="str">
        <f>'Hrs. Summary'!$E$20</f>
        <v>#REF!</v>
      </c>
      <c r="L4" s="394" t="str">
        <f>'Hrs. Summary'!$E$38</f>
        <v>#REF!</v>
      </c>
      <c r="M4" s="394" t="str">
        <f>'Hrs. Summary'!$E$55</f>
        <v>#REF!</v>
      </c>
      <c r="N4" s="199"/>
    </row>
    <row r="5" ht="13.5" customHeight="1">
      <c r="D5" s="304" t="s">
        <v>214</v>
      </c>
      <c r="E5" s="67">
        <v>55.65</v>
      </c>
      <c r="G5" s="395"/>
      <c r="J5" s="199" t="s">
        <v>215</v>
      </c>
      <c r="K5" s="199" t="str">
        <f>K4*5</f>
        <v>#REF!</v>
      </c>
      <c r="L5" s="199" t="str">
        <f t="shared" ref="L5:M5" si="1">L4*1</f>
        <v>#REF!</v>
      </c>
      <c r="M5" s="199" t="str">
        <f t="shared" si="1"/>
        <v>#REF!</v>
      </c>
      <c r="N5" s="199"/>
    </row>
    <row r="6" ht="13.5" customHeight="1">
      <c r="D6" s="304" t="s">
        <v>6</v>
      </c>
      <c r="E6" s="396">
        <f>E4/E5</f>
        <v>6800.413297</v>
      </c>
      <c r="G6" s="395"/>
      <c r="J6" s="199" t="s">
        <v>216</v>
      </c>
      <c r="K6" s="199" t="str">
        <f t="shared" ref="K6:M6" si="2">K5*52</f>
        <v>#REF!</v>
      </c>
      <c r="L6" s="199" t="str">
        <f t="shared" si="2"/>
        <v>#REF!</v>
      </c>
      <c r="M6" s="199" t="str">
        <f t="shared" si="2"/>
        <v>#REF!</v>
      </c>
      <c r="N6" s="199" t="str">
        <f t="shared" ref="N6:N7" si="3">SUM(K6:M6)</f>
        <v>#REF!</v>
      </c>
    </row>
    <row r="7" ht="13.5" customHeight="1">
      <c r="J7" s="199" t="s">
        <v>217</v>
      </c>
      <c r="K7" s="199" t="str">
        <f>K4*142</f>
        <v>#REF!</v>
      </c>
      <c r="L7" s="199" t="str">
        <f>L5*29</f>
        <v>#REF!</v>
      </c>
      <c r="M7" s="199" t="str">
        <f>M5*35</f>
        <v>#REF!</v>
      </c>
      <c r="N7" s="219" t="str">
        <f t="shared" si="3"/>
        <v>#REF!</v>
      </c>
    </row>
    <row r="8" ht="13.5" customHeight="1">
      <c r="J8" s="397" t="s">
        <v>218</v>
      </c>
      <c r="K8" s="5"/>
      <c r="L8" s="5"/>
      <c r="M8" s="6"/>
      <c r="N8" s="398" t="str">
        <f>E6-N7</f>
        <v>#REF!</v>
      </c>
    </row>
    <row r="9" ht="13.5" customHeight="1"/>
    <row r="10" ht="13.5" customHeight="1">
      <c r="N10" s="395"/>
    </row>
    <row r="11" ht="13.5" customHeight="1">
      <c r="N11" s="395"/>
    </row>
    <row r="12" ht="13.5" customHeight="1">
      <c r="N12" s="395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J2:N2"/>
    <mergeCell ref="J8:M8"/>
  </mergeCells>
  <conditionalFormatting sqref="N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0"/>
    <col customWidth="1" min="3" max="3" width="33.75"/>
    <col customWidth="1" min="4" max="4" width="27.25"/>
    <col customWidth="1" min="5" max="26" width="8.63"/>
  </cols>
  <sheetData>
    <row r="1" ht="13.5" customHeight="1">
      <c r="A1" s="399" t="s">
        <v>83</v>
      </c>
      <c r="B1" s="399" t="s">
        <v>219</v>
      </c>
      <c r="C1" s="399" t="s">
        <v>220</v>
      </c>
      <c r="D1" s="399" t="s">
        <v>221</v>
      </c>
    </row>
    <row r="2" ht="13.5" customHeight="1">
      <c r="A2" s="199">
        <v>7.0</v>
      </c>
      <c r="B2" s="400">
        <v>44927.0</v>
      </c>
      <c r="C2" s="199" t="s">
        <v>222</v>
      </c>
      <c r="D2" s="400">
        <v>45962.0</v>
      </c>
    </row>
    <row r="3" ht="13.5" customHeight="1">
      <c r="A3" s="401" t="s">
        <v>223</v>
      </c>
      <c r="B3" s="400">
        <v>45505.0</v>
      </c>
      <c r="C3" s="199" t="s">
        <v>224</v>
      </c>
      <c r="D3" s="400">
        <v>46235.0</v>
      </c>
    </row>
    <row r="4" ht="13.5" customHeight="1">
      <c r="A4" s="199">
        <v>400.0</v>
      </c>
      <c r="B4" s="400">
        <v>45505.0</v>
      </c>
      <c r="C4" s="199"/>
      <c r="D4" s="400">
        <v>45962.0</v>
      </c>
    </row>
    <row r="5" ht="13.5" customHeight="1">
      <c r="A5" s="199">
        <v>8.0</v>
      </c>
      <c r="B5" s="400">
        <v>45870.0</v>
      </c>
      <c r="C5" s="199"/>
      <c r="D5" s="400">
        <v>46600.0</v>
      </c>
    </row>
    <row r="6" ht="13.5" customHeight="1">
      <c r="A6" s="199">
        <v>2.0</v>
      </c>
      <c r="B6" s="400">
        <v>45809.0</v>
      </c>
      <c r="C6" s="199" t="s">
        <v>225</v>
      </c>
      <c r="D6" s="400">
        <v>46600.0</v>
      </c>
    </row>
    <row r="7" ht="13.5" customHeight="1">
      <c r="A7" s="199">
        <v>12.0</v>
      </c>
      <c r="B7" s="400">
        <v>45505.0</v>
      </c>
      <c r="C7" s="199" t="s">
        <v>226</v>
      </c>
      <c r="D7" s="400">
        <v>45962.0</v>
      </c>
    </row>
    <row r="8" ht="13.5" customHeight="1">
      <c r="A8" s="402" t="s">
        <v>227</v>
      </c>
      <c r="B8" s="400">
        <v>45597.0</v>
      </c>
      <c r="C8" s="199" t="s">
        <v>228</v>
      </c>
      <c r="D8" s="400">
        <v>45962.0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2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">
    <cfRule type="colorScale" priority="2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